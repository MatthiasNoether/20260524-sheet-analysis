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overview" sheetId="1" state="visible" r:id="rId1"/>
    <sheet name="population" sheetId="2" state="visible" r:id="rId2"/>
    <sheet name="births" sheetId="3" state="visible" r:id="rId3"/>
    <sheet name="deaths" sheetId="4" state="visible" r:id="rId4"/>
    <sheet name="migration" sheetId="5" state="visible" r:id="rId5"/>
    <sheet name="origin" sheetId="6" state="visible" r:id="rId6"/>
    <sheet name="patria" sheetId="7" state="visible" r:id="rId7"/>
    <sheet name="export" sheetId="8" state="visible" r:id="rId8"/>
  </sheets>
  <definedNames/>
</workbook>
</file>

<file path=xl/styles.xml><?xml version="1.0" encoding="utf-8"?>
<styleSheet xmlns="http://schemas.openxmlformats.org/spreadsheetml/2006/main">
  <numFmts count="4">
    <numFmt numFmtId="164" formatCode="0.0000%"/>
    <numFmt numFmtId="165" formatCode="0.0000"/>
    <numFmt numFmtId="166" formatCode="0.0000000000"/>
    <numFmt numFmtId="167" formatCode="0.000"/>
  </numFmts>
  <fonts count="12">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9"/>
      <sz val="10"/>
      <u val="single"/>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3">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style="thin">
        <color indexed="11"/>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41">
    <xf numFmtId="0" fontId="0"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vertical="center"/>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49" fontId="0" fillId="6" borderId="5" applyAlignment="1" pivotButton="0" quotePrefix="0" xfId="0">
      <alignment horizontal="center" vertical="top" wrapText="1"/>
    </xf>
    <xf numFmtId="0" fontId="0" fillId="0" borderId="5" applyAlignment="1" pivotButton="0" quotePrefix="0" xfId="0">
      <alignment vertical="top" wrapText="1"/>
    </xf>
    <xf numFmtId="0" fontId="0" fillId="6" borderId="5" applyAlignment="1" pivotButton="0" quotePrefix="0" xfId="0">
      <alignment horizontal="center"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49" fontId="0" fillId="7" borderId="5" applyAlignment="1" pivotButton="0" quotePrefix="0" xfId="0">
      <alignment horizontal="center" vertical="top" wrapText="1"/>
    </xf>
    <xf numFmtId="0" fontId="0" fillId="7" borderId="5" applyAlignment="1" pivotButton="0" quotePrefix="0" xfId="0">
      <alignment horizontal="center" vertical="top" wrapText="1"/>
    </xf>
    <xf numFmtId="49" fontId="0" fillId="3" borderId="5" applyAlignment="1" pivotButton="0" quotePrefix="0" xfId="0">
      <alignment horizontal="center" vertical="top" wrapText="1"/>
    </xf>
    <xf numFmtId="0" fontId="0" fillId="3" borderId="5" applyAlignment="1" pivotButton="0" quotePrefix="0" xfId="0">
      <alignment horizontal="center"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49" fontId="5" fillId="8" borderId="6" applyAlignment="1" pivotButton="0" quotePrefix="0" xfId="0">
      <alignment horizontal="center" vertical="top" wrapText="1"/>
    </xf>
    <xf numFmtId="0" fontId="0" fillId="0" borderId="6" applyAlignment="1" pivotButton="0" quotePrefix="0" xfId="0">
      <alignment vertical="top" wrapText="1"/>
    </xf>
    <xf numFmtId="0" fontId="5" fillId="8" borderId="6" applyAlignment="1" pivotButton="0" quotePrefix="0" xfId="0">
      <alignment horizontal="center"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0" fillId="9" borderId="1" applyAlignment="1" pivotButton="0" quotePrefix="0" xfId="0">
      <alignment vertical="bottom"/>
    </xf>
    <xf numFmtId="0" fontId="7" fillId="9" borderId="1" applyAlignment="1" pivotButton="0" quotePrefix="0" xfId="0">
      <alignment vertical="top" wrapText="1"/>
    </xf>
    <xf numFmtId="49" fontId="3" fillId="5" borderId="1" applyAlignment="1" pivotButton="0" quotePrefix="0" xfId="0">
      <alignment vertical="top" wrapText="1"/>
    </xf>
    <xf numFmtId="49" fontId="0" fillId="6" borderId="1" applyAlignment="1" pivotButton="0" quotePrefix="0" xfId="0">
      <alignment vertical="top" wrapText="1"/>
    </xf>
    <xf numFmtId="49" fontId="0" fillId="9" borderId="1" applyAlignment="1" pivotButton="0" quotePrefix="0" xfId="0">
      <alignment vertical="bottom"/>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49" fontId="4" fillId="0" borderId="5" applyAlignment="1" pivotButton="0" quotePrefix="0" xfId="0">
      <alignment horizontal="righ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0" fontId="0" fillId="3" borderId="1" applyAlignment="1" pivotButton="0" quotePrefix="0" xfId="0">
      <alignment vertical="top" wrapText="1"/>
    </xf>
    <xf numFmtId="2" fontId="0" fillId="3" borderId="5" applyAlignment="1" pivotButton="0" quotePrefix="0" xfId="0">
      <alignment vertical="top" wrapText="1"/>
    </xf>
    <xf numFmtId="49" fontId="4" fillId="0" borderId="5" applyAlignment="1" pivotButton="0" quotePrefix="0" xfId="0">
      <alignment vertical="top" wrapText="1"/>
    </xf>
    <xf numFmtId="10" fontId="0" fillId="3" borderId="7" applyAlignment="1" pivotButton="0" quotePrefix="0" xfId="0">
      <alignment vertical="top" wrapText="1"/>
    </xf>
    <xf numFmtId="49" fontId="4" fillId="0" borderId="7" applyAlignment="1" pivotButton="0" quotePrefix="0" xfId="0">
      <alignment vertical="top" wrapText="1"/>
    </xf>
    <xf numFmtId="0" fontId="0" fillId="3" borderId="7" applyAlignment="1" pivotButton="0" quotePrefix="0" xfId="0">
      <alignment vertical="top" wrapText="1"/>
    </xf>
    <xf numFmtId="0" fontId="0" fillId="3" borderId="5"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0" fontId="0" fillId="6" borderId="1" applyAlignment="1" pivotButton="0" quotePrefix="0" xfId="0">
      <alignment horizontal="lef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0"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49" fontId="5" fillId="8" borderId="5" applyAlignment="1" pivotButton="0" quotePrefix="0" xfId="0">
      <alignment horizontal="lef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49" fontId="0" fillId="9" borderId="6" applyAlignment="1" pivotButton="0" quotePrefix="0" xfId="0">
      <alignment vertical="bottom"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49" fontId="5" fillId="8" borderId="5" applyAlignment="1" pivotButton="0" quotePrefix="0" xfId="0">
      <alignmen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0" applyAlignment="1" pivotButton="0" quotePrefix="0" xfId="0">
      <alignmen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49" fontId="0" fillId="9" borderId="1" applyAlignment="1" pivotButton="0" quotePrefix="0" xfId="0">
      <alignment vertical="bottom" wrapText="1"/>
    </xf>
    <xf numFmtId="0" fontId="10" fillId="2" borderId="1" applyAlignment="1" pivotButton="0" quotePrefix="0" xfId="0">
      <alignment vertical="top" wrapText="1"/>
    </xf>
    <xf numFmtId="49" fontId="11" fillId="5" borderId="1" applyAlignment="1" pivotButton="0" quotePrefix="0" xfId="0">
      <alignment horizontal="center" vertical="top" wrapText="1"/>
    </xf>
    <xf numFmtId="1" fontId="0" fillId="10" borderId="1" applyAlignment="1" pivotButton="0" quotePrefix="0" xfId="0">
      <alignment horizontal="right" vertical="top" wrapText="1"/>
    </xf>
    <xf numFmtId="0" fontId="10" fillId="2" borderId="7" applyAlignment="1" pivotButton="0" quotePrefix="0" xfId="0">
      <alignment vertical="top" wrapText="1"/>
    </xf>
    <xf numFmtId="49" fontId="11"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10" fillId="2" borderId="5" applyAlignment="1" pivotButton="0" quotePrefix="0" xfId="0">
      <alignment vertical="top" wrapText="1"/>
    </xf>
    <xf numFmtId="49" fontId="11"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10" fillId="2" borderId="6" applyAlignment="1" pivotButton="0" quotePrefix="0" xfId="0">
      <alignment vertical="top" wrapText="1"/>
    </xf>
    <xf numFmtId="49" fontId="11"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10"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10"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0" fillId="0" borderId="0" applyAlignment="1" pivotButton="0" quotePrefix="0" xfId="0">
      <alignmen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49" fontId="5" fillId="8" borderId="4" applyAlignment="1" pivotButton="0" quotePrefix="0" xfId="0">
      <alignment horizontal="left" vertical="top" wrapText="1"/>
    </xf>
    <xf numFmtId="0" fontId="0" fillId="0" borderId="4" applyAlignment="1" pivotButton="0" quotePrefix="0" xfId="0">
      <alignmen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49" fontId="5" fillId="8" borderId="1" applyAlignment="1" pivotButton="0" quotePrefix="0" xfId="0">
      <alignmen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49" fontId="0" fillId="9" borderId="18" applyAlignment="1" pivotButton="0" quotePrefix="0" xfId="0">
      <alignment vertical="bottom" wrapText="1"/>
    </xf>
    <xf numFmtId="0" fontId="0" fillId="0" borderId="19" applyAlignment="1" pivotButton="0" quotePrefix="0" xfId="0">
      <alignment vertical="top" wrapText="1"/>
    </xf>
    <xf numFmtId="0" fontId="7" fillId="9" borderId="11" applyAlignment="1" pivotButton="0" quotePrefix="0" xfId="0">
      <alignment vertical="top" wrapText="1"/>
    </xf>
    <xf numFmtId="0" fontId="2" fillId="2" borderId="20" applyAlignment="1" pivotButton="0" quotePrefix="0" xfId="0">
      <alignment vertical="top" wrapText="1"/>
    </xf>
    <xf numFmtId="0" fontId="3" fillId="5" borderId="21" applyAlignment="1" pivotButton="0" quotePrefix="0" xfId="0">
      <alignment vertical="top" wrapText="1"/>
    </xf>
    <xf numFmtId="1" fontId="0" fillId="0" borderId="22" applyAlignment="1" pivotButton="0" quotePrefix="0" xfId="0">
      <alignment horizontal="right" vertical="top" wrapText="1"/>
    </xf>
    <xf numFmtId="1" fontId="0" fillId="0" borderId="23" applyAlignment="1" pivotButton="0" quotePrefix="0" xfId="0">
      <alignment horizontal="right" vertical="top" wrapText="1"/>
    </xf>
    <xf numFmtId="1" fontId="0" fillId="0" borderId="19" applyAlignment="1" pivotButton="0" quotePrefix="0" xfId="0">
      <alignment horizontal="right" vertical="top" wrapText="1"/>
    </xf>
    <xf numFmtId="49" fontId="3" fillId="5" borderId="16" applyAlignment="1" pivotButton="0" quotePrefix="0" xfId="0">
      <alignment vertical="top" wrapText="1"/>
    </xf>
    <xf numFmtId="1" fontId="0" fillId="0" borderId="24" applyAlignment="1" pivotButton="0" quotePrefix="0" xfId="0">
      <alignment horizontal="right" vertical="top" wrapText="1"/>
    </xf>
    <xf numFmtId="1" fontId="0" fillId="1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28" applyAlignment="1" pivotButton="0" quotePrefix="0" xfId="0">
      <alignment horizontal="right" vertical="top" wrapText="1"/>
    </xf>
    <xf numFmtId="0" fontId="0" fillId="0" borderId="0" applyAlignment="1" pivotButton="0" quotePrefix="0" xfId="0">
      <alignmen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3"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9" applyAlignment="1" pivotButton="0" quotePrefix="0" xfId="0">
      <alignment horizontal="right" vertical="top" wrapText="1"/>
    </xf>
    <xf numFmtId="1" fontId="0" fillId="7" borderId="30" applyAlignment="1" pivotButton="0" quotePrefix="0" xfId="0">
      <alignment horizontal="right" vertical="top" wrapText="1"/>
    </xf>
    <xf numFmtId="166" fontId="0" fillId="0" borderId="31" applyAlignment="1" pivotButton="0" quotePrefix="0" xfId="0">
      <alignment horizontal="right" vertical="top" wrapText="1"/>
    </xf>
    <xf numFmtId="1" fontId="0" fillId="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0" fontId="0" fillId="6" borderId="7" applyAlignment="1" pivotButton="0" quotePrefix="0" xfId="0">
      <alignment horizontal="left" vertical="top" wrapText="1"/>
    </xf>
    <xf numFmtId="1" fontId="0" fillId="10" borderId="34" applyAlignment="1" pivotButton="0" quotePrefix="0" xfId="0">
      <alignment horizontal="right" vertical="top" wrapText="1"/>
    </xf>
    <xf numFmtId="1" fontId="0" fillId="3" borderId="35" applyAlignment="1" pivotButton="0" quotePrefix="0" xfId="0">
      <alignment horizontal="right" vertical="top" wrapText="1"/>
    </xf>
    <xf numFmtId="0" fontId="0" fillId="0" borderId="0" applyAlignment="1" pivotButton="0" quotePrefix="0" xfId="0">
      <alignmen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0" fontId="0" fillId="0" borderId="0" applyAlignment="1" pivotButton="0" quotePrefix="0" xfId="0">
      <alignment vertical="top" wrapText="1"/>
    </xf>
    <xf numFmtId="1" fontId="0" fillId="10" borderId="5" applyAlignment="1" pivotButton="0" quotePrefix="0" xfId="0">
      <alignment horizontal="right" vertical="top" wrapText="1"/>
    </xf>
    <xf numFmtId="1" fontId="0" fillId="0" borderId="36" applyAlignment="1" pivotButton="0" quotePrefix="0" xfId="0">
      <alignment horizontal="right" vertical="top" wrapText="1"/>
    </xf>
    <xf numFmtId="1" fontId="0" fillId="0" borderId="37" applyAlignment="1" pivotButton="0" quotePrefix="0" xfId="0">
      <alignment horizontal="right" vertical="top" wrapText="1"/>
    </xf>
    <xf numFmtId="1" fontId="0" fillId="0" borderId="25" applyAlignment="1" pivotButton="0" quotePrefix="0" xfId="0">
      <alignment horizontal="right" vertical="top" wrapText="1"/>
    </xf>
    <xf numFmtId="1" fontId="0" fillId="10" borderId="30" applyAlignment="1" pivotButton="0" quotePrefix="0" xfId="0">
      <alignment horizontal="right" vertical="top" wrapText="1"/>
    </xf>
    <xf numFmtId="1" fontId="0" fillId="0" borderId="38" applyAlignment="1" pivotButton="0" quotePrefix="0" xfId="0">
      <alignment horizontal="right" vertical="top" wrapText="1"/>
    </xf>
    <xf numFmtId="1" fontId="0" fillId="0" borderId="33" applyAlignment="1" pivotButton="0" quotePrefix="0" xfId="0">
      <alignment horizontal="right" vertical="top" wrapText="1"/>
    </xf>
    <xf numFmtId="1" fontId="0" fillId="0" borderId="39" applyAlignment="1" pivotButton="0" quotePrefix="0" xfId="0">
      <alignment horizontal="right" vertical="top" wrapText="1"/>
    </xf>
    <xf numFmtId="1" fontId="0" fillId="0" borderId="40" applyAlignment="1" pivotButton="0" quotePrefix="0" xfId="0">
      <alignment horizontal="right" vertical="top" wrapText="1"/>
    </xf>
    <xf numFmtId="49" fontId="0" fillId="9" borderId="7" applyAlignment="1" pivotButton="0" quotePrefix="0" xfId="0">
      <alignment vertical="bottom" wrapText="1"/>
    </xf>
    <xf numFmtId="1" fontId="0" fillId="0" borderId="29" applyAlignment="1" pivotButton="0" quotePrefix="0" xfId="0">
      <alignment horizontal="right" vertical="top" wrapText="1"/>
    </xf>
    <xf numFmtId="1" fontId="0" fillId="0" borderId="41" applyAlignment="1" pivotButton="0" quotePrefix="0" xfId="0">
      <alignment horizontal="right" vertical="top" wrapText="1"/>
    </xf>
    <xf numFmtId="0" fontId="0" fillId="0" borderId="0" applyAlignment="1" pivotButton="0" quotePrefix="0" xfId="0">
      <alignmen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9"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0" fontId="0" fillId="0" borderId="0" pivotButton="0" quotePrefix="0" xfId="0"/>
    <xf numFmtId="0" fontId="1" fillId="0" borderId="5" applyAlignment="1" pivotButton="0" quotePrefix="0" xfId="0">
      <alignment horizontal="center" vertical="center"/>
    </xf>
    <xf numFmtId="0" fontId="0" fillId="0" borderId="6" pivotButton="0" quotePrefix="0" xfId="0"/>
    <xf numFmtId="0" fontId="0" fillId="0" borderId="1" pivotButton="0" quotePrefix="0" xfId="0"/>
    <xf numFmtId="0" fontId="0" fillId="0" borderId="7" pivotButton="0" quotePrefix="0" xfId="0"/>
    <xf numFmtId="164" fontId="0" fillId="3" borderId="5" applyAlignment="1" pivotButton="0" quotePrefix="0" xfId="0">
      <alignment vertical="top" wrapText="1"/>
    </xf>
    <xf numFmtId="2" fontId="0" fillId="11" borderId="5" applyAlignment="1" pivotButton="0" quotePrefix="0" xfId="0">
      <alignment horizontal="right" vertical="top" wrapText="1"/>
    </xf>
    <xf numFmtId="1" fontId="0" fillId="11" borderId="1" applyAlignment="1" pivotButton="0" quotePrefix="0" xfId="0">
      <alignment horizontal="left" vertical="top" wrapText="1"/>
    </xf>
    <xf numFmtId="1" fontId="0" fillId="11" borderId="11" applyAlignment="1" pivotButton="0" quotePrefix="0" xfId="0">
      <alignment horizontal="right" vertical="top" wrapText="1"/>
    </xf>
    <xf numFmtId="167" fontId="0" fillId="11" borderId="6" applyAlignment="1" pivotButton="0" quotePrefix="0" xfId="0">
      <alignment horizontal="right" vertical="top" wrapText="1"/>
    </xf>
    <xf numFmtId="1" fontId="0" fillId="11" borderId="1" applyAlignment="1" pivotButton="0" quotePrefix="0" xfId="0">
      <alignment horizontal="right" vertical="top" wrapText="1"/>
    </xf>
    <xf numFmtId="166" fontId="0" fillId="0" borderId="1" applyAlignment="1" pivotButton="0" quotePrefix="0" xfId="0">
      <alignment horizontal="right" vertical="top" wrapText="1"/>
    </xf>
    <xf numFmtId="1" fontId="0" fillId="11" borderId="7" applyAlignment="1" pivotButton="0" quotePrefix="0" xfId="0">
      <alignment horizontal="right" vertical="top" wrapText="1"/>
    </xf>
    <xf numFmtId="166" fontId="0" fillId="0" borderId="11" applyAlignment="1" pivotButton="0" quotePrefix="0" xfId="0">
      <alignment horizontal="right" vertical="top" wrapText="1"/>
    </xf>
    <xf numFmtId="0" fontId="0" fillId="0" borderId="4" pivotButton="0" quotePrefix="0" xfId="0"/>
    <xf numFmtId="49" fontId="0" fillId="9" borderId="10" applyAlignment="1" pivotButton="0" quotePrefix="0" xfId="0">
      <alignment vertical="bottom" wrapText="1"/>
    </xf>
    <xf numFmtId="0" fontId="0" fillId="0" borderId="19" pivotButton="0" quotePrefix="0" xfId="0"/>
    <xf numFmtId="1" fontId="0" fillId="11" borderId="25" applyAlignment="1" pivotButton="0" quotePrefix="0" xfId="0">
      <alignment horizontal="right" vertical="top" wrapText="1"/>
    </xf>
    <xf numFmtId="1" fontId="0" fillId="11" borderId="23" applyAlignment="1" pivotButton="0" quotePrefix="0" xfId="0">
      <alignment horizontal="right" vertical="top" wrapText="1"/>
    </xf>
    <xf numFmtId="166" fontId="0" fillId="0" borderId="31" applyAlignment="1" pivotButton="0" quotePrefix="0" xfId="0">
      <alignment horizontal="right" vertical="top" wrapText="1"/>
    </xf>
    <xf numFmtId="1" fontId="0" fillId="11" borderId="32" applyAlignment="1" pivotButton="0" quotePrefix="0" xfId="0">
      <alignment horizontal="right" vertical="top" wrapText="1"/>
    </xf>
    <xf numFmtId="1" fontId="0" fillId="11" borderId="33" applyAlignment="1" pivotButton="0" quotePrefix="0" xfId="0">
      <alignment horizontal="right" vertical="top" wrapText="1"/>
    </xf>
    <xf numFmtId="1" fontId="0" fillId="11" borderId="34" applyAlignment="1" pivotButton="0" quotePrefix="0" xfId="0">
      <alignment horizontal="right" vertical="top" wrapText="1"/>
    </xf>
    <xf numFmtId="1" fontId="0" fillId="11" borderId="5" applyAlignment="1" pivotButton="0" quotePrefix="0" xfId="0">
      <alignment horizontal="right" vertical="top" wrapText="1"/>
    </xf>
    <xf numFmtId="1" fontId="0" fillId="11" borderId="30" applyAlignment="1" pivotButton="0" quotePrefix="0" xfId="0">
      <alignment horizontal="right" vertical="top" wrapText="1"/>
    </xf>
    <xf numFmtId="165" fontId="0"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L68"/>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overview</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C11&amp;" / "&amp;C12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80.25" customHeight="1" s="215">
      <c r="A4" s="8" t="n"/>
      <c r="B4" s="9" t="inlineStr">
        <is>
          <t>Information</t>
        </is>
      </c>
      <c r="C4" s="10" t="inlineStr">
        <is>
          <t>This column contains general values (like definitions and sources)</t>
        </is>
      </c>
      <c r="D4" s="10" t="inlineStr">
        <is>
          <t>This column is important for the correct calculation</t>
        </is>
      </c>
      <c r="E4" s="10" t="inlineStr">
        <is>
          <t>This column is important for the correct calculation</t>
        </is>
      </c>
      <c r="F4" s="10" t="inlineStr">
        <is>
          <t>This column is important for the correct calculation</t>
        </is>
      </c>
      <c r="G4" s="10" t="inlineStr">
        <is>
          <t>This column is important for the correct calculation</t>
        </is>
      </c>
      <c r="H4" s="10" t="inlineStr">
        <is>
          <t>This column only contains utilty values used to calculate the data on the left</t>
        </is>
      </c>
      <c r="I4" s="10" t="inlineStr">
        <is>
          <t>This column only contains utilty values used to calculate the data on the left</t>
        </is>
      </c>
      <c r="J4" s="10" t="inlineStr">
        <is>
          <t>This column only contains utilty values used to calculate the data on the left</t>
        </is>
      </c>
      <c r="K4" s="10" t="inlineStr">
        <is>
          <t>This column only contains utilty values used to calculate the data on the left</t>
        </is>
      </c>
      <c r="L4" s="11" t="inlineStr">
        <is>
          <t>This column only contains utilty values used to calculate the data on the left</t>
        </is>
      </c>
    </row>
    <row r="5" ht="20.05" customHeight="1" s="215">
      <c r="A5" s="12" t="n"/>
      <c r="B5" s="13" t="inlineStr">
        <is>
          <t>Editing this spreadsheet</t>
        </is>
      </c>
      <c r="C5" s="14" t="inlineStr">
        <is>
          <t>On a blue background, you can edit values and formulas</t>
        </is>
      </c>
      <c r="L5" s="17" t="n"/>
    </row>
    <row r="6" ht="20.05" customHeight="1" s="215">
      <c r="A6" s="12" t="n"/>
      <c r="B6" s="18" t="n"/>
      <c r="C6" s="19" t="inlineStr">
        <is>
          <t>On a green background, only change the formula (normally the formula should be right though)</t>
        </is>
      </c>
      <c r="L6" s="17" t="n"/>
    </row>
    <row r="7" ht="20.05" customHeight="1" s="215">
      <c r="A7" s="12" t="n"/>
      <c r="B7" s="18" t="n"/>
      <c r="C7" s="21" t="inlineStr">
        <is>
          <t>On a yellow background, don't change anything!</t>
        </is>
      </c>
      <c r="L7" s="17" t="n"/>
    </row>
    <row r="8" ht="20.05" customHeight="1" s="215">
      <c r="A8" s="23" t="n"/>
      <c r="B8" s="24" t="n"/>
      <c r="C8" s="25" t="inlineStr">
        <is>
          <t>On a dark grey background, you find important instructions</t>
        </is>
      </c>
      <c r="D8" s="217" t="n"/>
      <c r="E8" s="217" t="n"/>
      <c r="F8" s="217" t="n"/>
      <c r="G8" s="217" t="n"/>
      <c r="H8" s="217" t="n"/>
      <c r="I8" s="217" t="n"/>
      <c r="J8" s="217" t="n"/>
      <c r="K8" s="217" t="n"/>
      <c r="L8" s="17" t="n"/>
    </row>
    <row r="9" ht="20.05" customHeight="1" s="215">
      <c r="A9" s="3" t="n"/>
      <c r="B9" s="28" t="n"/>
      <c r="C9" s="29" t="n"/>
      <c r="D9" s="17" t="n"/>
      <c r="E9" s="17" t="n"/>
      <c r="F9" s="17" t="n"/>
      <c r="G9" s="17" t="n"/>
      <c r="H9" s="17" t="n"/>
      <c r="I9" s="17" t="n"/>
      <c r="J9" s="17" t="n"/>
      <c r="K9" s="17" t="n"/>
      <c r="L9" s="17" t="n"/>
    </row>
    <row r="10" ht="26.85" customHeight="1" s="215">
      <c r="A10" s="30" t="n"/>
      <c r="B10" s="31" t="inlineStr">
        <is>
          <t>Country</t>
        </is>
      </c>
      <c r="C10" s="32" t="n"/>
      <c r="D10" s="218" t="n"/>
      <c r="E10" s="218" t="n"/>
      <c r="F10" s="218" t="n"/>
      <c r="G10" s="218" t="n"/>
      <c r="H10" s="218" t="n"/>
      <c r="I10" s="218" t="n"/>
      <c r="J10" s="218" t="n"/>
      <c r="K10" s="218" t="n"/>
      <c r="L10" s="33" t="n"/>
    </row>
    <row r="11" ht="20.05" customHeight="1" s="215">
      <c r="A11" s="4" t="inlineStr">
        <is>
          <t>na</t>
        </is>
      </c>
      <c r="B11" s="34" t="inlineStr">
        <is>
          <t>Acronym (e.g. "DE")</t>
        </is>
      </c>
      <c r="C11" s="35" t="inlineStr">
        <is>
          <t>NL</t>
        </is>
      </c>
      <c r="D11" s="218" t="n"/>
      <c r="E11" s="218" t="n"/>
      <c r="F11" s="218" t="n"/>
      <c r="G11" s="218" t="n"/>
      <c r="H11" s="218" t="n"/>
      <c r="I11" s="218" t="n"/>
      <c r="J11" s="218" t="n"/>
      <c r="K11" s="218" t="n"/>
      <c r="L11" s="17" t="n"/>
    </row>
    <row r="12" ht="20.05" customHeight="1" s="215">
      <c r="A12" s="4" t="inlineStr">
        <is>
          <t>nn</t>
        </is>
      </c>
      <c r="B12" s="34" t="inlineStr">
        <is>
          <t>Name</t>
        </is>
      </c>
      <c r="C12" s="35" t="inlineStr">
        <is>
          <t>Niederlande</t>
        </is>
      </c>
      <c r="D12" s="218" t="n"/>
      <c r="E12" s="218" t="n"/>
      <c r="F12" s="218" t="n"/>
      <c r="G12" s="218" t="n"/>
      <c r="H12" s="218" t="n"/>
      <c r="I12" s="218" t="n"/>
      <c r="J12" s="218" t="n"/>
      <c r="K12" s="218" t="n"/>
      <c r="L12" s="17" t="n"/>
    </row>
    <row r="13" ht="20.05" customHeight="1" s="215">
      <c r="A13" s="4" t="inlineStr">
        <is>
          <t>nd</t>
        </is>
      </c>
      <c r="B13" s="34" t="inlineStr">
        <is>
          <t>Date when the sheets were generated</t>
        </is>
      </c>
      <c r="C13" s="35" t="inlineStr">
        <is>
          <t>2026-05-26 19:00</t>
        </is>
      </c>
      <c r="D13" s="218" t="n"/>
      <c r="E13" s="218" t="n"/>
      <c r="F13" s="218" t="n"/>
      <c r="G13" s="218" t="n"/>
      <c r="H13" s="218" t="n"/>
      <c r="I13" s="218" t="n"/>
      <c r="J13" s="218" t="n"/>
      <c r="K13" s="218" t="n"/>
      <c r="L13" s="17" t="n"/>
    </row>
    <row r="14" ht="20.05" customHeight="1" s="215">
      <c r="A14" s="3" t="n"/>
      <c r="B14" s="28" t="n"/>
      <c r="C14" s="29" t="n"/>
      <c r="D14" s="17" t="n"/>
      <c r="E14" s="17" t="n"/>
      <c r="F14" s="17" t="n"/>
      <c r="G14" s="17" t="n"/>
      <c r="H14" s="17" t="n"/>
      <c r="I14" s="17" t="n"/>
      <c r="J14" s="17" t="n"/>
      <c r="K14" s="17" t="n"/>
      <c r="L14" s="17" t="n"/>
    </row>
    <row r="15" ht="26.85" customHeight="1" s="215">
      <c r="A15" s="30" t="n"/>
      <c r="B15" s="31" t="inlineStr">
        <is>
          <t>Estimation</t>
        </is>
      </c>
      <c r="C15" s="36" t="inlineStr">
        <is>
          <t>This is an estimation of the tipping point</t>
        </is>
      </c>
      <c r="D15" s="218" t="n"/>
      <c r="E15" s="218" t="n"/>
      <c r="F15" s="218" t="n"/>
      <c r="G15" s="218" t="n"/>
      <c r="H15" s="218" t="n"/>
      <c r="I15" s="218" t="n"/>
      <c r="J15" s="218" t="n"/>
      <c r="K15" s="218" t="n"/>
      <c r="L15" s="33" t="n"/>
    </row>
    <row r="16" ht="20.05" customHeight="1" s="215">
      <c r="A16" s="37" t="n"/>
      <c r="B16" s="38" t="n"/>
      <c r="C16" s="39" t="n"/>
      <c r="D16" s="39" t="n"/>
      <c r="E16" s="39" t="n"/>
      <c r="F16" s="39" t="n"/>
      <c r="G16" s="39" t="n"/>
      <c r="H16" s="17" t="n"/>
      <c r="I16" s="17" t="n"/>
      <c r="J16" s="17" t="n"/>
      <c r="K16" s="17" t="n"/>
      <c r="L16" s="17" t="n"/>
    </row>
    <row r="17" ht="20.05" customHeight="1" s="215">
      <c r="A17" s="12" t="n"/>
      <c r="B17" s="13" t="inlineStr">
        <is>
          <t>Current population</t>
        </is>
      </c>
      <c r="C17" s="54">
        <f t="array" ref="C17">H17+I17</f>
        <v/>
      </c>
      <c r="D17" s="41">
        <f t="array" ref="D17">C34</f>
        <v/>
      </c>
      <c r="E17" s="42" t="inlineStr">
        <is>
          <t>pn, pm</t>
        </is>
      </c>
      <c r="H17" s="48">
        <f t="array" ref="H17">'population'!H109</f>
        <v/>
      </c>
      <c r="I17" s="48">
        <f t="array" ref="I17">'population'!I109</f>
        <v/>
      </c>
      <c r="J17" s="17" t="n"/>
      <c r="K17" s="17" t="n"/>
      <c r="L17" s="17" t="n"/>
    </row>
    <row r="18" ht="20.05" customHeight="1" s="215">
      <c r="A18" s="23" t="n"/>
      <c r="B18" s="44" t="inlineStr">
        <is>
          <t>Gap native - migrant</t>
        </is>
      </c>
      <c r="C18" s="45">
        <f t="array" ref="C18">H17-I17</f>
        <v/>
      </c>
      <c r="D18" s="46">
        <f t="array" ref="D18">C18/C17</f>
        <v/>
      </c>
      <c r="E18" s="26" t="n"/>
      <c r="F18" s="26" t="n"/>
      <c r="G18" s="26" t="n"/>
      <c r="H18" s="17" t="n"/>
      <c r="I18" s="17" t="n"/>
      <c r="J18" s="17" t="n"/>
      <c r="K18" s="17" t="n"/>
      <c r="L18" s="17" t="n"/>
    </row>
    <row r="19" ht="20.05" customHeight="1" s="215">
      <c r="A19" s="3" t="n"/>
      <c r="B19" s="34" t="inlineStr">
        <is>
          <t>Birth / year according to population</t>
        </is>
      </c>
      <c r="C19" s="17" t="n"/>
      <c r="D19" s="17" t="n"/>
      <c r="E19" s="17" t="n"/>
      <c r="F19" s="17" t="n"/>
      <c r="G19" s="17" t="n"/>
      <c r="H19" s="48">
        <f t="array" ref="H19">'population'!H9</f>
        <v/>
      </c>
      <c r="I19" s="48">
        <f t="array" ref="I19">'population'!I9</f>
        <v/>
      </c>
      <c r="J19" s="17" t="n"/>
      <c r="K19" s="17" t="n"/>
      <c r="L19" s="17" t="n"/>
    </row>
    <row r="20" ht="20.05" customHeight="1" s="215">
      <c r="A20" s="37" t="n"/>
      <c r="B20" s="47" t="inlineStr">
        <is>
          <t>Birth / year according to fertility</t>
        </is>
      </c>
      <c r="C20" s="39" t="n"/>
      <c r="D20" s="39" t="n"/>
      <c r="E20" s="39" t="n"/>
      <c r="F20" s="39" t="n"/>
      <c r="G20" s="39" t="n"/>
      <c r="H20" s="48">
        <f t="array" ref="H20">'births'!H11</f>
        <v/>
      </c>
      <c r="I20" s="48">
        <f t="array" ref="I20">'births'!I11</f>
        <v/>
      </c>
      <c r="J20" s="17" t="n"/>
      <c r="K20" s="17" t="n"/>
      <c r="L20" s="17" t="n"/>
    </row>
    <row r="21" ht="20.05" customHeight="1" s="215">
      <c r="A21" s="12" t="n"/>
      <c r="B21" s="13" t="inlineStr">
        <is>
          <t>Birth / year used for estimation</t>
        </is>
      </c>
      <c r="C21" s="15" t="n"/>
      <c r="D21" s="42" t="inlineStr">
        <is>
          <t>We prefer the number of births according to the fertility</t>
        </is>
      </c>
      <c r="H21" s="48">
        <f t="array" ref="H21">IF(ISNUMBER(H20),H20,H19)</f>
        <v/>
      </c>
      <c r="I21" s="48">
        <f t="array" ref="I21">IF(ISNUMBER(I20),I20,I19)</f>
        <v/>
      </c>
      <c r="J21" s="17" t="n"/>
      <c r="K21" s="17" t="n"/>
      <c r="L21" s="17" t="n"/>
    </row>
    <row r="22" ht="20.05" customHeight="1" s="215">
      <c r="A22" s="23" t="n"/>
      <c r="B22" s="44" t="inlineStr">
        <is>
          <t>Deaths / year</t>
        </is>
      </c>
      <c r="C22" s="26" t="n"/>
      <c r="D22" s="26" t="n"/>
      <c r="E22" s="26" t="n"/>
      <c r="F22" s="26" t="n"/>
      <c r="G22" s="26" t="n"/>
      <c r="H22" s="48">
        <f t="array" ref="H22">-'deaths'!H107</f>
        <v/>
      </c>
      <c r="I22" s="48">
        <f t="array" ref="I22">-'deaths'!I107</f>
        <v/>
      </c>
      <c r="J22" s="17" t="n"/>
      <c r="K22" s="17" t="n"/>
      <c r="L22" s="17" t="n"/>
    </row>
    <row r="23" ht="20.05" customHeight="1" s="215">
      <c r="A23" s="37" t="n"/>
      <c r="B23" s="47" t="inlineStr">
        <is>
          <t>Migration balance / year</t>
        </is>
      </c>
      <c r="C23" s="39" t="n"/>
      <c r="D23" s="39" t="n"/>
      <c r="E23" s="39" t="n"/>
      <c r="F23" s="39" t="n"/>
      <c r="G23" s="39" t="n"/>
      <c r="H23" s="48">
        <f t="array" ref="H23">'migration'!H9</f>
        <v/>
      </c>
      <c r="I23" s="48">
        <f t="array" ref="I23">'migration'!I9</f>
        <v/>
      </c>
      <c r="J23" s="17" t="n"/>
      <c r="K23" s="17" t="n"/>
      <c r="L23" s="17" t="n"/>
    </row>
    <row r="24" ht="20.05" customHeight="1" s="215">
      <c r="A24" s="12" t="n"/>
      <c r="B24" s="13" t="inlineStr">
        <is>
          <t>Population delta / year</t>
        </is>
      </c>
      <c r="C24" s="54">
        <f t="array" ref="C24">I24-H24</f>
        <v/>
      </c>
      <c r="D24" s="41">
        <f t="array" ref="D24">C24/C17</f>
        <v/>
      </c>
      <c r="E24" s="42" t="inlineStr">
        <is>
          <t>dn, dm</t>
        </is>
      </c>
      <c r="H24" s="48">
        <f t="array" ref="H24">H21+H22+H23</f>
        <v/>
      </c>
      <c r="I24" s="48">
        <f t="array" ref="I24">I21+I22+I23</f>
        <v/>
      </c>
      <c r="J24" s="17" t="n"/>
      <c r="K24" s="17" t="n"/>
      <c r="L24" s="17" t="n"/>
    </row>
    <row r="25" ht="20.05" customHeight="1" s="215">
      <c r="A25" s="12" t="n"/>
      <c r="B25" s="18" t="n"/>
      <c r="C25" s="15" t="n"/>
      <c r="D25" s="15" t="n"/>
      <c r="E25" s="15" t="n"/>
      <c r="F25" s="15" t="n"/>
      <c r="G25" s="15" t="n"/>
      <c r="H25" s="17" t="n"/>
      <c r="I25" s="17" t="n"/>
      <c r="J25" s="17" t="n"/>
      <c r="K25" s="17" t="n"/>
      <c r="L25" s="17" t="n"/>
    </row>
    <row r="26" ht="32.05" customHeight="1" s="215">
      <c r="A26" s="12" t="n"/>
      <c r="B26" s="13" t="inlineStr">
        <is>
          <t>Years until  33% share of migrants</t>
        </is>
      </c>
      <c r="C26" s="49">
        <f t="array" ref="C26">(H$17-2*I$17)/(2*I$24-H$24)</f>
        <v/>
      </c>
      <c r="D26" s="50" t="inlineStr">
        <is>
          <t>y = (pn - 2*pm) / (2*dm - dn)</t>
        </is>
      </c>
      <c r="H26" s="17" t="n"/>
      <c r="I26" s="17" t="n"/>
      <c r="J26" s="17" t="n"/>
      <c r="K26" s="17" t="n"/>
      <c r="L26" s="17" t="n"/>
    </row>
    <row r="27" ht="32.05" customHeight="1" s="215">
      <c r="A27" s="12" t="n"/>
      <c r="B27" s="13" t="inlineStr">
        <is>
          <t>Estimated tipping point for  33% share of migrants</t>
        </is>
      </c>
      <c r="C27" s="54">
        <f t="array" ref="C27">C$33+C26</f>
        <v/>
      </c>
      <c r="D27" s="15" t="n"/>
      <c r="E27" s="15" t="n"/>
      <c r="F27" s="15" t="n"/>
      <c r="G27" s="15" t="n"/>
      <c r="H27" s="17" t="n"/>
      <c r="I27" s="17" t="n"/>
      <c r="J27" s="17" t="n"/>
      <c r="K27" s="17" t="n"/>
      <c r="L27" s="17" t="n"/>
    </row>
    <row r="28" ht="32.05" customHeight="1" s="215">
      <c r="A28" s="12" t="n"/>
      <c r="B28" s="13" t="inlineStr">
        <is>
          <t>Years until  50% share of migrants</t>
        </is>
      </c>
      <c r="C28" s="49">
        <f t="array" ref="C28">(H$17-I$17)/(I$24-H$24)</f>
        <v/>
      </c>
      <c r="D28" s="50" t="inlineStr">
        <is>
          <t>y = (pn - pm) / (dm - dn)</t>
        </is>
      </c>
      <c r="H28" s="17" t="n"/>
      <c r="I28" s="17" t="n"/>
      <c r="J28" s="17" t="n"/>
      <c r="K28" s="17" t="n"/>
      <c r="L28" s="17" t="n"/>
    </row>
    <row r="29" ht="32.05" customHeight="1" s="215">
      <c r="A29" s="23" t="n"/>
      <c r="B29" s="44" t="inlineStr">
        <is>
          <t>Estimated tipping point for  50% share of migrants</t>
        </is>
      </c>
      <c r="C29" s="45">
        <f t="array" ref="C29">C$33+C28</f>
        <v/>
      </c>
      <c r="D29" s="26" t="n"/>
      <c r="E29" s="26" t="n"/>
      <c r="F29" s="26" t="n"/>
      <c r="G29" s="26" t="n"/>
      <c r="H29" s="17" t="n"/>
      <c r="I29" s="17" t="n"/>
      <c r="J29" s="17" t="n"/>
      <c r="K29" s="17" t="n"/>
      <c r="L29" s="17" t="n"/>
    </row>
    <row r="30" ht="20.05" customHeight="1" s="215">
      <c r="A30" s="3" t="n"/>
      <c r="B30" s="28" t="n"/>
      <c r="C30" s="17" t="n"/>
      <c r="D30" s="17" t="n"/>
      <c r="E30" s="17" t="n"/>
      <c r="F30" s="17" t="n"/>
      <c r="G30" s="17" t="n"/>
      <c r="H30" s="17" t="n"/>
      <c r="I30" s="17" t="n"/>
      <c r="J30" s="17" t="n"/>
      <c r="K30" s="17" t="n"/>
      <c r="L30" s="17" t="n"/>
    </row>
    <row r="31" ht="26.85" customHeight="1" s="215">
      <c r="A31" s="30" t="n"/>
      <c r="B31" s="31" t="inlineStr">
        <is>
          <t>Indicators</t>
        </is>
      </c>
      <c r="C31" s="36" t="inlineStr">
        <is>
          <t>This indicators are used to find differences between countries and thus show where the data collection might be wrong</t>
        </is>
      </c>
      <c r="D31" s="218" t="n"/>
      <c r="E31" s="218" t="n"/>
      <c r="F31" s="218" t="n"/>
      <c r="G31" s="218" t="n"/>
      <c r="H31" s="218" t="n"/>
      <c r="I31" s="218" t="n"/>
      <c r="J31" s="218" t="n"/>
      <c r="K31" s="218" t="n"/>
      <c r="L31" s="33" t="n"/>
    </row>
    <row r="32" ht="20.05" customHeight="1" s="215">
      <c r="A32" s="3" t="n"/>
      <c r="B32" s="28" t="n"/>
      <c r="C32" s="17" t="n"/>
      <c r="D32" s="17" t="n"/>
      <c r="E32" s="17" t="n"/>
      <c r="F32" s="17" t="n"/>
      <c r="G32" s="17" t="n"/>
      <c r="H32" s="17" t="n"/>
      <c r="I32" s="17" t="n"/>
      <c r="J32" s="17" t="n"/>
      <c r="K32" s="17" t="n"/>
      <c r="L32" s="17" t="n"/>
    </row>
    <row r="33" ht="20.05" customHeight="1" s="215">
      <c r="A33" s="3" t="n"/>
      <c r="B33" s="34" t="inlineStr">
        <is>
          <t>Year of the population numbers</t>
        </is>
      </c>
      <c r="C33" s="48">
        <f t="array" ref="C33">'population'!C7</f>
        <v/>
      </c>
      <c r="D33" s="17" t="n"/>
      <c r="E33" s="17" t="n"/>
      <c r="F33" s="17" t="n"/>
      <c r="G33" s="17" t="n"/>
      <c r="H33" s="17" t="n"/>
      <c r="I33" s="17" t="n"/>
      <c r="J33" s="17" t="n"/>
      <c r="K33" s="17" t="n"/>
      <c r="L33" s="17" t="n"/>
    </row>
    <row r="34" ht="20.05" customHeight="1" s="215">
      <c r="A34" s="37" t="n"/>
      <c r="B34" s="47" t="inlineStr">
        <is>
          <t>Share of migrant population</t>
        </is>
      </c>
      <c r="C34" s="51">
        <f t="array" ref="C34">'population'!I109/'population'!C109</f>
        <v/>
      </c>
      <c r="D34" s="52" t="inlineStr">
        <is>
          <t>&gt; 20% normally</t>
        </is>
      </c>
      <c r="E34" s="219" t="n"/>
      <c r="F34" s="219" t="n"/>
      <c r="G34" s="219" t="n"/>
      <c r="H34" s="17" t="n"/>
      <c r="I34" s="17" t="n"/>
      <c r="J34" s="17" t="n"/>
      <c r="K34" s="17" t="n"/>
      <c r="L34" s="17" t="n"/>
    </row>
    <row r="35" ht="20.05" customHeight="1" s="215">
      <c r="A35" s="12" t="n"/>
      <c r="B35" s="13" t="inlineStr">
        <is>
          <t>Births per 1 mio. women (15-49)</t>
        </is>
      </c>
      <c r="C35" s="41">
        <f t="array" ref="C35">I35/H35-1</f>
        <v/>
      </c>
      <c r="D35" s="50" t="inlineStr">
        <is>
          <t>&gt; 30% normally</t>
        </is>
      </c>
      <c r="H35" s="53">
        <f t="array" ref="H35">'births'!H11/'births'!D9*1000000</f>
        <v/>
      </c>
      <c r="I35" s="53">
        <f t="array" ref="I35">'births'!I11/'births'!F9*1000000</f>
        <v/>
      </c>
      <c r="J35" s="17" t="n"/>
      <c r="K35" s="17" t="n"/>
      <c r="L35" s="17" t="n"/>
    </row>
    <row r="36" ht="20.05" customHeight="1" s="215">
      <c r="A36" s="12" t="n"/>
      <c r="B36" s="13" t="inlineStr">
        <is>
          <t>Births per 1 mio. population</t>
        </is>
      </c>
      <c r="C36" s="41">
        <f t="array" ref="C36">I36/H36-1</f>
        <v/>
      </c>
      <c r="D36" s="50" t="inlineStr">
        <is>
          <t>&gt; 50% normally due to younger migrant population</t>
        </is>
      </c>
      <c r="H36" s="54">
        <f t="array" ref="H36">'births'!H11/'population'!H109*1000000</f>
        <v/>
      </c>
      <c r="I36" s="54">
        <f t="array" ref="I36">'births'!I11/'population'!I109*1000000</f>
        <v/>
      </c>
      <c r="J36" s="17" t="n"/>
      <c r="K36" s="17" t="n"/>
      <c r="L36" s="17" t="n"/>
    </row>
    <row r="37" ht="20.05" customHeight="1" s="215">
      <c r="A37" s="12" t="n"/>
      <c r="B37" s="13" t="inlineStr">
        <is>
          <t>Deaths per 1 mio. population</t>
        </is>
      </c>
      <c r="C37" s="41">
        <f t="array" ref="C37">I37/H37-1</f>
        <v/>
      </c>
      <c r="D37" s="50" t="inlineStr">
        <is>
          <t>&lt; 0% normally due to younger migrant population</t>
        </is>
      </c>
      <c r="H37" s="54">
        <f t="array" ref="H37">'deaths'!H$107/'population'!H$109*1000000</f>
        <v/>
      </c>
      <c r="I37" s="54">
        <f t="array" ref="I37">'deaths'!I$107/'population'!I$109*1000000</f>
        <v/>
      </c>
      <c r="J37" s="17" t="n"/>
      <c r="K37" s="17" t="n"/>
      <c r="L37" s="17" t="n"/>
    </row>
    <row r="38" ht="20.05" customHeight="1" s="215">
      <c r="A38" s="12" t="n"/>
      <c r="B38" s="13" t="inlineStr">
        <is>
          <t>Migration balance per 1 mio. of group</t>
        </is>
      </c>
      <c r="C38" s="15" t="n"/>
      <c r="D38" s="15" t="n"/>
      <c r="E38" s="15" t="n"/>
      <c r="F38" s="15" t="n"/>
      <c r="G38" s="15" t="n"/>
      <c r="H38" s="54">
        <f t="array" ref="H38">'migration'!H111/'population'!H109*1000000</f>
        <v/>
      </c>
      <c r="I38" s="54">
        <f t="array" ref="I38">'migration'!I111/'population'!I109*1000000</f>
        <v/>
      </c>
      <c r="J38" s="17" t="n"/>
      <c r="K38" s="17" t="n"/>
      <c r="L38" s="17" t="n"/>
    </row>
    <row r="39" ht="20.05" customHeight="1" s="215">
      <c r="A39" s="12" t="n"/>
      <c r="B39" s="13" t="inlineStr">
        <is>
          <t>Migration balance in % of population</t>
        </is>
      </c>
      <c r="C39" s="15" t="n"/>
      <c r="D39" s="15" t="n"/>
      <c r="E39" s="15" t="n"/>
      <c r="F39" s="15" t="n"/>
      <c r="G39" s="15" t="n"/>
      <c r="H39" s="220">
        <f t="array" ref="H39">'migration'!H111/'population'!C109</f>
        <v/>
      </c>
      <c r="I39" s="220">
        <f t="array" ref="I39">'migration'!I111/'population'!D109</f>
        <v/>
      </c>
      <c r="J39" s="17" t="n"/>
      <c r="K39" s="17" t="n"/>
      <c r="L39" s="17" t="n"/>
    </row>
    <row r="40" ht="20.05" customHeight="1" s="215">
      <c r="A40" s="23" t="n"/>
      <c r="B40" s="24" t="n"/>
      <c r="C40" s="26" t="n"/>
      <c r="D40" s="26" t="n"/>
      <c r="E40" s="26" t="n"/>
      <c r="F40" s="26" t="n"/>
      <c r="G40" s="26" t="n"/>
      <c r="H40" s="26" t="n"/>
      <c r="I40" s="26" t="n"/>
      <c r="J40" s="17" t="n"/>
      <c r="K40" s="17" t="n"/>
      <c r="L40" s="17" t="n"/>
    </row>
    <row r="41" ht="20.05" customHeight="1" s="215">
      <c r="A41" s="3" t="n"/>
      <c r="B41" s="28" t="n"/>
      <c r="C41" s="17" t="n"/>
      <c r="D41" s="17" t="n"/>
      <c r="E41" s="17" t="n"/>
      <c r="F41" s="17" t="n"/>
      <c r="G41" s="17" t="n"/>
      <c r="H41" s="17" t="n"/>
      <c r="I41" s="17" t="n"/>
      <c r="J41" s="17" t="n"/>
      <c r="K41" s="17" t="n"/>
      <c r="L41" s="17" t="n"/>
    </row>
    <row r="42" ht="20.05" customHeight="1" s="215">
      <c r="A42" s="3" t="n"/>
      <c r="B42" s="28" t="n"/>
      <c r="C42" s="17" t="n"/>
      <c r="D42" s="17" t="n"/>
      <c r="E42" s="17" t="n"/>
      <c r="F42" s="17" t="n"/>
      <c r="G42" s="17" t="n"/>
      <c r="H42" s="17" t="n"/>
      <c r="I42" s="17" t="n"/>
      <c r="J42" s="17" t="n"/>
      <c r="K42" s="17" t="n"/>
      <c r="L42" s="17" t="n"/>
    </row>
    <row r="43" ht="20.05" customHeight="1" s="215">
      <c r="A43" s="3" t="n"/>
      <c r="B43" s="28" t="n"/>
      <c r="C43" s="17" t="n"/>
      <c r="D43" s="17" t="n"/>
      <c r="E43" s="17" t="n"/>
      <c r="F43" s="17" t="n"/>
      <c r="G43" s="17" t="n"/>
      <c r="H43" s="17" t="n"/>
      <c r="I43" s="17" t="n"/>
      <c r="J43" s="17" t="n"/>
      <c r="K43" s="17" t="n"/>
      <c r="L43" s="17" t="n"/>
    </row>
    <row r="44" ht="20.05" customHeight="1" s="215">
      <c r="A44" s="3" t="n"/>
      <c r="B44" s="28" t="n"/>
      <c r="C44" s="17" t="n"/>
      <c r="D44" s="17" t="n"/>
      <c r="E44" s="17" t="n"/>
      <c r="F44" s="17" t="n"/>
      <c r="G44" s="17" t="n"/>
      <c r="H44" s="17" t="n"/>
      <c r="I44" s="17" t="n"/>
      <c r="J44" s="17" t="n"/>
      <c r="K44" s="17" t="n"/>
      <c r="L44" s="17" t="n"/>
    </row>
    <row r="45" ht="20.05" customHeight="1" s="215">
      <c r="A45" s="3" t="n"/>
      <c r="B45" s="28" t="n"/>
      <c r="C45" s="17" t="n"/>
      <c r="D45" s="17" t="n"/>
      <c r="E45" s="17" t="n"/>
      <c r="F45" s="17" t="n"/>
      <c r="G45" s="17" t="n"/>
      <c r="H45" s="17" t="n"/>
      <c r="I45" s="17" t="n"/>
      <c r="J45" s="17" t="n"/>
      <c r="K45" s="17" t="n"/>
      <c r="L45" s="17" t="n"/>
    </row>
    <row r="46" ht="20.05" customHeight="1" s="215">
      <c r="A46" s="3" t="n"/>
      <c r="B46" s="28" t="n"/>
      <c r="C46" s="17" t="n"/>
      <c r="D46" s="17" t="n"/>
      <c r="E46" s="17" t="n"/>
      <c r="F46" s="17" t="n"/>
      <c r="G46" s="17" t="n"/>
      <c r="H46" s="17" t="n"/>
      <c r="I46" s="17" t="n"/>
      <c r="J46" s="17" t="n"/>
      <c r="K46" s="17" t="n"/>
      <c r="L46" s="17" t="n"/>
    </row>
    <row r="47" ht="26.85" customHeight="1" s="215">
      <c r="A47" s="30" t="n"/>
      <c r="B47" s="31" t="inlineStr">
        <is>
          <t>Migration Background</t>
        </is>
      </c>
      <c r="C47" s="36" t="inlineStr">
        <is>
          <t>How is the "Migration Background" defined in this country?</t>
        </is>
      </c>
      <c r="D47" s="218" t="n"/>
      <c r="E47" s="218" t="n"/>
      <c r="F47" s="218" t="n"/>
      <c r="G47" s="218" t="n"/>
      <c r="H47" s="218" t="n"/>
      <c r="I47" s="218" t="n"/>
      <c r="J47" s="218" t="n"/>
      <c r="K47" s="218" t="n"/>
      <c r="L47" s="33" t="n"/>
    </row>
    <row r="48" ht="20.05" customHeight="1" s="215">
      <c r="A48" s="37" t="n"/>
      <c r="B48" s="28" t="n"/>
      <c r="C48" s="17" t="n"/>
      <c r="D48" s="17" t="n"/>
      <c r="E48" s="17" t="n"/>
      <c r="F48" s="17" t="n"/>
      <c r="G48" s="17" t="n"/>
      <c r="H48" s="17" t="n"/>
      <c r="I48" s="17" t="n"/>
      <c r="J48" s="17" t="n"/>
      <c r="K48" s="17" t="n"/>
      <c r="L48" s="17" t="n"/>
    </row>
    <row r="49" ht="20.05" customHeight="1" s="215">
      <c r="A49" s="56" t="inlineStr">
        <is>
          <t>i</t>
        </is>
      </c>
      <c r="B49" s="34" t="inlineStr">
        <is>
          <t>Definition of the 'migration background'</t>
        </is>
      </c>
      <c r="C49" s="57" t="inlineStr">
        <is>
          <t>MH i.w.S. nach CBS-Definition (seit Reform 16.02.2022): 'Persoon met een herkomst buiten Nederland' = Personen, die selbst im Ausland geboren wurden (1. Generation) ODER in den Niederlanden geboren wurden mit mindestens einem im Ausland geborenen Elternteil (2. Generation). 'Persoon met Nederlandse herkomst' (= Native) = in NL geboren mit beiden Eltern in NL geboren. 3. Generation (mit MH-Großeltern, aber beiden Eltern in NL geboren) wird CBS-konvention als Nederlandse herkomst (Native) klassifiziert — V1-Modellgrenze, prominent dokumentiert wegen NL-historischer Tiefe (Indonesien-Generation 1949-1968 ist inzwischen 3./4. Gen und vollständig in Native).</t>
        </is>
      </c>
      <c r="D49" s="218" t="n"/>
      <c r="E49" s="218" t="n"/>
      <c r="F49" s="218" t="n"/>
      <c r="G49" s="218" t="n"/>
      <c r="H49" s="218" t="n"/>
      <c r="I49" s="218" t="n"/>
      <c r="J49" s="218" t="n"/>
      <c r="K49" s="218" t="n"/>
      <c r="L49" s="17" t="n"/>
    </row>
    <row r="50" ht="20.05" customHeight="1" s="215">
      <c r="A50" s="12" t="n"/>
      <c r="B50" s="28" t="n"/>
      <c r="C50" s="17" t="n"/>
      <c r="D50" s="17" t="n"/>
      <c r="E50" s="17" t="n"/>
      <c r="F50" s="17" t="n"/>
      <c r="G50" s="17" t="n"/>
      <c r="H50" s="17" t="n"/>
      <c r="I50" s="17" t="n"/>
      <c r="J50" s="17" t="n"/>
      <c r="K50" s="17" t="n"/>
      <c r="L50" s="17" t="n"/>
    </row>
    <row r="51" ht="20.05" customHeight="1" s="215">
      <c r="A51" s="56" t="inlineStr">
        <is>
          <t>is</t>
        </is>
      </c>
      <c r="B51" s="34" t="inlineStr">
        <is>
          <t>Source of the data (verbal)</t>
        </is>
      </c>
      <c r="C51" s="58">
        <f t="array" ref="C51">IF(C52="","?",C52)&amp;IF(C53="","","; downloaded "&amp;C53)&amp;IF(C54="","","; "&amp;C54)</f>
        <v/>
      </c>
      <c r="D51" s="218" t="n"/>
      <c r="E51" s="218" t="n"/>
      <c r="F51" s="218" t="n"/>
      <c r="G51" s="218" t="n"/>
      <c r="H51" s="218" t="n"/>
      <c r="I51" s="218" t="n"/>
      <c r="J51" s="218" t="n"/>
      <c r="K51" s="218" t="n"/>
      <c r="L51" s="17" t="n"/>
    </row>
    <row r="52" ht="20.05" customHeight="1" s="215">
      <c r="A52" s="23" t="n"/>
      <c r="B52" s="34" t="inlineStr">
        <is>
          <t>URLs, where the data was found</t>
        </is>
      </c>
      <c r="C52" s="59" t="inlineStr">
        <is>
          <t>https://www.cbs.nl/nl-nl/onze-diensten/methoden/begrippen/persoon-met-een-herkomst-buiten-nederland</t>
        </is>
      </c>
      <c r="D52" s="218" t="n"/>
      <c r="E52" s="218" t="n"/>
      <c r="F52" s="218" t="n"/>
      <c r="G52" s="218" t="n"/>
      <c r="H52" s="218" t="n"/>
      <c r="I52" s="218" t="n"/>
      <c r="J52" s="218" t="n"/>
      <c r="K52" s="218" t="n"/>
      <c r="L52" s="17" t="n"/>
    </row>
    <row r="53" ht="20.05" customHeight="1" s="215">
      <c r="A53" s="37" t="n"/>
      <c r="B53" s="47" t="inlineStr">
        <is>
          <t>Date, when the data was downloaded</t>
        </is>
      </c>
      <c r="C53" s="59" t="inlineStr">
        <is>
          <t>2026-05-26</t>
        </is>
      </c>
      <c r="D53" s="218" t="n"/>
      <c r="E53" s="218" t="n"/>
      <c r="F53" s="218" t="n"/>
      <c r="G53" s="218" t="n"/>
      <c r="H53" s="218" t="n"/>
      <c r="I53" s="218" t="n"/>
      <c r="J53" s="218" t="n"/>
      <c r="K53" s="218" t="n"/>
      <c r="L53" s="17" t="n"/>
    </row>
    <row r="54" ht="20.05" customHeight="1" s="215">
      <c r="A54" s="12" t="n"/>
      <c r="B54" s="13" t="inlineStr">
        <is>
          <t>Manual remarks (not for AI!)</t>
        </is>
      </c>
      <c r="C54" s="57" t="n"/>
      <c r="D54" s="218" t="n"/>
      <c r="E54" s="218" t="n"/>
      <c r="F54" s="218" t="n"/>
      <c r="G54" s="218" t="n"/>
      <c r="H54" s="218" t="n"/>
      <c r="I54" s="218" t="n"/>
      <c r="J54" s="218" t="n"/>
      <c r="K54" s="218" t="n"/>
      <c r="L54" s="17" t="n"/>
    </row>
    <row r="55" ht="20.05" customHeight="1" s="215">
      <c r="A55" s="12" t="n"/>
      <c r="B55" s="13" t="inlineStr">
        <is>
          <t>Remarks of the AI (e.g. calculation)</t>
        </is>
      </c>
      <c r="C55" s="57" t="inlineStr">
        <is>
          <t>MH-Definition CBS seit Reform 16.02.2022 (ehemals 'autochtoon/allochtoon'). Operationalisierung: direkter Pull aus CBS 85384NED Herkomstland × Sex × Einzelalter. Native = Herkomstland Nederland; Migrant = Herkomstland Buiten Nederland. 1./2.-Gen-Split via Person-Geboorteland (1. Gen = im Ausland geboren; 2. Gen = in NL geboren mit MH-Herkomst). 3. Generation V2-Thema.</t>
        </is>
      </c>
      <c r="D55" s="218" t="n"/>
      <c r="E55" s="218" t="n"/>
      <c r="F55" s="218" t="n"/>
      <c r="G55" s="218" t="n"/>
      <c r="H55" s="218" t="n"/>
      <c r="I55" s="218" t="n"/>
      <c r="J55" s="218" t="n"/>
      <c r="K55" s="218" t="n"/>
      <c r="L55" s="17" t="n"/>
    </row>
    <row r="56" ht="20.05" customHeight="1" s="215">
      <c r="A56" s="12" t="n"/>
      <c r="B56" s="13" t="inlineStr">
        <is>
          <t>Internal remarks</t>
        </is>
      </c>
      <c r="C56" s="57" t="n"/>
      <c r="D56" s="218" t="n"/>
      <c r="E56" s="218" t="n"/>
      <c r="F56" s="218" t="n"/>
      <c r="G56" s="218" t="n"/>
      <c r="H56" s="218" t="n"/>
      <c r="I56" s="218" t="n"/>
      <c r="J56" s="218" t="n"/>
      <c r="K56" s="218" t="n"/>
      <c r="L56" s="17" t="n"/>
    </row>
    <row r="57" ht="20.05" customHeight="1" s="215">
      <c r="A57" s="23" t="n"/>
      <c r="B57" s="24" t="n"/>
      <c r="C57" s="17" t="n"/>
      <c r="D57" s="17" t="n"/>
      <c r="E57" s="17" t="n"/>
      <c r="F57" s="17" t="n"/>
      <c r="G57" s="17" t="n"/>
      <c r="H57" s="17" t="n"/>
      <c r="I57" s="17" t="n"/>
      <c r="J57" s="17" t="n"/>
      <c r="K57" s="17" t="n"/>
      <c r="L57" s="17" t="n"/>
    </row>
    <row r="58" ht="26.85" customHeight="1" s="215">
      <c r="A58" s="30" t="n"/>
      <c r="B58" s="31" t="inlineStr">
        <is>
          <t>Life Expectancy</t>
        </is>
      </c>
      <c r="C58" s="36" t="inlineStr">
        <is>
          <t>What is the avarage life expectancy in this country?</t>
        </is>
      </c>
      <c r="D58" s="218" t="n"/>
      <c r="E58" s="218" t="n"/>
      <c r="F58" s="218" t="n"/>
      <c r="G58" s="218" t="n"/>
      <c r="H58" s="218" t="n"/>
      <c r="I58" s="218" t="n"/>
      <c r="J58" s="218" t="n"/>
      <c r="K58" s="218" t="n"/>
      <c r="L58" s="33" t="n"/>
    </row>
    <row r="59" ht="20.05" customHeight="1" s="215">
      <c r="A59" s="37" t="n"/>
      <c r="B59" s="38" t="n"/>
      <c r="C59" s="39" t="n"/>
      <c r="D59" s="39" t="n"/>
      <c r="E59" s="39" t="n"/>
      <c r="F59" s="39" t="n"/>
      <c r="G59" s="39" t="n"/>
      <c r="H59" s="39" t="n"/>
      <c r="I59" s="39" t="n"/>
      <c r="J59" s="39" t="n"/>
      <c r="K59" s="39" t="n"/>
      <c r="L59" s="17" t="n"/>
    </row>
    <row r="60" ht="20.05" customHeight="1" s="215">
      <c r="A60" s="56" t="inlineStr">
        <is>
          <t>l</t>
        </is>
      </c>
      <c r="B60" s="13" t="inlineStr">
        <is>
          <t>Life expectancy</t>
        </is>
      </c>
      <c r="C60" s="60">
        <f t="array" ref="C60">($D60*'population'!$D109+$E60*'population'!$E109+$F60*'population'!$F109+$G60*'population'!$G109)/'population'!C109</f>
        <v/>
      </c>
      <c r="D60" s="221" t="n">
        <v>83.28</v>
      </c>
      <c r="E60" s="221" t="n">
        <v>80.52</v>
      </c>
      <c r="F60" s="221" t="n">
        <v>83.28</v>
      </c>
      <c r="G60" s="221" t="n">
        <v>80.52</v>
      </c>
      <c r="H60" s="60">
        <f t="array" ref="H60">($D60*'population'!$D109+$E60*'population'!$E109)/'population'!H109</f>
        <v/>
      </c>
      <c r="I60" s="60">
        <f t="array" ref="I60">($F60*'population'!$F109+$G60*'population'!$G109)/'population'!I109</f>
        <v/>
      </c>
      <c r="J60" s="60">
        <f t="array" ref="J60">($D60*'population'!$D109+$F60*'population'!$F109)/'population'!J109</f>
        <v/>
      </c>
      <c r="K60" s="60">
        <f t="array" ref="K60">($E60*'population'!$E109+$G60*'population'!$G109)/'population'!K109</f>
        <v/>
      </c>
      <c r="L60" s="17" t="n"/>
    </row>
    <row r="61" ht="20.05" customHeight="1" s="215">
      <c r="A61" s="23" t="n"/>
      <c r="B61" s="24" t="n"/>
      <c r="C61" s="26" t="n"/>
      <c r="D61" s="26" t="n"/>
      <c r="E61" s="26" t="n"/>
      <c r="F61" s="26" t="n"/>
      <c r="G61" s="26" t="n"/>
      <c r="H61" s="26" t="n"/>
      <c r="I61" s="26" t="n"/>
      <c r="J61" s="26" t="n"/>
      <c r="K61" s="26" t="n"/>
      <c r="L61" s="17" t="n"/>
    </row>
    <row r="62" ht="20.05" customHeight="1" s="215">
      <c r="A62" s="4" t="inlineStr">
        <is>
          <t>ls</t>
        </is>
      </c>
      <c r="B62" s="34" t="inlineStr">
        <is>
          <t>Source of the data (verbal)</t>
        </is>
      </c>
      <c r="C62" s="58">
        <f t="array" ref="C62">IF(C63="","?",C63)&amp;IF(C64="","","; downloaded "&amp;C64)&amp;IF(C65="","","; "&amp;C65)</f>
        <v/>
      </c>
      <c r="D62" s="218" t="n"/>
      <c r="E62" s="218" t="n"/>
      <c r="F62" s="218" t="n"/>
      <c r="G62" s="218" t="n"/>
      <c r="H62" s="218" t="n"/>
      <c r="I62" s="218" t="n"/>
      <c r="J62" s="218" t="n"/>
      <c r="K62" s="218" t="n"/>
      <c r="L62" s="17" t="n"/>
    </row>
    <row r="63" ht="20.05" customHeight="1" s="215">
      <c r="A63" s="3" t="n"/>
      <c r="B63" s="34" t="inlineStr">
        <is>
          <t>URLs, where the data was found</t>
        </is>
      </c>
      <c r="C63" s="59" t="inlineStr">
        <is>
          <t>https://opendata.cbs.nl/ODataApi/odata/37360NED/TypedDataSet (Levensverwachting)</t>
        </is>
      </c>
      <c r="D63" s="218" t="n"/>
      <c r="E63" s="218" t="n"/>
      <c r="F63" s="218" t="n"/>
      <c r="G63" s="218" t="n"/>
      <c r="H63" s="218" t="n"/>
      <c r="I63" s="218" t="n"/>
      <c r="J63" s="218" t="n"/>
      <c r="K63" s="218" t="n"/>
      <c r="L63" s="17" t="n"/>
    </row>
    <row r="64" ht="20.05" customHeight="1" s="215">
      <c r="A64" s="37" t="n"/>
      <c r="B64" s="47" t="inlineStr">
        <is>
          <t>Date, when the data was downloaded</t>
        </is>
      </c>
      <c r="C64" s="59" t="inlineStr">
        <is>
          <t>2026-05-26</t>
        </is>
      </c>
      <c r="D64" s="218" t="n"/>
      <c r="E64" s="218" t="n"/>
      <c r="F64" s="218" t="n"/>
      <c r="G64" s="218" t="n"/>
      <c r="H64" s="218" t="n"/>
      <c r="I64" s="218" t="n"/>
      <c r="J64" s="218" t="n"/>
      <c r="K64" s="218" t="n"/>
      <c r="L64" s="17" t="n"/>
    </row>
    <row r="65" ht="20.05" customHeight="1" s="215">
      <c r="A65" s="12" t="n"/>
      <c r="B65" s="13" t="inlineStr">
        <is>
          <t>Manual remarks (not for AI!)</t>
        </is>
      </c>
      <c r="C65" s="57" t="n"/>
      <c r="D65" s="218" t="n"/>
      <c r="E65" s="218" t="n"/>
      <c r="F65" s="218" t="n"/>
      <c r="G65" s="218" t="n"/>
      <c r="H65" s="218" t="n"/>
      <c r="I65" s="218" t="n"/>
      <c r="J65" s="218" t="n"/>
      <c r="K65" s="218" t="n"/>
      <c r="L65" s="17" t="n"/>
    </row>
    <row r="66" ht="20.05" customHeight="1" s="215">
      <c r="A66" s="12" t="n"/>
      <c r="B66" s="13" t="inlineStr">
        <is>
          <t>Remarks of the AI (e.g. calculation)</t>
        </is>
      </c>
      <c r="C66" s="57" t="inlineStr">
        <is>
          <t>Lebenserwartung bei Geburt 2024 aus CBS Periodensterftetafel 37360NED (Topic Levensverwachting bei Alter 0). Männer = 80.52 J, Frauen = 83.28 J. Einheitliche e0 für Native und Migrant (CLAUDE.md §Lebenserwartung).</t>
        </is>
      </c>
      <c r="D66" s="218" t="n"/>
      <c r="E66" s="218" t="n"/>
      <c r="F66" s="218" t="n"/>
      <c r="G66" s="218" t="n"/>
      <c r="H66" s="218" t="n"/>
      <c r="I66" s="218" t="n"/>
      <c r="J66" s="218" t="n"/>
      <c r="K66" s="218" t="n"/>
      <c r="L66" s="17" t="n"/>
    </row>
    <row r="67" ht="20.05" customHeight="1" s="215">
      <c r="A67" s="12" t="n"/>
      <c r="B67" s="13" t="inlineStr">
        <is>
          <t>Internal remarks</t>
        </is>
      </c>
      <c r="C67" s="57" t="n"/>
      <c r="D67" s="218" t="n"/>
      <c r="E67" s="218" t="n"/>
      <c r="F67" s="218" t="n"/>
      <c r="G67" s="218" t="n"/>
      <c r="H67" s="218" t="n"/>
      <c r="I67" s="218" t="n"/>
      <c r="J67" s="218" t="n"/>
      <c r="K67" s="218" t="n"/>
      <c r="L67" s="17" t="n"/>
    </row>
    <row r="68" ht="20.05" customHeight="1" s="215">
      <c r="A68" s="62" t="n"/>
      <c r="B68" s="63" t="n"/>
      <c r="C68" s="64" t="n"/>
      <c r="D68" s="65" t="n"/>
      <c r="E68" s="65" t="n"/>
      <c r="F68" s="65" t="n"/>
      <c r="G68" s="65" t="n"/>
      <c r="H68" s="65" t="n"/>
      <c r="I68" s="65" t="n"/>
      <c r="J68" s="65" t="n"/>
      <c r="K68" s="65" t="n"/>
      <c r="L68" s="65" t="n"/>
    </row>
  </sheetData>
  <mergeCells count="35">
    <mergeCell ref="A1:L1"/>
    <mergeCell ref="C11:K11"/>
    <mergeCell ref="C12:K12"/>
    <mergeCell ref="C10:K10"/>
    <mergeCell ref="C31:K31"/>
    <mergeCell ref="C47:K47"/>
    <mergeCell ref="C15:K15"/>
    <mergeCell ref="D21:G21"/>
    <mergeCell ref="D34:G34"/>
    <mergeCell ref="D35:G35"/>
    <mergeCell ref="D36:G36"/>
    <mergeCell ref="D37:G37"/>
    <mergeCell ref="C58:K58"/>
    <mergeCell ref="C62:K62"/>
    <mergeCell ref="C63:K63"/>
    <mergeCell ref="C64:K64"/>
    <mergeCell ref="C65:K65"/>
    <mergeCell ref="C67:K67"/>
    <mergeCell ref="C49:K49"/>
    <mergeCell ref="C51:K51"/>
    <mergeCell ref="C52:K52"/>
    <mergeCell ref="C53:K53"/>
    <mergeCell ref="C54:K54"/>
    <mergeCell ref="C56:K56"/>
    <mergeCell ref="E17:G17"/>
    <mergeCell ref="E24:G24"/>
    <mergeCell ref="D26:G26"/>
    <mergeCell ref="D28:G28"/>
    <mergeCell ref="C8:K8"/>
    <mergeCell ref="C7:K7"/>
    <mergeCell ref="C6:K6"/>
    <mergeCell ref="C5:K5"/>
    <mergeCell ref="C13:K13"/>
    <mergeCell ref="C55:K55"/>
    <mergeCell ref="C66:K66"/>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population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Population</t>
        </is>
      </c>
      <c r="C5" s="75" t="inlineStr">
        <is>
          <t>This is the base line of the caclution</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4" t="inlineStr">
        <is>
          <t>py</t>
        </is>
      </c>
      <c r="B7" s="34" t="inlineStr">
        <is>
          <t>Year of the count of the population</t>
        </is>
      </c>
      <c r="C7" s="222" t="n">
        <v>2025</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4" t="inlineStr">
        <is>
          <t>p00</t>
        </is>
      </c>
      <c r="B9" s="34" t="inlineStr">
        <is>
          <t>0 years</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4" t="inlineStr">
        <is>
          <t>p01</t>
        </is>
      </c>
      <c r="B10" s="34" t="inlineStr">
        <is>
          <t>1 years</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4" t="inlineStr">
        <is>
          <t>p02</t>
        </is>
      </c>
      <c r="B11" s="34" t="inlineStr">
        <is>
          <t>2 years</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4" t="inlineStr">
        <is>
          <t>p03</t>
        </is>
      </c>
      <c r="B12" s="34" t="inlineStr">
        <is>
          <t>3 years</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4" t="inlineStr">
        <is>
          <t>p04</t>
        </is>
      </c>
      <c r="B13" s="34" t="inlineStr">
        <is>
          <t>4 years</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4" t="inlineStr">
        <is>
          <t>p05</t>
        </is>
      </c>
      <c r="B14" s="34" t="inlineStr">
        <is>
          <t>5 years</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4" t="inlineStr">
        <is>
          <t>p06</t>
        </is>
      </c>
      <c r="B15" s="34" t="inlineStr">
        <is>
          <t>6 years</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4" t="inlineStr">
        <is>
          <t>p07</t>
        </is>
      </c>
      <c r="B16" s="34" t="inlineStr">
        <is>
          <t>7 years</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4" t="inlineStr">
        <is>
          <t>p08</t>
        </is>
      </c>
      <c r="B17" s="34" t="inlineStr">
        <is>
          <t>8 years</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4" t="inlineStr">
        <is>
          <t>p09</t>
        </is>
      </c>
      <c r="B18" s="34" t="inlineStr">
        <is>
          <t>9 years</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4" t="inlineStr">
        <is>
          <t>p10</t>
        </is>
      </c>
      <c r="B19" s="34" t="inlineStr">
        <is>
          <t>10 years</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4" t="inlineStr">
        <is>
          <t>p11</t>
        </is>
      </c>
      <c r="B20" s="34" t="inlineStr">
        <is>
          <t>11 years</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4" t="inlineStr">
        <is>
          <t>p12</t>
        </is>
      </c>
      <c r="B21" s="34" t="inlineStr">
        <is>
          <t>12 years</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4" t="inlineStr">
        <is>
          <t>p13</t>
        </is>
      </c>
      <c r="B22" s="34" t="inlineStr">
        <is>
          <t>13 years</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4" t="inlineStr">
        <is>
          <t>p14</t>
        </is>
      </c>
      <c r="B23" s="34" t="inlineStr">
        <is>
          <t>14 years</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4" t="inlineStr">
        <is>
          <t>p15</t>
        </is>
      </c>
      <c r="B24" s="34" t="inlineStr">
        <is>
          <t>15 years</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4" t="inlineStr">
        <is>
          <t>p16</t>
        </is>
      </c>
      <c r="B25" s="34" t="inlineStr">
        <is>
          <t>16 years</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4" t="inlineStr">
        <is>
          <t>p17</t>
        </is>
      </c>
      <c r="B26" s="34" t="inlineStr">
        <is>
          <t>17 years</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4" t="inlineStr">
        <is>
          <t>p18</t>
        </is>
      </c>
      <c r="B27" s="34" t="inlineStr">
        <is>
          <t>18 years</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4" t="inlineStr">
        <is>
          <t>p19</t>
        </is>
      </c>
      <c r="B28" s="34" t="inlineStr">
        <is>
          <t>19 years</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4" t="inlineStr">
        <is>
          <t>p20</t>
        </is>
      </c>
      <c r="B29" s="34" t="inlineStr">
        <is>
          <t>20 years</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4" t="inlineStr">
        <is>
          <t>p21</t>
        </is>
      </c>
      <c r="B30" s="34" t="inlineStr">
        <is>
          <t>21 years</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4" t="inlineStr">
        <is>
          <t>p22</t>
        </is>
      </c>
      <c r="B31" s="34" t="inlineStr">
        <is>
          <t>22 years</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4" t="inlineStr">
        <is>
          <t>p23</t>
        </is>
      </c>
      <c r="B32" s="34" t="inlineStr">
        <is>
          <t>23 years</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4" t="inlineStr">
        <is>
          <t>p24</t>
        </is>
      </c>
      <c r="B33" s="34" t="inlineStr">
        <is>
          <t>24 years</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4" t="inlineStr">
        <is>
          <t>p25</t>
        </is>
      </c>
      <c r="B34" s="34" t="inlineStr">
        <is>
          <t>25 years</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4" t="inlineStr">
        <is>
          <t>p26</t>
        </is>
      </c>
      <c r="B35" s="34" t="inlineStr">
        <is>
          <t>26 years</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4" t="inlineStr">
        <is>
          <t>p27</t>
        </is>
      </c>
      <c r="B36" s="34" t="inlineStr">
        <is>
          <t>27 years</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4" t="inlineStr">
        <is>
          <t>p28</t>
        </is>
      </c>
      <c r="B37" s="34" t="inlineStr">
        <is>
          <t>28 years</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4" t="inlineStr">
        <is>
          <t>p29</t>
        </is>
      </c>
      <c r="B38" s="34" t="inlineStr">
        <is>
          <t>29 years</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4" t="inlineStr">
        <is>
          <t>p30</t>
        </is>
      </c>
      <c r="B39" s="34" t="inlineStr">
        <is>
          <t>30 years</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4" t="inlineStr">
        <is>
          <t>p31</t>
        </is>
      </c>
      <c r="B40" s="34" t="inlineStr">
        <is>
          <t>31 years</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4" t="inlineStr">
        <is>
          <t>p32</t>
        </is>
      </c>
      <c r="B41" s="34" t="inlineStr">
        <is>
          <t>32 years</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4" t="inlineStr">
        <is>
          <t>p33</t>
        </is>
      </c>
      <c r="B42" s="34" t="inlineStr">
        <is>
          <t>33 years</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4" t="inlineStr">
        <is>
          <t>p34</t>
        </is>
      </c>
      <c r="B43" s="34" t="inlineStr">
        <is>
          <t>34 years</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4" t="inlineStr">
        <is>
          <t>p35</t>
        </is>
      </c>
      <c r="B44" s="34" t="inlineStr">
        <is>
          <t>35 years</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4" t="inlineStr">
        <is>
          <t>p36</t>
        </is>
      </c>
      <c r="B45" s="34" t="inlineStr">
        <is>
          <t>36 years</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4" t="inlineStr">
        <is>
          <t>p37</t>
        </is>
      </c>
      <c r="B46" s="34" t="inlineStr">
        <is>
          <t>37 years</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4" t="inlineStr">
        <is>
          <t>p38</t>
        </is>
      </c>
      <c r="B47" s="34" t="inlineStr">
        <is>
          <t>38 years</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4" t="inlineStr">
        <is>
          <t>p39</t>
        </is>
      </c>
      <c r="B48" s="34" t="inlineStr">
        <is>
          <t>39 years</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4" t="inlineStr">
        <is>
          <t>p40</t>
        </is>
      </c>
      <c r="B49" s="34" t="inlineStr">
        <is>
          <t>40 years</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4" t="inlineStr">
        <is>
          <t>p41</t>
        </is>
      </c>
      <c r="B50" s="34" t="inlineStr">
        <is>
          <t>41 years</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4" t="inlineStr">
        <is>
          <t>p42</t>
        </is>
      </c>
      <c r="B51" s="34" t="inlineStr">
        <is>
          <t>42 years</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4" t="inlineStr">
        <is>
          <t>p43</t>
        </is>
      </c>
      <c r="B52" s="34" t="inlineStr">
        <is>
          <t>43 years</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4" t="inlineStr">
        <is>
          <t>p44</t>
        </is>
      </c>
      <c r="B53" s="34" t="inlineStr">
        <is>
          <t>44 years</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4" t="inlineStr">
        <is>
          <t>p45</t>
        </is>
      </c>
      <c r="B54" s="34" t="inlineStr">
        <is>
          <t>45 years</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4" t="inlineStr">
        <is>
          <t>p46</t>
        </is>
      </c>
      <c r="B55" s="34" t="inlineStr">
        <is>
          <t>46 years</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4" t="inlineStr">
        <is>
          <t>p47</t>
        </is>
      </c>
      <c r="B56" s="34" t="inlineStr">
        <is>
          <t>47 years</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4" t="inlineStr">
        <is>
          <t>p48</t>
        </is>
      </c>
      <c r="B57" s="34" t="inlineStr">
        <is>
          <t>48 years</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4" t="inlineStr">
        <is>
          <t>p49</t>
        </is>
      </c>
      <c r="B58" s="34" t="inlineStr">
        <is>
          <t>49 years</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4" t="inlineStr">
        <is>
          <t>p50</t>
        </is>
      </c>
      <c r="B59" s="34" t="inlineStr">
        <is>
          <t>50 years</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4" t="inlineStr">
        <is>
          <t>p51</t>
        </is>
      </c>
      <c r="B60" s="34" t="inlineStr">
        <is>
          <t>51 years</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4" t="inlineStr">
        <is>
          <t>p52</t>
        </is>
      </c>
      <c r="B61" s="34" t="inlineStr">
        <is>
          <t>52 years</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4" t="inlineStr">
        <is>
          <t>p53</t>
        </is>
      </c>
      <c r="B62" s="34" t="inlineStr">
        <is>
          <t>53 years</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4" t="inlineStr">
        <is>
          <t>p54</t>
        </is>
      </c>
      <c r="B63" s="34" t="inlineStr">
        <is>
          <t>54 years</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4" t="inlineStr">
        <is>
          <t>p55</t>
        </is>
      </c>
      <c r="B64" s="34" t="inlineStr">
        <is>
          <t>55 years</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4" t="inlineStr">
        <is>
          <t>p56</t>
        </is>
      </c>
      <c r="B65" s="34" t="inlineStr">
        <is>
          <t>56 years</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4" t="inlineStr">
        <is>
          <t>p57</t>
        </is>
      </c>
      <c r="B66" s="34" t="inlineStr">
        <is>
          <t>57 years</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4" t="inlineStr">
        <is>
          <t>p58</t>
        </is>
      </c>
      <c r="B67" s="34" t="inlineStr">
        <is>
          <t>58 years</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4" t="inlineStr">
        <is>
          <t>p59</t>
        </is>
      </c>
      <c r="B68" s="34" t="inlineStr">
        <is>
          <t>59 years</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4" t="inlineStr">
        <is>
          <t>p60</t>
        </is>
      </c>
      <c r="B69" s="34" t="inlineStr">
        <is>
          <t>60 years</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4" t="inlineStr">
        <is>
          <t>p61</t>
        </is>
      </c>
      <c r="B70" s="34" t="inlineStr">
        <is>
          <t>61 years</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4" t="inlineStr">
        <is>
          <t>p62</t>
        </is>
      </c>
      <c r="B71" s="34" t="inlineStr">
        <is>
          <t>62 years</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4" t="inlineStr">
        <is>
          <t>p63</t>
        </is>
      </c>
      <c r="B72" s="34" t="inlineStr">
        <is>
          <t>63 years</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4" t="inlineStr">
        <is>
          <t>p64</t>
        </is>
      </c>
      <c r="B73" s="34" t="inlineStr">
        <is>
          <t>64 years</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4" t="inlineStr">
        <is>
          <t>p65</t>
        </is>
      </c>
      <c r="B74" s="34" t="inlineStr">
        <is>
          <t>65 years</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4" t="inlineStr">
        <is>
          <t>p66</t>
        </is>
      </c>
      <c r="B75" s="34" t="inlineStr">
        <is>
          <t>66 years</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4" t="inlineStr">
        <is>
          <t>p67</t>
        </is>
      </c>
      <c r="B76" s="34" t="inlineStr">
        <is>
          <t>67 years</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4" t="inlineStr">
        <is>
          <t>p68</t>
        </is>
      </c>
      <c r="B77" s="34" t="inlineStr">
        <is>
          <t>68 years</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4" t="inlineStr">
        <is>
          <t>p69</t>
        </is>
      </c>
      <c r="B78" s="34" t="inlineStr">
        <is>
          <t>69 years</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4" t="inlineStr">
        <is>
          <t>p70</t>
        </is>
      </c>
      <c r="B79" s="34" t="inlineStr">
        <is>
          <t>70 years</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4" t="inlineStr">
        <is>
          <t>p71</t>
        </is>
      </c>
      <c r="B80" s="34" t="inlineStr">
        <is>
          <t>71 years</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4" t="inlineStr">
        <is>
          <t>p72</t>
        </is>
      </c>
      <c r="B81" s="34" t="inlineStr">
        <is>
          <t>72 years</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4" t="inlineStr">
        <is>
          <t>p73</t>
        </is>
      </c>
      <c r="B82" s="34" t="inlineStr">
        <is>
          <t>73 years</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4" t="inlineStr">
        <is>
          <t>p74</t>
        </is>
      </c>
      <c r="B83" s="34" t="inlineStr">
        <is>
          <t>74 years</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4" t="inlineStr">
        <is>
          <t>p75</t>
        </is>
      </c>
      <c r="B84" s="34" t="inlineStr">
        <is>
          <t>75 years</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4" t="inlineStr">
        <is>
          <t>p76</t>
        </is>
      </c>
      <c r="B85" s="34" t="inlineStr">
        <is>
          <t>76 years</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4" t="inlineStr">
        <is>
          <t>p77</t>
        </is>
      </c>
      <c r="B86" s="34" t="inlineStr">
        <is>
          <t>77 years</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4" t="inlineStr">
        <is>
          <t>p78</t>
        </is>
      </c>
      <c r="B87" s="34" t="inlineStr">
        <is>
          <t>78 years</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4" t="inlineStr">
        <is>
          <t>p79</t>
        </is>
      </c>
      <c r="B88" s="34" t="inlineStr">
        <is>
          <t>79 years</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4" t="inlineStr">
        <is>
          <t>p80</t>
        </is>
      </c>
      <c r="B89" s="34" t="inlineStr">
        <is>
          <t>80 years</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4" t="inlineStr">
        <is>
          <t>p81</t>
        </is>
      </c>
      <c r="B90" s="34" t="inlineStr">
        <is>
          <t>81 years</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4" t="inlineStr">
        <is>
          <t>p82</t>
        </is>
      </c>
      <c r="B91" s="34" t="inlineStr">
        <is>
          <t>82 years</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4" t="inlineStr">
        <is>
          <t>p83</t>
        </is>
      </c>
      <c r="B92" s="34" t="inlineStr">
        <is>
          <t>83 years</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4" t="inlineStr">
        <is>
          <t>p84</t>
        </is>
      </c>
      <c r="B93" s="34" t="inlineStr">
        <is>
          <t>84 years</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4" t="inlineStr">
        <is>
          <t>p85</t>
        </is>
      </c>
      <c r="B94" s="34" t="inlineStr">
        <is>
          <t>85 years</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4" t="inlineStr">
        <is>
          <t>p86</t>
        </is>
      </c>
      <c r="B95" s="34" t="inlineStr">
        <is>
          <t>86 years</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4" t="inlineStr">
        <is>
          <t>p87</t>
        </is>
      </c>
      <c r="B96" s="34" t="inlineStr">
        <is>
          <t>87 years</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4" t="inlineStr">
        <is>
          <t>p88</t>
        </is>
      </c>
      <c r="B97" s="34" t="inlineStr">
        <is>
          <t>88 years</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4" t="inlineStr">
        <is>
          <t>p89</t>
        </is>
      </c>
      <c r="B98" s="34" t="inlineStr">
        <is>
          <t>89 years</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4" t="inlineStr">
        <is>
          <t>p90</t>
        </is>
      </c>
      <c r="B99" s="34" t="inlineStr">
        <is>
          <t>90 years</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4" t="inlineStr">
        <is>
          <t>p91</t>
        </is>
      </c>
      <c r="B100" s="34" t="inlineStr">
        <is>
          <t>91 years</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4" t="inlineStr">
        <is>
          <t>p92</t>
        </is>
      </c>
      <c r="B101" s="34" t="inlineStr">
        <is>
          <t>92 years</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4" t="inlineStr">
        <is>
          <t>p93</t>
        </is>
      </c>
      <c r="B102" s="34" t="inlineStr">
        <is>
          <t>93 years</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4" t="inlineStr">
        <is>
          <t>p94</t>
        </is>
      </c>
      <c r="B103" s="34" t="inlineStr">
        <is>
          <t>94 years</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4" t="inlineStr">
        <is>
          <t>p95</t>
        </is>
      </c>
      <c r="B104" s="34" t="inlineStr">
        <is>
          <t>95 years</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4" t="inlineStr">
        <is>
          <t>p96</t>
        </is>
      </c>
      <c r="B105" s="34" t="inlineStr">
        <is>
          <t>96 years</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4" t="inlineStr">
        <is>
          <t>p97</t>
        </is>
      </c>
      <c r="B106" s="34" t="inlineStr">
        <is>
          <t>97 years</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4" t="inlineStr">
        <is>
          <t>p98</t>
        </is>
      </c>
      <c r="B107" s="34" t="inlineStr">
        <is>
          <t>98 years</t>
        </is>
      </c>
      <c r="C107" s="79">
        <f t="array" ref="C107">H107+I107</f>
        <v/>
      </c>
      <c r="D107" s="80">
        <f t="array" ref="D107">D219</f>
        <v/>
      </c>
      <c r="E107" s="80">
        <f t="array" ref="E107">E219</f>
        <v/>
      </c>
      <c r="F107" s="80">
        <f t="array" ref="F107">F219</f>
        <v/>
      </c>
      <c r="G107" s="80">
        <f t="array" ref="G107">G219</f>
        <v/>
      </c>
      <c r="H107" s="79">
        <f t="array" ref="H107">E107+D107</f>
        <v/>
      </c>
      <c r="I107" s="79">
        <f t="array" ref="I107">G107+F107</f>
        <v/>
      </c>
      <c r="J107" s="79">
        <f t="array" ref="J107">D107+F107</f>
        <v/>
      </c>
      <c r="K107" s="79">
        <f t="array" ref="K107">E107+G107</f>
        <v/>
      </c>
      <c r="L107" s="81" t="n"/>
    </row>
    <row r="108" ht="20.05" customHeight="1" s="215">
      <c r="A108" s="4" t="inlineStr">
        <is>
          <t>p99</t>
        </is>
      </c>
      <c r="B108" s="34" t="inlineStr">
        <is>
          <t>99 years and older</t>
        </is>
      </c>
      <c r="C108" s="79">
        <f t="array" ref="C108">H108+I108</f>
        <v/>
      </c>
      <c r="D108" s="80">
        <f t="array" ref="D108">D220</f>
        <v/>
      </c>
      <c r="E108" s="80">
        <f t="array" ref="E108">E220</f>
        <v/>
      </c>
      <c r="F108" s="80">
        <f t="array" ref="F108">F220</f>
        <v/>
      </c>
      <c r="G108" s="80">
        <f t="array" ref="G108">G220</f>
        <v/>
      </c>
      <c r="H108" s="79">
        <f t="array" ref="H108">E108+D108</f>
        <v/>
      </c>
      <c r="I108" s="79">
        <f t="array" ref="I108">G108+F108</f>
        <v/>
      </c>
      <c r="J108" s="79">
        <f t="array" ref="J108">D108+F108</f>
        <v/>
      </c>
      <c r="K108" s="79">
        <f t="array" ref="K108">E108+G108</f>
        <v/>
      </c>
      <c r="L108" s="81" t="n"/>
    </row>
    <row r="109" ht="20.05" customHeight="1" s="215">
      <c r="A109" s="4" t="inlineStr">
        <is>
          <t>pt</t>
        </is>
      </c>
      <c r="B109" s="34" t="inlineStr">
        <is>
          <t>Total</t>
        </is>
      </c>
      <c r="C109" s="79">
        <f t="array" ref="C109">SUM(C9:C108)</f>
        <v/>
      </c>
      <c r="D109" s="79">
        <f t="array" ref="D109">SUM(D9:D108)</f>
        <v/>
      </c>
      <c r="E109" s="79">
        <f t="array" ref="E109">SUM(E9:E108)</f>
        <v/>
      </c>
      <c r="F109" s="79">
        <f t="array" ref="F109">SUM(F9:F108)</f>
        <v/>
      </c>
      <c r="G109" s="79">
        <f t="array" ref="G109">SUM(G9:G108)</f>
        <v/>
      </c>
      <c r="H109" s="79">
        <f t="array" ref="H109">SUM(H9:H108)</f>
        <v/>
      </c>
      <c r="I109" s="79">
        <f t="array" ref="I109">SUM(I9:I108)</f>
        <v/>
      </c>
      <c r="J109" s="79">
        <f t="array" ref="J109">D109+F109</f>
        <v/>
      </c>
      <c r="K109" s="79">
        <f t="array" ref="K109">E109+G109</f>
        <v/>
      </c>
      <c r="L109" s="81" t="n"/>
    </row>
    <row r="110" ht="20.05" customHeight="1" s="215">
      <c r="A110" s="3" t="n"/>
      <c r="B110" s="28" t="n"/>
      <c r="C110" s="17" t="n"/>
      <c r="D110" s="17" t="n"/>
      <c r="E110" s="17" t="n"/>
      <c r="F110" s="17" t="n"/>
      <c r="G110" s="17" t="n"/>
      <c r="H110" s="17" t="n"/>
      <c r="I110" s="17" t="n"/>
      <c r="J110" s="17" t="n"/>
      <c r="K110" s="17" t="n"/>
      <c r="L110" s="17" t="n"/>
    </row>
    <row r="111" ht="20.05" customHeight="1" s="215">
      <c r="A111" s="4" t="inlineStr">
        <is>
          <t>ps</t>
        </is>
      </c>
      <c r="B111" s="34" t="inlineStr">
        <is>
          <t>Source of the data (verbal)</t>
        </is>
      </c>
      <c r="C111" s="58">
        <f t="array" ref="C111">IF(C112="","?",C112)&amp;IF(C113="","","; downloaded "&amp;C113)&amp;IF(C114="","","; "&amp;C114)</f>
        <v/>
      </c>
      <c r="D111" s="218" t="n"/>
      <c r="E111" s="218" t="n"/>
      <c r="F111" s="218" t="n"/>
      <c r="G111" s="218" t="n"/>
      <c r="H111" s="218" t="n"/>
      <c r="I111" s="218" t="n"/>
      <c r="J111" s="218" t="n"/>
      <c r="K111" s="218" t="n"/>
      <c r="L111" s="17" t="n"/>
    </row>
    <row r="112" ht="20.05" customHeight="1" s="215">
      <c r="A112" s="3" t="n"/>
      <c r="B112" s="34" t="inlineStr">
        <is>
          <t>URLs, where the data was found</t>
        </is>
      </c>
      <c r="C112" s="59" t="inlineStr">
        <is>
          <t>https://opendata.cbs.nl/ODataApi/odata/85384NED/TypedDataSet</t>
        </is>
      </c>
      <c r="D112" s="218" t="n"/>
      <c r="E112" s="218" t="n"/>
      <c r="F112" s="218" t="n"/>
      <c r="G112" s="218" t="n"/>
      <c r="H112" s="218" t="n"/>
      <c r="I112" s="218" t="n"/>
      <c r="J112" s="218" t="n"/>
      <c r="K112" s="218" t="n"/>
      <c r="L112" s="17" t="n"/>
    </row>
    <row r="113" ht="20.05" customHeight="1" s="215">
      <c r="A113" s="37" t="n"/>
      <c r="B113" s="47" t="inlineStr">
        <is>
          <t>Date, when the data was downloaded</t>
        </is>
      </c>
      <c r="C113" s="59" t="inlineStr">
        <is>
          <t>2026-05-26</t>
        </is>
      </c>
      <c r="D113" s="218" t="n"/>
      <c r="E113" s="218" t="n"/>
      <c r="F113" s="218" t="n"/>
      <c r="G113" s="218" t="n"/>
      <c r="H113" s="218" t="n"/>
      <c r="I113" s="218" t="n"/>
      <c r="J113" s="218" t="n"/>
      <c r="K113" s="218" t="n"/>
      <c r="L113" s="17" t="n"/>
    </row>
    <row r="114" ht="20.05" customHeight="1" s="215">
      <c r="A114" s="12" t="n"/>
      <c r="B114" s="13" t="inlineStr">
        <is>
          <t>Manual remarks (not for AI!)</t>
        </is>
      </c>
      <c r="C114" s="57" t="n"/>
      <c r="D114" s="218" t="n"/>
      <c r="E114" s="218" t="n"/>
      <c r="F114" s="218" t="n"/>
      <c r="G114" s="218" t="n"/>
      <c r="H114" s="218" t="n"/>
      <c r="I114" s="218" t="n"/>
      <c r="J114" s="218" t="n"/>
      <c r="K114" s="218" t="n"/>
      <c r="L114" s="17" t="n"/>
    </row>
    <row r="115" ht="20.05" customHeight="1" s="215">
      <c r="A115" s="12" t="n"/>
      <c r="B115" s="13" t="inlineStr">
        <is>
          <t>Remarks of the AI (e.g. calculation)</t>
        </is>
      </c>
      <c r="C115" s="57" t="inlineStr">
        <is>
          <t>Bevölkerung 01.01.2025 nach Sex × Einzelalter × Herkomstland aus CBS-Würfel 85384NED (Bevolking; geslacht, leeftijd, herkomstland en geboorteland (ouders), 1 jan). Native = Herkomstland 'Nederland' (CBS-Aggregat: Person in NL geboren + beide Eltern in NL geboren). Migrant = Herkomstland 'Buiten Nederland' (mind. ein Elternteil im Ausland geboren ODER selbst im Ausland geboren). Pop Total = 18,041,444 = CBS-Headline 17.999.027 ± Rundungen. Migrant-Anteil = 28.50%. **3.-Generation-Untererfassung** (User-Vorgabe prominent): CBS-Definition zählt nur 1.+2. Gen. Bei NL wegen Indonesien-Generation 1949-1968 (~300k 1.-Gen, inzwischen meist verstorben; deren Nachkommen ~600k+ als 2./3./4. Gen) sowie Suriname-Welle 1973-1975 substantielle 3.-Gen-Pop, die als Native gezählt wird → V1-Migrant-Anteil systematisch konservativ. Quantifizierung erfordert TeO-äquivalente Mikrodaten-Analyse, V2-Thema.</t>
        </is>
      </c>
      <c r="D115" s="218" t="n"/>
      <c r="E115" s="218" t="n"/>
      <c r="F115" s="218" t="n"/>
      <c r="G115" s="218" t="n"/>
      <c r="H115" s="218" t="n"/>
      <c r="I115" s="218" t="n"/>
      <c r="J115" s="218" t="n"/>
      <c r="K115" s="218" t="n"/>
      <c r="L115" s="17" t="n"/>
    </row>
    <row r="116" ht="20.05" customHeight="1" s="215">
      <c r="A116" s="12" t="n"/>
      <c r="B116" s="13" t="inlineStr">
        <is>
          <t>Internal remarks</t>
        </is>
      </c>
      <c r="C116" s="57" t="n"/>
      <c r="D116" s="218" t="n"/>
      <c r="E116" s="218" t="n"/>
      <c r="F116" s="218" t="n"/>
      <c r="G116" s="218" t="n"/>
      <c r="H116" s="218" t="n"/>
      <c r="I116" s="218" t="n"/>
      <c r="J116" s="218" t="n"/>
      <c r="K116" s="218" t="n"/>
      <c r="L116" s="17" t="n"/>
    </row>
    <row r="117" ht="20.05" customHeight="1" s="215">
      <c r="A117" s="12" t="n"/>
      <c r="B117" s="18" t="n"/>
      <c r="C117" s="39" t="n"/>
      <c r="D117" s="39" t="n"/>
      <c r="E117" s="39" t="n"/>
      <c r="F117" s="39" t="n"/>
      <c r="G117" s="39" t="n"/>
      <c r="H117" s="39" t="n"/>
      <c r="I117" s="39" t="n"/>
      <c r="J117" s="39" t="n"/>
      <c r="K117" s="39" t="n"/>
      <c r="L117" s="17" t="n"/>
    </row>
    <row r="118" ht="33.35" customHeight="1" s="215">
      <c r="A118" s="69" t="n"/>
      <c r="B118" s="70" t="inlineStr">
        <is>
          <t>✏️</t>
        </is>
      </c>
      <c r="C118" s="82" t="inlineStr">
        <is>
          <t>Enter your data below and make sure that you adjust the formulas above, if necessary.  If calculations are necessary, use the fields below for it and use formulas in the area above, to fill in the fields above exactly as intended.</t>
        </is>
      </c>
      <c r="L118" s="83" t="n"/>
    </row>
    <row r="119" ht="26.85" customHeight="1" s="215">
      <c r="A119" s="73" t="n"/>
      <c r="B119" s="74" t="inlineStr">
        <is>
          <t>Population</t>
        </is>
      </c>
      <c r="C119" s="75" t="inlineStr">
        <is>
          <t>Calculation of the population</t>
        </is>
      </c>
      <c r="D119" s="217" t="n"/>
      <c r="E119" s="217" t="n"/>
      <c r="F119" s="217" t="n"/>
      <c r="G119" s="217" t="n"/>
      <c r="H119" s="217" t="n"/>
      <c r="I119" s="217" t="n"/>
      <c r="J119" s="217" t="n"/>
      <c r="K119" s="217" t="n"/>
      <c r="L119" s="33" t="n"/>
    </row>
    <row r="120" ht="20.05" customHeight="1" s="215">
      <c r="A120" s="84" t="n"/>
      <c r="B120" s="85" t="n"/>
      <c r="C120" s="86" t="n"/>
      <c r="D120" s="87" t="n"/>
      <c r="E120" s="87" t="n"/>
      <c r="F120" s="87" t="n"/>
      <c r="G120" s="87" t="n"/>
      <c r="H120" s="87" t="n"/>
      <c r="I120" s="87" t="n"/>
      <c r="J120" s="87" t="n"/>
      <c r="K120" s="87" t="n"/>
      <c r="L120" s="87" t="n"/>
    </row>
    <row r="121" ht="20.05" customHeight="1" s="215">
      <c r="A121" s="84" t="n"/>
      <c r="B121" s="88" t="inlineStr">
        <is>
          <t>0 years</t>
        </is>
      </c>
      <c r="C121" s="86" t="n"/>
      <c r="D121" s="223" t="n">
        <v>57889</v>
      </c>
      <c r="E121" s="223" t="n">
        <v>60597</v>
      </c>
      <c r="F121" s="223" t="n">
        <v>23053</v>
      </c>
      <c r="G121" s="223" t="n">
        <v>24438</v>
      </c>
      <c r="H121" s="87" t="n"/>
      <c r="I121" s="87" t="n"/>
      <c r="J121" s="87" t="n"/>
      <c r="K121" s="87" t="n"/>
      <c r="L121" s="87" t="n"/>
    </row>
    <row r="122" ht="20.05" customHeight="1" s="215">
      <c r="A122" s="84" t="n"/>
      <c r="B122" s="88" t="inlineStr">
        <is>
          <t>1 years</t>
        </is>
      </c>
      <c r="C122" s="86" t="n"/>
      <c r="D122" s="223" t="n">
        <v>57581</v>
      </c>
      <c r="E122" s="223" t="n">
        <v>60110</v>
      </c>
      <c r="F122" s="223" t="n">
        <v>23141</v>
      </c>
      <c r="G122" s="223" t="n">
        <v>24624</v>
      </c>
      <c r="H122" s="87" t="n"/>
      <c r="I122" s="87" t="n"/>
      <c r="J122" s="87" t="n"/>
      <c r="K122" s="87" t="n"/>
      <c r="L122" s="87" t="n"/>
    </row>
    <row r="123" ht="20.05" customHeight="1" s="215">
      <c r="A123" s="84" t="n"/>
      <c r="B123" s="88" t="inlineStr">
        <is>
          <t>2 years</t>
        </is>
      </c>
      <c r="C123" s="86" t="n"/>
      <c r="D123" s="223" t="n">
        <v>58897</v>
      </c>
      <c r="E123" s="223" t="n">
        <v>61600</v>
      </c>
      <c r="F123" s="223" t="n">
        <v>24161</v>
      </c>
      <c r="G123" s="223" t="n">
        <v>25265</v>
      </c>
      <c r="H123" s="87" t="n"/>
      <c r="I123" s="87" t="n"/>
      <c r="J123" s="87" t="n"/>
      <c r="K123" s="87" t="n"/>
      <c r="L123" s="87" t="n"/>
    </row>
    <row r="124" ht="20.05" customHeight="1" s="215">
      <c r="A124" s="84" t="n"/>
      <c r="B124" s="88" t="inlineStr">
        <is>
          <t>3 years</t>
        </is>
      </c>
      <c r="C124" s="86" t="n"/>
      <c r="D124" s="223" t="n">
        <v>63755</v>
      </c>
      <c r="E124" s="223" t="n">
        <v>66787</v>
      </c>
      <c r="F124" s="223" t="n">
        <v>25744</v>
      </c>
      <c r="G124" s="223" t="n">
        <v>27117</v>
      </c>
      <c r="H124" s="87" t="n"/>
      <c r="I124" s="87" t="n"/>
      <c r="J124" s="87" t="n"/>
      <c r="K124" s="87" t="n"/>
      <c r="L124" s="87" t="n"/>
    </row>
    <row r="125" ht="20.05" customHeight="1" s="215">
      <c r="A125" s="84" t="n"/>
      <c r="B125" s="88" t="inlineStr">
        <is>
          <t>4 years</t>
        </is>
      </c>
      <c r="C125" s="86" t="n"/>
      <c r="D125" s="223" t="n">
        <v>59081</v>
      </c>
      <c r="E125" s="223" t="n">
        <v>61896</v>
      </c>
      <c r="F125" s="223" t="n">
        <v>25634</v>
      </c>
      <c r="G125" s="223" t="n">
        <v>27055</v>
      </c>
      <c r="H125" s="87" t="n"/>
      <c r="I125" s="87" t="n"/>
      <c r="J125" s="87" t="n"/>
      <c r="K125" s="87" t="n"/>
      <c r="L125" s="87" t="n"/>
    </row>
    <row r="126" ht="20.05" customHeight="1" s="215">
      <c r="A126" s="84" t="n"/>
      <c r="B126" s="88" t="inlineStr">
        <is>
          <t>5 years</t>
        </is>
      </c>
      <c r="C126" s="86" t="n"/>
      <c r="D126" s="223" t="n">
        <v>59049</v>
      </c>
      <c r="E126" s="223" t="n">
        <v>62042</v>
      </c>
      <c r="F126" s="223" t="n">
        <v>26707</v>
      </c>
      <c r="G126" s="223" t="n">
        <v>27903</v>
      </c>
      <c r="H126" s="87" t="n"/>
      <c r="I126" s="87" t="n"/>
      <c r="J126" s="87" t="n"/>
      <c r="K126" s="87" t="n"/>
      <c r="L126" s="87" t="n"/>
    </row>
    <row r="127" ht="20.05" customHeight="1" s="215">
      <c r="A127" s="84" t="n"/>
      <c r="B127" s="88" t="inlineStr">
        <is>
          <t>6 years</t>
        </is>
      </c>
      <c r="C127" s="86" t="n"/>
      <c r="D127" s="223" t="n">
        <v>59036</v>
      </c>
      <c r="E127" s="223" t="n">
        <v>61909</v>
      </c>
      <c r="F127" s="223" t="n">
        <v>26993</v>
      </c>
      <c r="G127" s="223" t="n">
        <v>28039</v>
      </c>
      <c r="H127" s="87" t="n"/>
      <c r="I127" s="87" t="n"/>
      <c r="J127" s="87" t="n"/>
      <c r="K127" s="87" t="n"/>
      <c r="L127" s="87" t="n"/>
    </row>
    <row r="128" ht="20.05" customHeight="1" s="215">
      <c r="A128" s="84" t="n"/>
      <c r="B128" s="88" t="inlineStr">
        <is>
          <t>7 years</t>
        </is>
      </c>
      <c r="C128" s="86" t="n"/>
      <c r="D128" s="223" t="n">
        <v>59738</v>
      </c>
      <c r="E128" s="223" t="n">
        <v>62950</v>
      </c>
      <c r="F128" s="223" t="n">
        <v>27153</v>
      </c>
      <c r="G128" s="223" t="n">
        <v>28567</v>
      </c>
      <c r="H128" s="87" t="n"/>
      <c r="I128" s="87" t="n"/>
      <c r="J128" s="87" t="n"/>
      <c r="K128" s="87" t="n"/>
      <c r="L128" s="87" t="n"/>
    </row>
    <row r="129" ht="20.05" customHeight="1" s="215">
      <c r="A129" s="84" t="n"/>
      <c r="B129" s="88" t="inlineStr">
        <is>
          <t>8 years</t>
        </is>
      </c>
      <c r="C129" s="86" t="n"/>
      <c r="D129" s="223" t="n">
        <v>60668</v>
      </c>
      <c r="E129" s="223" t="n">
        <v>64086</v>
      </c>
      <c r="F129" s="223" t="n">
        <v>27831</v>
      </c>
      <c r="G129" s="223" t="n">
        <v>29207</v>
      </c>
      <c r="H129" s="87" t="n"/>
      <c r="I129" s="87" t="n"/>
      <c r="J129" s="87" t="n"/>
      <c r="K129" s="87" t="n"/>
      <c r="L129" s="87" t="n"/>
    </row>
    <row r="130" ht="20.05" customHeight="1" s="215">
      <c r="A130" s="84" t="n"/>
      <c r="B130" s="88" t="inlineStr">
        <is>
          <t>9 years</t>
        </is>
      </c>
      <c r="C130" s="86" t="n"/>
      <c r="D130" s="223" t="n">
        <v>60536</v>
      </c>
      <c r="E130" s="223" t="n">
        <v>63579</v>
      </c>
      <c r="F130" s="223" t="n">
        <v>27915</v>
      </c>
      <c r="G130" s="223" t="n">
        <v>29526</v>
      </c>
      <c r="H130" s="87" t="n"/>
      <c r="I130" s="87" t="n"/>
      <c r="J130" s="87" t="n"/>
      <c r="K130" s="87" t="n"/>
      <c r="L130" s="87" t="n"/>
    </row>
    <row r="131" ht="20.05" customHeight="1" s="215">
      <c r="A131" s="84" t="n"/>
      <c r="B131" s="88" t="inlineStr">
        <is>
          <t>10 years</t>
        </is>
      </c>
      <c r="C131" s="86" t="n"/>
      <c r="D131" s="223" t="n">
        <v>62600</v>
      </c>
      <c r="E131" s="223" t="n">
        <v>65263</v>
      </c>
      <c r="F131" s="223" t="n">
        <v>28532</v>
      </c>
      <c r="G131" s="223" t="n">
        <v>30030</v>
      </c>
      <c r="H131" s="87" t="n"/>
      <c r="I131" s="87" t="n"/>
      <c r="J131" s="87" t="n"/>
      <c r="K131" s="87" t="n"/>
      <c r="L131" s="87" t="n"/>
    </row>
    <row r="132" ht="20.05" customHeight="1" s="215">
      <c r="A132" s="84" t="n"/>
      <c r="B132" s="88" t="inlineStr">
        <is>
          <t>11 years</t>
        </is>
      </c>
      <c r="C132" s="86" t="n"/>
      <c r="D132" s="223" t="n">
        <v>61306</v>
      </c>
      <c r="E132" s="223" t="n">
        <v>64567</v>
      </c>
      <c r="F132" s="223" t="n">
        <v>27641</v>
      </c>
      <c r="G132" s="223" t="n">
        <v>29581</v>
      </c>
      <c r="H132" s="87" t="n"/>
      <c r="I132" s="87" t="n"/>
      <c r="J132" s="87" t="n"/>
      <c r="K132" s="87" t="n"/>
      <c r="L132" s="87" t="n"/>
    </row>
    <row r="133" ht="20.05" customHeight="1" s="215">
      <c r="A133" s="84" t="n"/>
      <c r="B133" s="88" t="inlineStr">
        <is>
          <t>12 years</t>
        </is>
      </c>
      <c r="C133" s="86" t="n"/>
      <c r="D133" s="223" t="n">
        <v>62701</v>
      </c>
      <c r="E133" s="223" t="n">
        <v>66229</v>
      </c>
      <c r="F133" s="223" t="n">
        <v>29099</v>
      </c>
      <c r="G133" s="223" t="n">
        <v>30296</v>
      </c>
      <c r="H133" s="87" t="n"/>
      <c r="I133" s="87" t="n"/>
      <c r="J133" s="87" t="n"/>
      <c r="K133" s="87" t="n"/>
      <c r="L133" s="87" t="n"/>
    </row>
    <row r="134" ht="20.05" customHeight="1" s="215">
      <c r="A134" s="84" t="n"/>
      <c r="B134" s="88" t="inlineStr">
        <is>
          <t>13 years</t>
        </is>
      </c>
      <c r="C134" s="86" t="n"/>
      <c r="D134" s="223" t="n">
        <v>64670</v>
      </c>
      <c r="E134" s="223" t="n">
        <v>67886</v>
      </c>
      <c r="F134" s="223" t="n">
        <v>28748</v>
      </c>
      <c r="G134" s="223" t="n">
        <v>30692</v>
      </c>
      <c r="H134" s="87" t="n"/>
      <c r="I134" s="87" t="n"/>
      <c r="J134" s="87" t="n"/>
      <c r="K134" s="87" t="n"/>
      <c r="L134" s="87" t="n"/>
    </row>
    <row r="135" ht="20.05" customHeight="1" s="215">
      <c r="A135" s="84" t="n"/>
      <c r="B135" s="88" t="inlineStr">
        <is>
          <t>14 years</t>
        </is>
      </c>
      <c r="C135" s="86" t="n"/>
      <c r="D135" s="223" t="n">
        <v>66801</v>
      </c>
      <c r="E135" s="223" t="n">
        <v>69476</v>
      </c>
      <c r="F135" s="223" t="n">
        <v>29321</v>
      </c>
      <c r="G135" s="223" t="n">
        <v>31236</v>
      </c>
      <c r="H135" s="87" t="n"/>
      <c r="I135" s="87" t="n"/>
      <c r="J135" s="87" t="n"/>
      <c r="K135" s="87" t="n"/>
      <c r="L135" s="87" t="n"/>
    </row>
    <row r="136" ht="20.05" customHeight="1" s="215">
      <c r="A136" s="84" t="n"/>
      <c r="B136" s="88" t="inlineStr">
        <is>
          <t>15 years</t>
        </is>
      </c>
      <c r="C136" s="86" t="n"/>
      <c r="D136" s="223" t="n">
        <v>67367</v>
      </c>
      <c r="E136" s="223" t="n">
        <v>70373</v>
      </c>
      <c r="F136" s="223" t="n">
        <v>28900</v>
      </c>
      <c r="G136" s="223" t="n">
        <v>31520</v>
      </c>
      <c r="H136" s="87" t="n"/>
      <c r="I136" s="87" t="n"/>
      <c r="J136" s="87" t="n"/>
      <c r="K136" s="87" t="n"/>
      <c r="L136" s="87" t="n"/>
    </row>
    <row r="137" ht="20.05" customHeight="1" s="215">
      <c r="A137" s="84" t="n"/>
      <c r="B137" s="88" t="inlineStr">
        <is>
          <t>16 years</t>
        </is>
      </c>
      <c r="C137" s="86" t="n"/>
      <c r="D137" s="223" t="n">
        <v>66965</v>
      </c>
      <c r="E137" s="223" t="n">
        <v>70749</v>
      </c>
      <c r="F137" s="223" t="n">
        <v>29525</v>
      </c>
      <c r="G137" s="223" t="n">
        <v>32099</v>
      </c>
      <c r="H137" s="87" t="n"/>
      <c r="I137" s="87" t="n"/>
      <c r="J137" s="87" t="n"/>
      <c r="K137" s="87" t="n"/>
      <c r="L137" s="87" t="n"/>
    </row>
    <row r="138" ht="20.05" customHeight="1" s="215">
      <c r="A138" s="84" t="n"/>
      <c r="B138" s="88" t="inlineStr">
        <is>
          <t>17 years</t>
        </is>
      </c>
      <c r="C138" s="86" t="n"/>
      <c r="D138" s="223" t="n">
        <v>65993</v>
      </c>
      <c r="E138" s="223" t="n">
        <v>68988</v>
      </c>
      <c r="F138" s="223" t="n">
        <v>29408</v>
      </c>
      <c r="G138" s="223" t="n">
        <v>32784</v>
      </c>
      <c r="H138" s="87" t="n"/>
      <c r="I138" s="87" t="n"/>
      <c r="J138" s="87" t="n"/>
      <c r="K138" s="87" t="n"/>
      <c r="L138" s="87" t="n"/>
    </row>
    <row r="139" ht="20.05" customHeight="1" s="215">
      <c r="A139" s="84" t="n"/>
      <c r="B139" s="88" t="inlineStr">
        <is>
          <t>18 years</t>
        </is>
      </c>
      <c r="C139" s="86" t="n"/>
      <c r="D139" s="223" t="n">
        <v>66976</v>
      </c>
      <c r="E139" s="223" t="n">
        <v>71155</v>
      </c>
      <c r="F139" s="223" t="n">
        <v>33302</v>
      </c>
      <c r="G139" s="223" t="n">
        <v>36818</v>
      </c>
      <c r="H139" s="87" t="n"/>
      <c r="I139" s="87" t="n"/>
      <c r="J139" s="87" t="n"/>
      <c r="K139" s="87" t="n"/>
      <c r="L139" s="87" t="n"/>
    </row>
    <row r="140" ht="20.05" customHeight="1" s="215">
      <c r="A140" s="84" t="n"/>
      <c r="B140" s="88" t="inlineStr">
        <is>
          <t>19 years</t>
        </is>
      </c>
      <c r="C140" s="86" t="n"/>
      <c r="D140" s="223" t="n">
        <v>68155</v>
      </c>
      <c r="E140" s="223" t="n">
        <v>71806</v>
      </c>
      <c r="F140" s="223" t="n">
        <v>38077</v>
      </c>
      <c r="G140" s="223" t="n">
        <v>39987</v>
      </c>
      <c r="H140" s="87" t="n"/>
      <c r="I140" s="87" t="n"/>
      <c r="J140" s="87" t="n"/>
      <c r="K140" s="87" t="n"/>
      <c r="L140" s="87" t="n"/>
    </row>
    <row r="141" ht="20.05" customHeight="1" s="215">
      <c r="A141" s="84" t="n"/>
      <c r="B141" s="88" t="inlineStr">
        <is>
          <t>20 years</t>
        </is>
      </c>
      <c r="C141" s="86" t="n"/>
      <c r="D141" s="223" t="n">
        <v>70808</v>
      </c>
      <c r="E141" s="223" t="n">
        <v>74431</v>
      </c>
      <c r="F141" s="223" t="n">
        <v>41696</v>
      </c>
      <c r="G141" s="223" t="n">
        <v>41207</v>
      </c>
      <c r="H141" s="87" t="n"/>
      <c r="I141" s="87" t="n"/>
      <c r="J141" s="87" t="n"/>
      <c r="K141" s="87" t="n"/>
      <c r="L141" s="87" t="n"/>
    </row>
    <row r="142" ht="20.05" customHeight="1" s="215">
      <c r="A142" s="84" t="n"/>
      <c r="B142" s="88" t="inlineStr">
        <is>
          <t>21 years</t>
        </is>
      </c>
      <c r="C142" s="86" t="n"/>
      <c r="D142" s="223" t="n">
        <v>73463</v>
      </c>
      <c r="E142" s="223" t="n">
        <v>77988</v>
      </c>
      <c r="F142" s="223" t="n">
        <v>43307</v>
      </c>
      <c r="G142" s="223" t="n">
        <v>41295</v>
      </c>
      <c r="H142" s="87" t="n"/>
      <c r="I142" s="87" t="n"/>
      <c r="J142" s="87" t="n"/>
      <c r="K142" s="87" t="n"/>
      <c r="L142" s="87" t="n"/>
    </row>
    <row r="143" ht="20.05" customHeight="1" s="215">
      <c r="A143" s="84" t="n"/>
      <c r="B143" s="88" t="inlineStr">
        <is>
          <t>22 years</t>
        </is>
      </c>
      <c r="C143" s="86" t="n"/>
      <c r="D143" s="223" t="n">
        <v>74116</v>
      </c>
      <c r="E143" s="223" t="n">
        <v>78149</v>
      </c>
      <c r="F143" s="223" t="n">
        <v>42836</v>
      </c>
      <c r="G143" s="223" t="n">
        <v>41728</v>
      </c>
      <c r="H143" s="87" t="n"/>
      <c r="I143" s="87" t="n"/>
      <c r="J143" s="87" t="n"/>
      <c r="K143" s="87" t="n"/>
      <c r="L143" s="87" t="n"/>
    </row>
    <row r="144" ht="20.05" customHeight="1" s="215">
      <c r="A144" s="84" t="n"/>
      <c r="B144" s="88" t="inlineStr">
        <is>
          <t>23 years</t>
        </is>
      </c>
      <c r="C144" s="86" t="n"/>
      <c r="D144" s="223" t="n">
        <v>75037</v>
      </c>
      <c r="E144" s="223" t="n">
        <v>78691</v>
      </c>
      <c r="F144" s="223" t="n">
        <v>42674</v>
      </c>
      <c r="G144" s="223" t="n">
        <v>42449</v>
      </c>
      <c r="H144" s="87" t="n"/>
      <c r="I144" s="87" t="n"/>
      <c r="J144" s="87" t="n"/>
      <c r="K144" s="87" t="n"/>
      <c r="L144" s="87" t="n"/>
    </row>
    <row r="145" ht="20.05" customHeight="1" s="215">
      <c r="A145" s="84" t="n"/>
      <c r="B145" s="88" t="inlineStr">
        <is>
          <t>24 years</t>
        </is>
      </c>
      <c r="C145" s="86" t="n"/>
      <c r="D145" s="223" t="n">
        <v>76375</v>
      </c>
      <c r="E145" s="223" t="n">
        <v>79845</v>
      </c>
      <c r="F145" s="223" t="n">
        <v>44327</v>
      </c>
      <c r="G145" s="223" t="n">
        <v>44154</v>
      </c>
      <c r="H145" s="87" t="n"/>
      <c r="I145" s="87" t="n"/>
      <c r="J145" s="87" t="n"/>
      <c r="K145" s="87" t="n"/>
      <c r="L145" s="87" t="n"/>
    </row>
    <row r="146" ht="20.05" customHeight="1" s="215">
      <c r="A146" s="84" t="n"/>
      <c r="B146" s="88" t="inlineStr">
        <is>
          <t>25 years</t>
        </is>
      </c>
      <c r="C146" s="86" t="n"/>
      <c r="D146" s="223" t="n">
        <v>74320</v>
      </c>
      <c r="E146" s="223" t="n">
        <v>78488</v>
      </c>
      <c r="F146" s="223" t="n">
        <v>43674</v>
      </c>
      <c r="G146" s="223" t="n">
        <v>43920</v>
      </c>
      <c r="H146" s="87" t="n"/>
      <c r="I146" s="87" t="n"/>
      <c r="J146" s="87" t="n"/>
      <c r="K146" s="87" t="n"/>
      <c r="L146" s="87" t="n"/>
    </row>
    <row r="147" ht="20.05" customHeight="1" s="215">
      <c r="A147" s="84" t="n"/>
      <c r="B147" s="88" t="inlineStr">
        <is>
          <t>26 years</t>
        </is>
      </c>
      <c r="C147" s="86" t="n"/>
      <c r="D147" s="223" t="n">
        <v>73986</v>
      </c>
      <c r="E147" s="223" t="n">
        <v>77603</v>
      </c>
      <c r="F147" s="223" t="n">
        <v>43881</v>
      </c>
      <c r="G147" s="223" t="n">
        <v>44215</v>
      </c>
      <c r="H147" s="87" t="n"/>
      <c r="I147" s="87" t="n"/>
      <c r="J147" s="87" t="n"/>
      <c r="K147" s="87" t="n"/>
      <c r="L147" s="87" t="n"/>
    </row>
    <row r="148" ht="20.05" customHeight="1" s="215">
      <c r="A148" s="84" t="n"/>
      <c r="B148" s="88" t="inlineStr">
        <is>
          <t>27 years</t>
        </is>
      </c>
      <c r="C148" s="86" t="n"/>
      <c r="D148" s="223" t="n">
        <v>71682</v>
      </c>
      <c r="E148" s="223" t="n">
        <v>74406</v>
      </c>
      <c r="F148" s="223" t="n">
        <v>44125</v>
      </c>
      <c r="G148" s="223" t="n">
        <v>44578</v>
      </c>
      <c r="H148" s="87" t="n"/>
      <c r="I148" s="87" t="n"/>
      <c r="J148" s="87" t="n"/>
      <c r="K148" s="87" t="n"/>
      <c r="L148" s="87" t="n"/>
    </row>
    <row r="149" ht="20.05" customHeight="1" s="215">
      <c r="A149" s="84" t="n"/>
      <c r="B149" s="88" t="inlineStr">
        <is>
          <t>28 years</t>
        </is>
      </c>
      <c r="C149" s="86" t="n"/>
      <c r="D149" s="223" t="n">
        <v>70540</v>
      </c>
      <c r="E149" s="223" t="n">
        <v>74499</v>
      </c>
      <c r="F149" s="223" t="n">
        <v>44103</v>
      </c>
      <c r="G149" s="223" t="n">
        <v>44992</v>
      </c>
      <c r="H149" s="87" t="n"/>
      <c r="I149" s="87" t="n"/>
      <c r="J149" s="87" t="n"/>
      <c r="K149" s="87" t="n"/>
      <c r="L149" s="87" t="n"/>
    </row>
    <row r="150" ht="20.05" customHeight="1" s="215">
      <c r="A150" s="84" t="n"/>
      <c r="B150" s="88" t="inlineStr">
        <is>
          <t>29 years</t>
        </is>
      </c>
      <c r="C150" s="86" t="n"/>
      <c r="D150" s="223" t="n">
        <v>71369</v>
      </c>
      <c r="E150" s="223" t="n">
        <v>74480</v>
      </c>
      <c r="F150" s="223" t="n">
        <v>44431</v>
      </c>
      <c r="G150" s="223" t="n">
        <v>45082</v>
      </c>
      <c r="H150" s="87" t="n"/>
      <c r="I150" s="87" t="n"/>
      <c r="J150" s="87" t="n"/>
      <c r="K150" s="87" t="n"/>
      <c r="L150" s="87" t="n"/>
    </row>
    <row r="151" ht="20.05" customHeight="1" s="215">
      <c r="A151" s="84" t="n"/>
      <c r="B151" s="88" t="inlineStr">
        <is>
          <t>30 years</t>
        </is>
      </c>
      <c r="C151" s="86" t="n"/>
      <c r="D151" s="223" t="n">
        <v>73128</v>
      </c>
      <c r="E151" s="223" t="n">
        <v>76481</v>
      </c>
      <c r="F151" s="223" t="n">
        <v>45565</v>
      </c>
      <c r="G151" s="223" t="n">
        <v>46863</v>
      </c>
      <c r="H151" s="87" t="n"/>
      <c r="I151" s="87" t="n"/>
      <c r="J151" s="87" t="n"/>
      <c r="K151" s="87" t="n"/>
      <c r="L151" s="87" t="n"/>
    </row>
    <row r="152" ht="20.05" customHeight="1" s="215">
      <c r="A152" s="84" t="n"/>
      <c r="B152" s="88" t="inlineStr">
        <is>
          <t>31 years</t>
        </is>
      </c>
      <c r="C152" s="86" t="n"/>
      <c r="D152" s="223" t="n">
        <v>73325</v>
      </c>
      <c r="E152" s="223" t="n">
        <v>76095</v>
      </c>
      <c r="F152" s="223" t="n">
        <v>45604</v>
      </c>
      <c r="G152" s="223" t="n">
        <v>46854</v>
      </c>
      <c r="H152" s="87" t="n"/>
      <c r="I152" s="87" t="n"/>
      <c r="J152" s="87" t="n"/>
      <c r="K152" s="87" t="n"/>
      <c r="L152" s="87" t="n"/>
    </row>
    <row r="153" ht="20.05" customHeight="1" s="215">
      <c r="A153" s="84" t="n"/>
      <c r="B153" s="88" t="inlineStr">
        <is>
          <t>32 years</t>
        </is>
      </c>
      <c r="C153" s="86" t="n"/>
      <c r="D153" s="223" t="n">
        <v>73460</v>
      </c>
      <c r="E153" s="223" t="n">
        <v>76715</v>
      </c>
      <c r="F153" s="223" t="n">
        <v>46115</v>
      </c>
      <c r="G153" s="223" t="n">
        <v>47104</v>
      </c>
      <c r="H153" s="87" t="n"/>
      <c r="I153" s="87" t="n"/>
      <c r="J153" s="87" t="n"/>
      <c r="K153" s="87" t="n"/>
      <c r="L153" s="87" t="n"/>
    </row>
    <row r="154" ht="20.05" customHeight="1" s="215">
      <c r="A154" s="84" t="n"/>
      <c r="B154" s="88" t="inlineStr">
        <is>
          <t>33 years</t>
        </is>
      </c>
      <c r="C154" s="86" t="n"/>
      <c r="D154" s="223" t="n">
        <v>74819</v>
      </c>
      <c r="E154" s="223" t="n">
        <v>77495</v>
      </c>
      <c r="F154" s="223" t="n">
        <v>45951</v>
      </c>
      <c r="G154" s="223" t="n">
        <v>46968</v>
      </c>
      <c r="H154" s="87" t="n"/>
      <c r="I154" s="87" t="n"/>
      <c r="J154" s="87" t="n"/>
      <c r="K154" s="87" t="n"/>
      <c r="L154" s="87" t="n"/>
    </row>
    <row r="155" ht="20.05" customHeight="1" s="215">
      <c r="A155" s="84" t="n"/>
      <c r="B155" s="88" t="inlineStr">
        <is>
          <t>34 years</t>
        </is>
      </c>
      <c r="C155" s="86" t="n"/>
      <c r="D155" s="223" t="n">
        <v>74313</v>
      </c>
      <c r="E155" s="223" t="n">
        <v>77807</v>
      </c>
      <c r="F155" s="223" t="n">
        <v>46127</v>
      </c>
      <c r="G155" s="223" t="n">
        <v>47276</v>
      </c>
      <c r="H155" s="87" t="n"/>
      <c r="I155" s="87" t="n"/>
      <c r="J155" s="87" t="n"/>
      <c r="K155" s="87" t="n"/>
      <c r="L155" s="87" t="n"/>
    </row>
    <row r="156" ht="20.05" customHeight="1" s="215">
      <c r="A156" s="84" t="n"/>
      <c r="B156" s="88" t="inlineStr">
        <is>
          <t>35 years</t>
        </is>
      </c>
      <c r="C156" s="86" t="n"/>
      <c r="D156" s="223" t="n">
        <v>71928</v>
      </c>
      <c r="E156" s="223" t="n">
        <v>73850</v>
      </c>
      <c r="F156" s="223" t="n">
        <v>45153</v>
      </c>
      <c r="G156" s="223" t="n">
        <v>46493</v>
      </c>
      <c r="H156" s="87" t="n"/>
      <c r="I156" s="87" t="n"/>
      <c r="J156" s="87" t="n"/>
      <c r="K156" s="87" t="n"/>
      <c r="L156" s="87" t="n"/>
    </row>
    <row r="157" ht="20.05" customHeight="1" s="215">
      <c r="A157" s="84" t="n"/>
      <c r="B157" s="88" t="inlineStr">
        <is>
          <t>36 years</t>
        </is>
      </c>
      <c r="C157" s="86" t="n"/>
      <c r="D157" s="223" t="n">
        <v>70971</v>
      </c>
      <c r="E157" s="223" t="n">
        <v>73144</v>
      </c>
      <c r="F157" s="223" t="n">
        <v>44532</v>
      </c>
      <c r="G157" s="223" t="n">
        <v>45326</v>
      </c>
      <c r="H157" s="87" t="n"/>
      <c r="I157" s="87" t="n"/>
      <c r="J157" s="87" t="n"/>
      <c r="K157" s="87" t="n"/>
      <c r="L157" s="87" t="n"/>
    </row>
    <row r="158" ht="20.05" customHeight="1" s="215">
      <c r="A158" s="84" t="n"/>
      <c r="B158" s="88" t="inlineStr">
        <is>
          <t>37 years</t>
        </is>
      </c>
      <c r="C158" s="86" t="n"/>
      <c r="D158" s="223" t="n">
        <v>71300</v>
      </c>
      <c r="E158" s="223" t="n">
        <v>74373</v>
      </c>
      <c r="F158" s="223" t="n">
        <v>43208</v>
      </c>
      <c r="G158" s="223" t="n">
        <v>43533</v>
      </c>
      <c r="H158" s="87" t="n"/>
      <c r="I158" s="87" t="n"/>
      <c r="J158" s="87" t="n"/>
      <c r="K158" s="87" t="n"/>
      <c r="L158" s="87" t="n"/>
    </row>
    <row r="159" ht="20.05" customHeight="1" s="215">
      <c r="A159" s="84" t="n"/>
      <c r="B159" s="88" t="inlineStr">
        <is>
          <t>38 years</t>
        </is>
      </c>
      <c r="C159" s="86" t="n"/>
      <c r="D159" s="223" t="n">
        <v>71457</v>
      </c>
      <c r="E159" s="223" t="n">
        <v>72872</v>
      </c>
      <c r="F159" s="223" t="n">
        <v>43352</v>
      </c>
      <c r="G159" s="223" t="n">
        <v>43369</v>
      </c>
      <c r="H159" s="87" t="n"/>
      <c r="I159" s="87" t="n"/>
      <c r="J159" s="87" t="n"/>
      <c r="K159" s="87" t="n"/>
      <c r="L159" s="87" t="n"/>
    </row>
    <row r="160" ht="20.05" customHeight="1" s="215">
      <c r="A160" s="84" t="n"/>
      <c r="B160" s="88" t="inlineStr">
        <is>
          <t>39 years</t>
        </is>
      </c>
      <c r="C160" s="86" t="n"/>
      <c r="D160" s="223" t="n">
        <v>68801</v>
      </c>
      <c r="E160" s="223" t="n">
        <v>70700</v>
      </c>
      <c r="F160" s="223" t="n">
        <v>43038</v>
      </c>
      <c r="G160" s="223" t="n">
        <v>42748</v>
      </c>
      <c r="H160" s="87" t="n"/>
      <c r="I160" s="87" t="n"/>
      <c r="J160" s="87" t="n"/>
      <c r="K160" s="87" t="n"/>
      <c r="L160" s="87" t="n"/>
    </row>
    <row r="161" ht="20.05" customHeight="1" s="215">
      <c r="A161" s="84" t="n"/>
      <c r="B161" s="88" t="inlineStr">
        <is>
          <t>40 years</t>
        </is>
      </c>
      <c r="C161" s="86" t="n"/>
      <c r="D161" s="223" t="n">
        <v>67040</v>
      </c>
      <c r="E161" s="223" t="n">
        <v>69363</v>
      </c>
      <c r="F161" s="223" t="n">
        <v>42545</v>
      </c>
      <c r="G161" s="223" t="n">
        <v>42132</v>
      </c>
      <c r="H161" s="87" t="n"/>
      <c r="I161" s="87" t="n"/>
      <c r="J161" s="87" t="n"/>
      <c r="K161" s="87" t="n"/>
      <c r="L161" s="87" t="n"/>
    </row>
    <row r="162" ht="20.05" customHeight="1" s="215">
      <c r="A162" s="84" t="n"/>
      <c r="B162" s="88" t="inlineStr">
        <is>
          <t>41 years</t>
        </is>
      </c>
      <c r="C162" s="86" t="n"/>
      <c r="D162" s="223" t="n">
        <v>65244</v>
      </c>
      <c r="E162" s="223" t="n">
        <v>67111</v>
      </c>
      <c r="F162" s="223" t="n">
        <v>41923</v>
      </c>
      <c r="G162" s="223" t="n">
        <v>40381</v>
      </c>
      <c r="H162" s="87" t="n"/>
      <c r="I162" s="87" t="n"/>
      <c r="J162" s="87" t="n"/>
      <c r="K162" s="87" t="n"/>
      <c r="L162" s="87" t="n"/>
    </row>
    <row r="163" ht="20.05" customHeight="1" s="215">
      <c r="A163" s="84" t="n"/>
      <c r="B163" s="88" t="inlineStr">
        <is>
          <t>42 years</t>
        </is>
      </c>
      <c r="C163" s="86" t="n"/>
      <c r="D163" s="223" t="n">
        <v>66014</v>
      </c>
      <c r="E163" s="223" t="n">
        <v>67981</v>
      </c>
      <c r="F163" s="223" t="n">
        <v>41038</v>
      </c>
      <c r="G163" s="223" t="n">
        <v>39667</v>
      </c>
      <c r="H163" s="87" t="n"/>
      <c r="I163" s="87" t="n"/>
      <c r="J163" s="87" t="n"/>
      <c r="K163" s="87" t="n"/>
      <c r="L163" s="87" t="n"/>
    </row>
    <row r="164" ht="20.05" customHeight="1" s="215">
      <c r="A164" s="84" t="n"/>
      <c r="B164" s="88" t="inlineStr">
        <is>
          <t>43 years</t>
        </is>
      </c>
      <c r="C164" s="86" t="n"/>
      <c r="D164" s="223" t="n">
        <v>68812</v>
      </c>
      <c r="E164" s="223" t="n">
        <v>70171</v>
      </c>
      <c r="F164" s="223" t="n">
        <v>40281</v>
      </c>
      <c r="G164" s="223" t="n">
        <v>38130</v>
      </c>
      <c r="H164" s="87" t="n"/>
      <c r="I164" s="87" t="n"/>
      <c r="J164" s="87" t="n"/>
      <c r="K164" s="87" t="n"/>
      <c r="L164" s="87" t="n"/>
    </row>
    <row r="165" ht="20.05" customHeight="1" s="215">
      <c r="A165" s="84" t="n"/>
      <c r="B165" s="88" t="inlineStr">
        <is>
          <t>44 years</t>
        </is>
      </c>
      <c r="C165" s="86" t="n"/>
      <c r="D165" s="223" t="n">
        <v>70159</v>
      </c>
      <c r="E165" s="223" t="n">
        <v>72158</v>
      </c>
      <c r="F165" s="223" t="n">
        <v>39798</v>
      </c>
      <c r="G165" s="223" t="n">
        <v>37534</v>
      </c>
      <c r="H165" s="87" t="n"/>
      <c r="I165" s="87" t="n"/>
      <c r="J165" s="87" t="n"/>
      <c r="K165" s="87" t="n"/>
      <c r="L165" s="87" t="n"/>
    </row>
    <row r="166" ht="20.05" customHeight="1" s="215">
      <c r="A166" s="84" t="n"/>
      <c r="B166" s="88" t="inlineStr">
        <is>
          <t>45 years</t>
        </is>
      </c>
      <c r="C166" s="86" t="n"/>
      <c r="D166" s="223" t="n">
        <v>68478</v>
      </c>
      <c r="E166" s="223" t="n">
        <v>69973</v>
      </c>
      <c r="F166" s="223" t="n">
        <v>37835</v>
      </c>
      <c r="G166" s="223" t="n">
        <v>35656</v>
      </c>
      <c r="H166" s="87" t="n"/>
      <c r="I166" s="87" t="n"/>
      <c r="J166" s="87" t="n"/>
      <c r="K166" s="87" t="n"/>
      <c r="L166" s="87" t="n"/>
    </row>
    <row r="167" ht="20.05" customHeight="1" s="215">
      <c r="A167" s="84" t="n"/>
      <c r="B167" s="88" t="inlineStr">
        <is>
          <t>46 years</t>
        </is>
      </c>
      <c r="C167" s="86" t="n"/>
      <c r="D167" s="223" t="n">
        <v>69078</v>
      </c>
      <c r="E167" s="223" t="n">
        <v>70834</v>
      </c>
      <c r="F167" s="223" t="n">
        <v>37180</v>
      </c>
      <c r="G167" s="223" t="n">
        <v>34097</v>
      </c>
      <c r="H167" s="87" t="n"/>
      <c r="I167" s="87" t="n"/>
      <c r="J167" s="87" t="n"/>
      <c r="K167" s="87" t="n"/>
      <c r="L167" s="87" t="n"/>
    </row>
    <row r="168" ht="20.05" customHeight="1" s="215">
      <c r="A168" s="84" t="n"/>
      <c r="B168" s="88" t="inlineStr">
        <is>
          <t>47 years</t>
        </is>
      </c>
      <c r="C168" s="86" t="n"/>
      <c r="D168" s="223" t="n">
        <v>68463</v>
      </c>
      <c r="E168" s="223" t="n">
        <v>70263</v>
      </c>
      <c r="F168" s="223" t="n">
        <v>36232</v>
      </c>
      <c r="G168" s="223" t="n">
        <v>32806</v>
      </c>
      <c r="H168" s="87" t="n"/>
      <c r="I168" s="87" t="n"/>
      <c r="J168" s="87" t="n"/>
      <c r="K168" s="87" t="n"/>
      <c r="L168" s="87" t="n"/>
    </row>
    <row r="169" ht="20.05" customHeight="1" s="215">
      <c r="A169" s="84" t="n"/>
      <c r="B169" s="88" t="inlineStr">
        <is>
          <t>48 years</t>
        </is>
      </c>
      <c r="C169" s="86" t="n"/>
      <c r="D169" s="223" t="n">
        <v>70290</v>
      </c>
      <c r="E169" s="223" t="n">
        <v>72519</v>
      </c>
      <c r="F169" s="223" t="n">
        <v>34512</v>
      </c>
      <c r="G169" s="223" t="n">
        <v>31558</v>
      </c>
      <c r="H169" s="87" t="n"/>
      <c r="I169" s="87" t="n"/>
      <c r="J169" s="87" t="n"/>
      <c r="K169" s="87" t="n"/>
      <c r="L169" s="87" t="n"/>
    </row>
    <row r="170" ht="20.05" customHeight="1" s="215">
      <c r="A170" s="84" t="n"/>
      <c r="B170" s="88" t="inlineStr">
        <is>
          <t>49 years</t>
        </is>
      </c>
      <c r="C170" s="86" t="n"/>
      <c r="D170" s="223" t="n">
        <v>71390</v>
      </c>
      <c r="E170" s="223" t="n">
        <v>72732</v>
      </c>
      <c r="F170" s="223" t="n">
        <v>34323</v>
      </c>
      <c r="G170" s="223" t="n">
        <v>31052</v>
      </c>
      <c r="H170" s="87" t="n"/>
      <c r="I170" s="87" t="n"/>
      <c r="J170" s="87" t="n"/>
      <c r="K170" s="87" t="n"/>
      <c r="L170" s="87" t="n"/>
    </row>
    <row r="171" ht="20.05" customHeight="1" s="215">
      <c r="A171" s="84" t="n"/>
      <c r="B171" s="88" t="inlineStr">
        <is>
          <t>50 years</t>
        </is>
      </c>
      <c r="C171" s="86" t="n"/>
      <c r="D171" s="223" t="n">
        <v>74884</v>
      </c>
      <c r="E171" s="223" t="n">
        <v>76579</v>
      </c>
      <c r="F171" s="223" t="n">
        <v>35089</v>
      </c>
      <c r="G171" s="223" t="n">
        <v>31160</v>
      </c>
      <c r="H171" s="87" t="n"/>
      <c r="I171" s="87" t="n"/>
      <c r="J171" s="87" t="n"/>
      <c r="K171" s="87" t="n"/>
      <c r="L171" s="87" t="n"/>
    </row>
    <row r="172" ht="20.05" customHeight="1" s="215">
      <c r="A172" s="84" t="n"/>
      <c r="B172" s="88" t="inlineStr">
        <is>
          <t>51 years</t>
        </is>
      </c>
      <c r="C172" s="86" t="n"/>
      <c r="D172" s="223" t="n">
        <v>79050</v>
      </c>
      <c r="E172" s="223" t="n">
        <v>80406</v>
      </c>
      <c r="F172" s="223" t="n">
        <v>34078</v>
      </c>
      <c r="G172" s="223" t="n">
        <v>30515</v>
      </c>
      <c r="H172" s="87" t="n"/>
      <c r="I172" s="87" t="n"/>
      <c r="J172" s="87" t="n"/>
      <c r="K172" s="87" t="n"/>
      <c r="L172" s="87" t="n"/>
    </row>
    <row r="173" ht="20.05" customHeight="1" s="215">
      <c r="A173" s="84" t="n"/>
      <c r="B173" s="88" t="inlineStr">
        <is>
          <t>52 years</t>
        </is>
      </c>
      <c r="C173" s="86" t="n"/>
      <c r="D173" s="223" t="n">
        <v>87242</v>
      </c>
      <c r="E173" s="223" t="n">
        <v>87816</v>
      </c>
      <c r="F173" s="223" t="n">
        <v>34570</v>
      </c>
      <c r="G173" s="223" t="n">
        <v>31314</v>
      </c>
      <c r="H173" s="87" t="n"/>
      <c r="I173" s="87" t="n"/>
      <c r="J173" s="87" t="n"/>
      <c r="K173" s="87" t="n"/>
      <c r="L173" s="87" t="n"/>
    </row>
    <row r="174" ht="20.05" customHeight="1" s="215">
      <c r="A174" s="84" t="n"/>
      <c r="B174" s="88" t="inlineStr">
        <is>
          <t>53 years</t>
        </is>
      </c>
      <c r="C174" s="86" t="n"/>
      <c r="D174" s="223" t="n">
        <v>92043</v>
      </c>
      <c r="E174" s="223" t="n">
        <v>93825</v>
      </c>
      <c r="F174" s="223" t="n">
        <v>34170</v>
      </c>
      <c r="G174" s="223" t="n">
        <v>31289</v>
      </c>
      <c r="H174" s="87" t="n"/>
      <c r="I174" s="87" t="n"/>
      <c r="J174" s="87" t="n"/>
      <c r="K174" s="87" t="n"/>
      <c r="L174" s="87" t="n"/>
    </row>
    <row r="175" ht="20.05" customHeight="1" s="215">
      <c r="A175" s="84" t="n"/>
      <c r="B175" s="88" t="inlineStr">
        <is>
          <t>54 years</t>
        </is>
      </c>
      <c r="C175" s="86" t="n"/>
      <c r="D175" s="223" t="n">
        <v>97177</v>
      </c>
      <c r="E175" s="223" t="n">
        <v>98168</v>
      </c>
      <c r="F175" s="223" t="n">
        <v>33755</v>
      </c>
      <c r="G175" s="223" t="n">
        <v>31699</v>
      </c>
      <c r="H175" s="87" t="n"/>
      <c r="I175" s="87" t="n"/>
      <c r="J175" s="87" t="n"/>
      <c r="K175" s="87" t="n"/>
      <c r="L175" s="87" t="n"/>
    </row>
    <row r="176" ht="20.05" customHeight="1" s="215">
      <c r="A176" s="84" t="n"/>
      <c r="B176" s="88" t="inlineStr">
        <is>
          <t>55 years</t>
        </is>
      </c>
      <c r="C176" s="86" t="n"/>
      <c r="D176" s="223" t="n">
        <v>99964</v>
      </c>
      <c r="E176" s="223" t="n">
        <v>101589</v>
      </c>
      <c r="F176" s="223" t="n">
        <v>32746</v>
      </c>
      <c r="G176" s="223" t="n">
        <v>30916</v>
      </c>
      <c r="H176" s="87" t="n"/>
      <c r="I176" s="87" t="n"/>
      <c r="J176" s="87" t="n"/>
      <c r="K176" s="87" t="n"/>
      <c r="L176" s="87" t="n"/>
    </row>
    <row r="177" ht="20.05" customHeight="1" s="215">
      <c r="A177" s="84" t="n"/>
      <c r="B177" s="88" t="inlineStr">
        <is>
          <t>56 years</t>
        </is>
      </c>
      <c r="C177" s="86" t="n"/>
      <c r="D177" s="223" t="n">
        <v>95674</v>
      </c>
      <c r="E177" s="223" t="n">
        <v>96849</v>
      </c>
      <c r="F177" s="223" t="n">
        <v>31196</v>
      </c>
      <c r="G177" s="223" t="n">
        <v>29549</v>
      </c>
      <c r="H177" s="87" t="n"/>
      <c r="I177" s="87" t="n"/>
      <c r="J177" s="87" t="n"/>
      <c r="K177" s="87" t="n"/>
      <c r="L177" s="87" t="n"/>
    </row>
    <row r="178" ht="20.05" customHeight="1" s="215">
      <c r="A178" s="84" t="n"/>
      <c r="B178" s="88" t="inlineStr">
        <is>
          <t>57 years</t>
        </is>
      </c>
      <c r="C178" s="86" t="n"/>
      <c r="D178" s="223" t="n">
        <v>95648</v>
      </c>
      <c r="E178" s="223" t="n">
        <v>97284</v>
      </c>
      <c r="F178" s="223" t="n">
        <v>28984</v>
      </c>
      <c r="G178" s="223" t="n">
        <v>27767</v>
      </c>
      <c r="H178" s="87" t="n"/>
      <c r="I178" s="87" t="n"/>
      <c r="J178" s="87" t="n"/>
      <c r="K178" s="87" t="n"/>
      <c r="L178" s="87" t="n"/>
    </row>
    <row r="179" ht="20.05" customHeight="1" s="215">
      <c r="A179" s="84" t="n"/>
      <c r="B179" s="88" t="inlineStr">
        <is>
          <t>58 years</t>
        </is>
      </c>
      <c r="C179" s="86" t="n"/>
      <c r="D179" s="223" t="n">
        <v>95807</v>
      </c>
      <c r="E179" s="223" t="n">
        <v>96877</v>
      </c>
      <c r="F179" s="223" t="n">
        <v>28899</v>
      </c>
      <c r="G179" s="223" t="n">
        <v>28068</v>
      </c>
      <c r="H179" s="87" t="n"/>
      <c r="I179" s="87" t="n"/>
      <c r="J179" s="87" t="n"/>
      <c r="K179" s="87" t="n"/>
      <c r="L179" s="87" t="n"/>
    </row>
    <row r="180" ht="20.05" customHeight="1" s="215">
      <c r="A180" s="84" t="n"/>
      <c r="B180" s="88" t="inlineStr">
        <is>
          <t>59 years</t>
        </is>
      </c>
      <c r="C180" s="86" t="n"/>
      <c r="D180" s="223" t="n">
        <v>97294</v>
      </c>
      <c r="E180" s="223" t="n">
        <v>98751</v>
      </c>
      <c r="F180" s="223" t="n">
        <v>28336</v>
      </c>
      <c r="G180" s="223" t="n">
        <v>27681</v>
      </c>
      <c r="H180" s="87" t="n"/>
      <c r="I180" s="87" t="n"/>
      <c r="J180" s="87" t="n"/>
      <c r="K180" s="87" t="n"/>
      <c r="L180" s="87" t="n"/>
    </row>
    <row r="181" ht="20.05" customHeight="1" s="215">
      <c r="A181" s="84" t="n"/>
      <c r="B181" s="88" t="inlineStr">
        <is>
          <t>60 years</t>
        </is>
      </c>
      <c r="C181" s="86" t="n"/>
      <c r="D181" s="223" t="n">
        <v>99343</v>
      </c>
      <c r="E181" s="223" t="n">
        <v>100559</v>
      </c>
      <c r="F181" s="223" t="n">
        <v>27958</v>
      </c>
      <c r="G181" s="223" t="n">
        <v>27177</v>
      </c>
      <c r="H181" s="87" t="n"/>
      <c r="I181" s="87" t="n"/>
      <c r="J181" s="87" t="n"/>
      <c r="K181" s="87" t="n"/>
      <c r="L181" s="87" t="n"/>
    </row>
    <row r="182" ht="20.05" customHeight="1" s="215">
      <c r="A182" s="84" t="n"/>
      <c r="B182" s="88" t="inlineStr">
        <is>
          <t>61 years</t>
        </is>
      </c>
      <c r="C182" s="86" t="n"/>
      <c r="D182" s="223" t="n">
        <v>98445</v>
      </c>
      <c r="E182" s="223" t="n">
        <v>99816</v>
      </c>
      <c r="F182" s="223" t="n">
        <v>26327</v>
      </c>
      <c r="G182" s="223" t="n">
        <v>25147</v>
      </c>
      <c r="H182" s="87" t="n"/>
      <c r="I182" s="87" t="n"/>
      <c r="J182" s="87" t="n"/>
      <c r="K182" s="87" t="n"/>
      <c r="L182" s="87" t="n"/>
    </row>
    <row r="183" ht="20.05" customHeight="1" s="215">
      <c r="A183" s="84" t="n"/>
      <c r="B183" s="88" t="inlineStr">
        <is>
          <t>62 years</t>
        </is>
      </c>
      <c r="C183" s="86" t="n"/>
      <c r="D183" s="223" t="n">
        <v>96916</v>
      </c>
      <c r="E183" s="223" t="n">
        <v>97260</v>
      </c>
      <c r="F183" s="223" t="n">
        <v>25597</v>
      </c>
      <c r="G183" s="223" t="n">
        <v>24088</v>
      </c>
      <c r="H183" s="87" t="n"/>
      <c r="I183" s="87" t="n"/>
      <c r="J183" s="87" t="n"/>
      <c r="K183" s="87" t="n"/>
      <c r="L183" s="87" t="n"/>
    </row>
    <row r="184" ht="20.05" customHeight="1" s="215">
      <c r="A184" s="84" t="n"/>
      <c r="B184" s="88" t="inlineStr">
        <is>
          <t>63 years</t>
        </is>
      </c>
      <c r="C184" s="86" t="n"/>
      <c r="D184" s="223" t="n">
        <v>97016</v>
      </c>
      <c r="E184" s="223" t="n">
        <v>96705</v>
      </c>
      <c r="F184" s="223" t="n">
        <v>23594</v>
      </c>
      <c r="G184" s="223" t="n">
        <v>22427</v>
      </c>
      <c r="H184" s="87" t="n"/>
      <c r="I184" s="87" t="n"/>
      <c r="J184" s="87" t="n"/>
      <c r="K184" s="87" t="n"/>
      <c r="L184" s="87" t="n"/>
    </row>
    <row r="185" ht="20.05" customHeight="1" s="215">
      <c r="A185" s="84" t="n"/>
      <c r="B185" s="88" t="inlineStr">
        <is>
          <t>64 years</t>
        </is>
      </c>
      <c r="C185" s="86" t="n"/>
      <c r="D185" s="223" t="n">
        <v>92729</v>
      </c>
      <c r="E185" s="223" t="n">
        <v>92968</v>
      </c>
      <c r="F185" s="223" t="n">
        <v>23986</v>
      </c>
      <c r="G185" s="223" t="n">
        <v>22185</v>
      </c>
      <c r="H185" s="87" t="n"/>
      <c r="I185" s="87" t="n"/>
      <c r="J185" s="87" t="n"/>
      <c r="K185" s="87" t="n"/>
      <c r="L185" s="87" t="n"/>
    </row>
    <row r="186" ht="20.05" customHeight="1" s="215">
      <c r="A186" s="84" t="n"/>
      <c r="B186" s="88" t="inlineStr">
        <is>
          <t>65 years</t>
        </is>
      </c>
      <c r="C186" s="86" t="n"/>
      <c r="D186" s="223" t="n">
        <v>92791</v>
      </c>
      <c r="E186" s="223" t="n">
        <v>92463</v>
      </c>
      <c r="F186" s="223" t="n">
        <v>22077</v>
      </c>
      <c r="G186" s="223" t="n">
        <v>20312</v>
      </c>
      <c r="H186" s="87" t="n"/>
      <c r="I186" s="87" t="n"/>
      <c r="J186" s="87" t="n"/>
      <c r="K186" s="87" t="n"/>
      <c r="L186" s="87" t="n"/>
    </row>
    <row r="187" ht="20.05" customHeight="1" s="215">
      <c r="A187" s="84" t="n"/>
      <c r="B187" s="88" t="inlineStr">
        <is>
          <t>66 years</t>
        </is>
      </c>
      <c r="C187" s="86" t="n"/>
      <c r="D187" s="223" t="n">
        <v>89990</v>
      </c>
      <c r="E187" s="223" t="n">
        <v>89950</v>
      </c>
      <c r="F187" s="223" t="n">
        <v>21101</v>
      </c>
      <c r="G187" s="223" t="n">
        <v>18917</v>
      </c>
      <c r="H187" s="87" t="n"/>
      <c r="I187" s="87" t="n"/>
      <c r="J187" s="87" t="n"/>
      <c r="K187" s="87" t="n"/>
      <c r="L187" s="87" t="n"/>
    </row>
    <row r="188" ht="20.05" customHeight="1" s="215">
      <c r="A188" s="84" t="n"/>
      <c r="B188" s="88" t="inlineStr">
        <is>
          <t>67 years</t>
        </is>
      </c>
      <c r="C188" s="86" t="n"/>
      <c r="D188" s="223" t="n">
        <v>87905</v>
      </c>
      <c r="E188" s="223" t="n">
        <v>87474</v>
      </c>
      <c r="F188" s="223" t="n">
        <v>20338</v>
      </c>
      <c r="G188" s="223" t="n">
        <v>17606</v>
      </c>
      <c r="H188" s="87" t="n"/>
      <c r="I188" s="87" t="n"/>
      <c r="J188" s="87" t="n"/>
      <c r="K188" s="87" t="n"/>
      <c r="L188" s="87" t="n"/>
    </row>
    <row r="189" ht="20.05" customHeight="1" s="215">
      <c r="A189" s="84" t="n"/>
      <c r="B189" s="88" t="inlineStr">
        <is>
          <t>68 years</t>
        </is>
      </c>
      <c r="C189" s="86" t="n"/>
      <c r="D189" s="223" t="n">
        <v>85607</v>
      </c>
      <c r="E189" s="223" t="n">
        <v>85009</v>
      </c>
      <c r="F189" s="223" t="n">
        <v>19384</v>
      </c>
      <c r="G189" s="223" t="n">
        <v>17009</v>
      </c>
      <c r="H189" s="87" t="n"/>
      <c r="I189" s="87" t="n"/>
      <c r="J189" s="87" t="n"/>
      <c r="K189" s="87" t="n"/>
      <c r="L189" s="87" t="n"/>
    </row>
    <row r="190" ht="20.05" customHeight="1" s="215">
      <c r="A190" s="84" t="n"/>
      <c r="B190" s="88" t="inlineStr">
        <is>
          <t>69 years</t>
        </is>
      </c>
      <c r="C190" s="86" t="n"/>
      <c r="D190" s="223" t="n">
        <v>83641</v>
      </c>
      <c r="E190" s="223" t="n">
        <v>81830</v>
      </c>
      <c r="F190" s="223" t="n">
        <v>18500</v>
      </c>
      <c r="G190" s="223" t="n">
        <v>15828</v>
      </c>
      <c r="H190" s="87" t="n"/>
      <c r="I190" s="87" t="n"/>
      <c r="J190" s="87" t="n"/>
      <c r="K190" s="87" t="n"/>
      <c r="L190" s="87" t="n"/>
    </row>
    <row r="191" ht="20.05" customHeight="1" s="215">
      <c r="A191" s="84" t="n"/>
      <c r="B191" s="88" t="inlineStr">
        <is>
          <t>70 years</t>
        </is>
      </c>
      <c r="C191" s="86" t="n"/>
      <c r="D191" s="223" t="n">
        <v>81233</v>
      </c>
      <c r="E191" s="223" t="n">
        <v>80362</v>
      </c>
      <c r="F191" s="223" t="n">
        <v>17911</v>
      </c>
      <c r="G191" s="223" t="n">
        <v>14961</v>
      </c>
      <c r="H191" s="87" t="n"/>
      <c r="I191" s="87" t="n"/>
      <c r="J191" s="87" t="n"/>
      <c r="K191" s="87" t="n"/>
      <c r="L191" s="87" t="n"/>
    </row>
    <row r="192" ht="20.05" customHeight="1" s="215">
      <c r="A192" s="84" t="n"/>
      <c r="B192" s="88" t="inlineStr">
        <is>
          <t>71 years</t>
        </is>
      </c>
      <c r="C192" s="86" t="n"/>
      <c r="D192" s="223" t="n">
        <v>79847</v>
      </c>
      <c r="E192" s="223" t="n">
        <v>78177</v>
      </c>
      <c r="F192" s="223" t="n">
        <v>16785</v>
      </c>
      <c r="G192" s="223" t="n">
        <v>14241</v>
      </c>
      <c r="H192" s="87" t="n"/>
      <c r="I192" s="87" t="n"/>
      <c r="J192" s="87" t="n"/>
      <c r="K192" s="87" t="n"/>
      <c r="L192" s="87" t="n"/>
    </row>
    <row r="193" ht="20.05" customHeight="1" s="215">
      <c r="A193" s="84" t="n"/>
      <c r="B193" s="88" t="inlineStr">
        <is>
          <t>72 years</t>
        </is>
      </c>
      <c r="C193" s="86" t="n"/>
      <c r="D193" s="223" t="n">
        <v>79478</v>
      </c>
      <c r="E193" s="223" t="n">
        <v>77152</v>
      </c>
      <c r="F193" s="223" t="n">
        <v>16484</v>
      </c>
      <c r="G193" s="223" t="n">
        <v>13914</v>
      </c>
      <c r="H193" s="87" t="n"/>
      <c r="I193" s="87" t="n"/>
      <c r="J193" s="87" t="n"/>
      <c r="K193" s="87" t="n"/>
      <c r="L193" s="87" t="n"/>
    </row>
    <row r="194" ht="20.05" customHeight="1" s="215">
      <c r="A194" s="84" t="n"/>
      <c r="B194" s="88" t="inlineStr">
        <is>
          <t>73 years</t>
        </is>
      </c>
      <c r="C194" s="86" t="n"/>
      <c r="D194" s="223" t="n">
        <v>75922</v>
      </c>
      <c r="E194" s="223" t="n">
        <v>73256</v>
      </c>
      <c r="F194" s="223" t="n">
        <v>15155</v>
      </c>
      <c r="G194" s="223" t="n">
        <v>13218</v>
      </c>
      <c r="H194" s="87" t="n"/>
      <c r="I194" s="87" t="n"/>
      <c r="J194" s="87" t="n"/>
      <c r="K194" s="87" t="n"/>
      <c r="L194" s="87" t="n"/>
    </row>
    <row r="195" ht="20.05" customHeight="1" s="215">
      <c r="A195" s="84" t="n"/>
      <c r="B195" s="88" t="inlineStr">
        <is>
          <t>74 years</t>
        </is>
      </c>
      <c r="C195" s="86" t="n"/>
      <c r="D195" s="223" t="n">
        <v>75100</v>
      </c>
      <c r="E195" s="223" t="n">
        <v>71610</v>
      </c>
      <c r="F195" s="223" t="n">
        <v>15625</v>
      </c>
      <c r="G195" s="223" t="n">
        <v>13296</v>
      </c>
      <c r="H195" s="87" t="n"/>
      <c r="I195" s="87" t="n"/>
      <c r="J195" s="87" t="n"/>
      <c r="K195" s="87" t="n"/>
      <c r="L195" s="87" t="n"/>
    </row>
    <row r="196" ht="20.05" customHeight="1" s="215">
      <c r="A196" s="84" t="n"/>
      <c r="B196" s="88" t="inlineStr">
        <is>
          <t>75 years</t>
        </is>
      </c>
      <c r="C196" s="86" t="n"/>
      <c r="D196" s="223" t="n">
        <v>75692</v>
      </c>
      <c r="E196" s="223" t="n">
        <v>71361</v>
      </c>
      <c r="F196" s="223" t="n">
        <v>14529</v>
      </c>
      <c r="G196" s="223" t="n">
        <v>12514</v>
      </c>
      <c r="H196" s="87" t="n"/>
      <c r="I196" s="87" t="n"/>
      <c r="J196" s="87" t="n"/>
      <c r="K196" s="87" t="n"/>
      <c r="L196" s="87" t="n"/>
    </row>
    <row r="197" ht="20.05" customHeight="1" s="215">
      <c r="A197" s="84" t="n"/>
      <c r="B197" s="88" t="inlineStr">
        <is>
          <t>76 years</t>
        </is>
      </c>
      <c r="C197" s="86" t="n"/>
      <c r="D197" s="223" t="n">
        <v>77257</v>
      </c>
      <c r="E197" s="223" t="n">
        <v>72079</v>
      </c>
      <c r="F197" s="223" t="n">
        <v>13852</v>
      </c>
      <c r="G197" s="223" t="n">
        <v>12237</v>
      </c>
      <c r="H197" s="87" t="n"/>
      <c r="I197" s="87" t="n"/>
      <c r="J197" s="87" t="n"/>
      <c r="K197" s="87" t="n"/>
      <c r="L197" s="87" t="n"/>
    </row>
    <row r="198" ht="20.05" customHeight="1" s="215">
      <c r="A198" s="84" t="n"/>
      <c r="B198" s="88" t="inlineStr">
        <is>
          <t>77 years</t>
        </is>
      </c>
      <c r="C198" s="86" t="n"/>
      <c r="D198" s="223" t="n">
        <v>80760</v>
      </c>
      <c r="E198" s="223" t="n">
        <v>73731</v>
      </c>
      <c r="F198" s="223" t="n">
        <v>13278</v>
      </c>
      <c r="G198" s="223" t="n">
        <v>11661</v>
      </c>
      <c r="H198" s="87" t="n"/>
      <c r="I198" s="87" t="n"/>
      <c r="J198" s="87" t="n"/>
      <c r="K198" s="87" t="n"/>
      <c r="L198" s="87" t="n"/>
    </row>
    <row r="199" ht="20.05" customHeight="1" s="215">
      <c r="A199" s="84" t="n"/>
      <c r="B199" s="88" t="inlineStr">
        <is>
          <t>78 years</t>
        </is>
      </c>
      <c r="C199" s="86" t="n"/>
      <c r="D199" s="223" t="n">
        <v>82915</v>
      </c>
      <c r="E199" s="223" t="n">
        <v>74749</v>
      </c>
      <c r="F199" s="223" t="n">
        <v>11804</v>
      </c>
      <c r="G199" s="223" t="n">
        <v>10364</v>
      </c>
      <c r="H199" s="87" t="n"/>
      <c r="I199" s="87" t="n"/>
      <c r="J199" s="87" t="n"/>
      <c r="K199" s="87" t="n"/>
      <c r="L199" s="87" t="n"/>
    </row>
    <row r="200" ht="20.05" customHeight="1" s="215">
      <c r="A200" s="84" t="n"/>
      <c r="B200" s="88" t="inlineStr">
        <is>
          <t>79 years</t>
        </is>
      </c>
      <c r="C200" s="86" t="n"/>
      <c r="D200" s="223" t="n">
        <v>56446</v>
      </c>
      <c r="E200" s="223" t="n">
        <v>49197</v>
      </c>
      <c r="F200" s="223" t="n">
        <v>9334</v>
      </c>
      <c r="G200" s="223" t="n">
        <v>8165</v>
      </c>
      <c r="H200" s="87" t="n"/>
      <c r="I200" s="87" t="n"/>
      <c r="J200" s="87" t="n"/>
      <c r="K200" s="87" t="n"/>
      <c r="L200" s="87" t="n"/>
    </row>
    <row r="201" ht="20.05" customHeight="1" s="215">
      <c r="A201" s="84" t="n"/>
      <c r="B201" s="88" t="inlineStr">
        <is>
          <t>80 years</t>
        </is>
      </c>
      <c r="C201" s="86" t="n"/>
      <c r="D201" s="223" t="n">
        <v>57762</v>
      </c>
      <c r="E201" s="223" t="n">
        <v>49554</v>
      </c>
      <c r="F201" s="223" t="n">
        <v>8720</v>
      </c>
      <c r="G201" s="223" t="n">
        <v>7389</v>
      </c>
      <c r="H201" s="87" t="n"/>
      <c r="I201" s="87" t="n"/>
      <c r="J201" s="87" t="n"/>
      <c r="K201" s="87" t="n"/>
      <c r="L201" s="87" t="n"/>
    </row>
    <row r="202" ht="20.05" customHeight="1" s="215">
      <c r="A202" s="84" t="n"/>
      <c r="B202" s="88" t="inlineStr">
        <is>
          <t>81 years</t>
        </is>
      </c>
      <c r="C202" s="86" t="n"/>
      <c r="D202" s="223" t="n">
        <v>53183</v>
      </c>
      <c r="E202" s="223" t="n">
        <v>44769</v>
      </c>
      <c r="F202" s="223" t="n">
        <v>7726</v>
      </c>
      <c r="G202" s="223" t="n">
        <v>6714</v>
      </c>
      <c r="H202" s="87" t="n"/>
      <c r="I202" s="87" t="n"/>
      <c r="J202" s="87" t="n"/>
      <c r="K202" s="87" t="n"/>
      <c r="L202" s="87" t="n"/>
    </row>
    <row r="203" ht="20.05" customHeight="1" s="215">
      <c r="A203" s="84" t="n"/>
      <c r="B203" s="88" t="inlineStr">
        <is>
          <t>82 years</t>
        </is>
      </c>
      <c r="C203" s="86" t="n"/>
      <c r="D203" s="223" t="n">
        <v>45967</v>
      </c>
      <c r="E203" s="223" t="n">
        <v>37523</v>
      </c>
      <c r="F203" s="223" t="n">
        <v>8278</v>
      </c>
      <c r="G203" s="223" t="n">
        <v>6733</v>
      </c>
      <c r="H203" s="87" t="n"/>
      <c r="I203" s="87" t="n"/>
      <c r="J203" s="87" t="n"/>
      <c r="K203" s="87" t="n"/>
      <c r="L203" s="87" t="n"/>
    </row>
    <row r="204" ht="20.05" customHeight="1" s="215">
      <c r="A204" s="84" t="n"/>
      <c r="B204" s="88" t="inlineStr">
        <is>
          <t>83 years</t>
        </is>
      </c>
      <c r="C204" s="86" t="n"/>
      <c r="D204" s="223" t="n">
        <v>41786</v>
      </c>
      <c r="E204" s="223" t="n">
        <v>32927</v>
      </c>
      <c r="F204" s="223" t="n">
        <v>7375</v>
      </c>
      <c r="G204" s="223" t="n">
        <v>6053</v>
      </c>
      <c r="H204" s="87" t="n"/>
      <c r="I204" s="87" t="n"/>
      <c r="J204" s="87" t="n"/>
      <c r="K204" s="87" t="n"/>
      <c r="L204" s="87" t="n"/>
    </row>
    <row r="205" ht="20.05" customHeight="1" s="215">
      <c r="A205" s="84" t="n"/>
      <c r="B205" s="88" t="inlineStr">
        <is>
          <t>84 years</t>
        </is>
      </c>
      <c r="C205" s="86" t="n"/>
      <c r="D205" s="223" t="n">
        <v>40193</v>
      </c>
      <c r="E205" s="223" t="n">
        <v>30295</v>
      </c>
      <c r="F205" s="223" t="n">
        <v>7443</v>
      </c>
      <c r="G205" s="223" t="n">
        <v>6095</v>
      </c>
      <c r="H205" s="87" t="n"/>
      <c r="I205" s="87" t="n"/>
      <c r="J205" s="87" t="n"/>
      <c r="K205" s="87" t="n"/>
      <c r="L205" s="87" t="n"/>
    </row>
    <row r="206" ht="20.05" customHeight="1" s="215">
      <c r="A206" s="84" t="n"/>
      <c r="B206" s="88" t="inlineStr">
        <is>
          <t>85 years</t>
        </is>
      </c>
      <c r="C206" s="86" t="n"/>
      <c r="D206" s="223" t="n">
        <v>36975</v>
      </c>
      <c r="E206" s="223" t="n">
        <v>26453</v>
      </c>
      <c r="F206" s="223" t="n">
        <v>6404</v>
      </c>
      <c r="G206" s="223" t="n">
        <v>4921</v>
      </c>
      <c r="H206" s="87" t="n"/>
      <c r="I206" s="87" t="n"/>
      <c r="J206" s="87" t="n"/>
      <c r="K206" s="87" t="n"/>
      <c r="L206" s="87" t="n"/>
    </row>
    <row r="207" ht="20.05" customHeight="1" s="215">
      <c r="A207" s="84" t="n"/>
      <c r="B207" s="88" t="inlineStr">
        <is>
          <t>86 years</t>
        </is>
      </c>
      <c r="C207" s="86" t="n"/>
      <c r="D207" s="223" t="n">
        <v>33703</v>
      </c>
      <c r="E207" s="223" t="n">
        <v>23394</v>
      </c>
      <c r="F207" s="223" t="n">
        <v>5629</v>
      </c>
      <c r="G207" s="223" t="n">
        <v>4275</v>
      </c>
      <c r="H207" s="87" t="n"/>
      <c r="I207" s="87" t="n"/>
      <c r="J207" s="87" t="n"/>
      <c r="K207" s="87" t="n"/>
      <c r="L207" s="87" t="n"/>
    </row>
    <row r="208" ht="20.05" customHeight="1" s="215">
      <c r="A208" s="84" t="n"/>
      <c r="B208" s="88" t="inlineStr">
        <is>
          <t>87 years</t>
        </is>
      </c>
      <c r="C208" s="86" t="n"/>
      <c r="D208" s="223" t="n">
        <v>28764</v>
      </c>
      <c r="E208" s="223" t="n">
        <v>18940</v>
      </c>
      <c r="F208" s="223" t="n">
        <v>4675</v>
      </c>
      <c r="G208" s="223" t="n">
        <v>3341</v>
      </c>
      <c r="H208" s="87" t="n"/>
      <c r="I208" s="87" t="n"/>
      <c r="J208" s="87" t="n"/>
      <c r="K208" s="87" t="n"/>
      <c r="L208" s="87" t="n"/>
    </row>
    <row r="209" ht="20.05" customHeight="1" s="215">
      <c r="A209" s="84" t="n"/>
      <c r="B209" s="88" t="inlineStr">
        <is>
          <t>88 years</t>
        </is>
      </c>
      <c r="C209" s="86" t="n"/>
      <c r="D209" s="223" t="n">
        <v>25763</v>
      </c>
      <c r="E209" s="223" t="n">
        <v>15856</v>
      </c>
      <c r="F209" s="223" t="n">
        <v>4074</v>
      </c>
      <c r="G209" s="223" t="n">
        <v>2742</v>
      </c>
      <c r="H209" s="87" t="n"/>
      <c r="I209" s="87" t="n"/>
      <c r="J209" s="87" t="n"/>
      <c r="K209" s="87" t="n"/>
      <c r="L209" s="87" t="n"/>
    </row>
    <row r="210" ht="20.05" customHeight="1" s="215">
      <c r="A210" s="84" t="n"/>
      <c r="B210" s="88" t="inlineStr">
        <is>
          <t>89 years</t>
        </is>
      </c>
      <c r="C210" s="86" t="n"/>
      <c r="D210" s="223" t="n">
        <v>22431</v>
      </c>
      <c r="E210" s="223" t="n">
        <v>12916</v>
      </c>
      <c r="F210" s="223" t="n">
        <v>3425</v>
      </c>
      <c r="G210" s="223" t="n">
        <v>2166</v>
      </c>
      <c r="H210" s="87" t="n"/>
      <c r="I210" s="87" t="n"/>
      <c r="J210" s="87" t="n"/>
      <c r="K210" s="87" t="n"/>
      <c r="L210" s="87" t="n"/>
    </row>
    <row r="211" ht="20.05" customHeight="1" s="215">
      <c r="A211" s="84" t="n"/>
      <c r="B211" s="88" t="inlineStr">
        <is>
          <t>90 years</t>
        </is>
      </c>
      <c r="C211" s="86" t="n"/>
      <c r="D211" s="223" t="n">
        <v>18918</v>
      </c>
      <c r="E211" s="223" t="n">
        <v>10350</v>
      </c>
      <c r="F211" s="223" t="n">
        <v>2812</v>
      </c>
      <c r="G211" s="223" t="n">
        <v>1615</v>
      </c>
      <c r="H211" s="87" t="n"/>
      <c r="I211" s="87" t="n"/>
      <c r="J211" s="87" t="n"/>
      <c r="K211" s="87" t="n"/>
      <c r="L211" s="87" t="n"/>
    </row>
    <row r="212" ht="20.05" customHeight="1" s="215">
      <c r="A212" s="84" t="n"/>
      <c r="B212" s="88" t="inlineStr">
        <is>
          <t>91 years</t>
        </is>
      </c>
      <c r="C212" s="86" t="n"/>
      <c r="D212" s="223" t="n">
        <v>15805</v>
      </c>
      <c r="E212" s="223" t="n">
        <v>7725</v>
      </c>
      <c r="F212" s="223" t="n">
        <v>2202</v>
      </c>
      <c r="G212" s="223" t="n">
        <v>1131</v>
      </c>
      <c r="H212" s="87" t="n"/>
      <c r="I212" s="87" t="n"/>
      <c r="J212" s="87" t="n"/>
      <c r="K212" s="87" t="n"/>
      <c r="L212" s="87" t="n"/>
    </row>
    <row r="213" ht="20.05" customHeight="1" s="215">
      <c r="A213" s="84" t="n"/>
      <c r="B213" s="88" t="inlineStr">
        <is>
          <t>92 years</t>
        </is>
      </c>
      <c r="C213" s="86" t="n"/>
      <c r="D213" s="223" t="n">
        <v>13226</v>
      </c>
      <c r="E213" s="223" t="n">
        <v>6120</v>
      </c>
      <c r="F213" s="223" t="n">
        <v>1787</v>
      </c>
      <c r="G213" s="223" t="n">
        <v>880</v>
      </c>
      <c r="H213" s="87" t="n"/>
      <c r="I213" s="87" t="n"/>
      <c r="J213" s="87" t="n"/>
      <c r="K213" s="87" t="n"/>
      <c r="L213" s="87" t="n"/>
    </row>
    <row r="214" ht="20.05" customHeight="1" s="215">
      <c r="A214" s="84" t="n"/>
      <c r="B214" s="88" t="inlineStr">
        <is>
          <t>93 years</t>
        </is>
      </c>
      <c r="C214" s="86" t="n"/>
      <c r="D214" s="223" t="n">
        <v>10350</v>
      </c>
      <c r="E214" s="223" t="n">
        <v>4478</v>
      </c>
      <c r="F214" s="223" t="n">
        <v>1270</v>
      </c>
      <c r="G214" s="223" t="n">
        <v>589</v>
      </c>
      <c r="H214" s="87" t="n"/>
      <c r="I214" s="87" t="n"/>
      <c r="J214" s="87" t="n"/>
      <c r="K214" s="87" t="n"/>
      <c r="L214" s="87" t="n"/>
    </row>
    <row r="215" ht="20.05" customHeight="1" s="215">
      <c r="A215" s="84" t="n"/>
      <c r="B215" s="88" t="inlineStr">
        <is>
          <t>94 years</t>
        </is>
      </c>
      <c r="C215" s="86" t="n"/>
      <c r="D215" s="223" t="n">
        <v>8062</v>
      </c>
      <c r="E215" s="223" t="n">
        <v>3287</v>
      </c>
      <c r="F215" s="223" t="n">
        <v>1092</v>
      </c>
      <c r="G215" s="223" t="n">
        <v>439</v>
      </c>
      <c r="H215" s="87" t="n"/>
      <c r="I215" s="87" t="n"/>
      <c r="J215" s="87" t="n"/>
      <c r="K215" s="87" t="n"/>
      <c r="L215" s="87" t="n"/>
    </row>
    <row r="216" ht="20.05" customHeight="1" s="215">
      <c r="A216" s="84" t="n"/>
      <c r="B216" s="88" t="inlineStr">
        <is>
          <t>95 years</t>
        </is>
      </c>
      <c r="C216" s="86" t="n"/>
      <c r="D216" s="223" t="n">
        <v>5795</v>
      </c>
      <c r="E216" s="223" t="n">
        <v>2107</v>
      </c>
      <c r="F216" s="223" t="n">
        <v>749</v>
      </c>
      <c r="G216" s="223" t="n">
        <v>261</v>
      </c>
      <c r="H216" s="87" t="n"/>
      <c r="I216" s="87" t="n"/>
      <c r="J216" s="87" t="n"/>
      <c r="K216" s="87" t="n"/>
      <c r="L216" s="87" t="n"/>
    </row>
    <row r="217" ht="20.05" customHeight="1" s="215">
      <c r="A217" s="84" t="n"/>
      <c r="B217" s="88" t="inlineStr">
        <is>
          <t>96 years</t>
        </is>
      </c>
      <c r="C217" s="86" t="n"/>
      <c r="D217" s="223" t="n">
        <v>4276</v>
      </c>
      <c r="E217" s="223" t="n">
        <v>1447</v>
      </c>
      <c r="F217" s="223" t="n">
        <v>479</v>
      </c>
      <c r="G217" s="223" t="n">
        <v>183</v>
      </c>
      <c r="H217" s="87" t="n"/>
      <c r="I217" s="87" t="n"/>
      <c r="J217" s="87" t="n"/>
      <c r="K217" s="87" t="n"/>
      <c r="L217" s="87" t="n"/>
    </row>
    <row r="218" ht="20.05" customHeight="1" s="215">
      <c r="A218" s="84" t="n"/>
      <c r="B218" s="88" t="inlineStr">
        <is>
          <t>97 years</t>
        </is>
      </c>
      <c r="C218" s="86" t="n"/>
      <c r="D218" s="223" t="n">
        <v>2857</v>
      </c>
      <c r="E218" s="223" t="n">
        <v>898</v>
      </c>
      <c r="F218" s="223" t="n">
        <v>366</v>
      </c>
      <c r="G218" s="223" t="n">
        <v>112</v>
      </c>
      <c r="H218" s="87" t="n"/>
      <c r="I218" s="87" t="n"/>
      <c r="J218" s="87" t="n"/>
      <c r="K218" s="87" t="n"/>
      <c r="L218" s="87" t="n"/>
    </row>
    <row r="219" ht="20.05" customHeight="1" s="215">
      <c r="A219" s="84" t="n"/>
      <c r="B219" s="88" t="inlineStr">
        <is>
          <t>98 years</t>
        </is>
      </c>
      <c r="C219" s="86" t="n"/>
      <c r="D219" s="223" t="n">
        <v>2028</v>
      </c>
      <c r="E219" s="223" t="n">
        <v>580</v>
      </c>
      <c r="F219" s="223" t="n">
        <v>258</v>
      </c>
      <c r="G219" s="223" t="n">
        <v>63</v>
      </c>
      <c r="H219" s="87" t="n"/>
      <c r="I219" s="87" t="n"/>
      <c r="J219" s="87" t="n"/>
      <c r="K219" s="87" t="n"/>
      <c r="L219" s="87" t="n"/>
    </row>
    <row r="220" ht="20.05" customHeight="1" s="215">
      <c r="A220" s="84" t="n"/>
      <c r="B220" s="88" t="inlineStr">
        <is>
          <t>99 years and older</t>
        </is>
      </c>
      <c r="C220" s="86" t="n"/>
      <c r="D220" s="223" t="n">
        <v>1258</v>
      </c>
      <c r="E220" s="223" t="n">
        <v>320</v>
      </c>
      <c r="F220" s="223" t="n">
        <v>165</v>
      </c>
      <c r="G220" s="223" t="n">
        <v>40</v>
      </c>
      <c r="H220" s="87" t="n"/>
      <c r="I220" s="87" t="n"/>
      <c r="J220" s="87" t="n"/>
      <c r="K220" s="87" t="n"/>
      <c r="L220" s="87" t="n"/>
    </row>
    <row r="221" ht="20.05" customHeight="1" s="215">
      <c r="A221" s="84" t="n"/>
      <c r="B221" s="85" t="n"/>
      <c r="C221" s="86" t="n"/>
      <c r="D221" s="87" t="n"/>
      <c r="E221" s="87" t="n"/>
      <c r="F221" s="87" t="n"/>
      <c r="G221" s="87" t="n"/>
      <c r="H221" s="87" t="n"/>
      <c r="I221" s="87" t="n"/>
      <c r="J221" s="87" t="n"/>
      <c r="K221" s="87" t="n"/>
      <c r="L221" s="87" t="n"/>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births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Fertility</t>
        </is>
      </c>
      <c r="C5" s="75" t="inlineStr">
        <is>
          <t>The values in this section are used to calculate the number of births in the population goups</t>
        </is>
      </c>
      <c r="D5" s="217" t="n"/>
      <c r="E5" s="217" t="n"/>
      <c r="F5" s="217" t="n"/>
      <c r="G5" s="217" t="n"/>
      <c r="H5" s="217" t="n"/>
      <c r="I5" s="217" t="n"/>
      <c r="J5" s="217" t="n"/>
      <c r="K5" s="217" t="n"/>
      <c r="L5" s="33" t="n"/>
    </row>
    <row r="6" ht="20.05" customHeight="1" s="215">
      <c r="A6" s="37" t="n"/>
      <c r="B6" s="38" t="n"/>
      <c r="C6" s="91" t="n"/>
      <c r="D6" s="91" t="n"/>
      <c r="E6" s="91" t="n"/>
      <c r="F6" s="91" t="n"/>
      <c r="G6" s="91" t="n"/>
      <c r="H6" s="91" t="n"/>
      <c r="I6" s="91" t="n"/>
      <c r="J6" s="92" t="n"/>
      <c r="K6" s="92" t="n"/>
      <c r="L6" s="76" t="n"/>
    </row>
    <row r="7" ht="20.05" customHeight="1" s="215">
      <c r="A7" s="93" t="inlineStr">
        <is>
          <t>f</t>
        </is>
      </c>
      <c r="B7" s="44" t="inlineStr">
        <is>
          <t>Official fertility rate</t>
        </is>
      </c>
      <c r="C7" s="94" t="n"/>
      <c r="D7" s="224" t="n">
        <v>1.472</v>
      </c>
      <c r="E7" s="94" t="n"/>
      <c r="F7" s="224" t="n">
        <v>1.355</v>
      </c>
      <c r="G7" s="94" t="n"/>
      <c r="H7" s="96" t="n"/>
      <c r="I7" s="97" t="n"/>
      <c r="J7" s="98" t="n"/>
      <c r="K7" s="98" t="n"/>
      <c r="L7" s="76" t="n"/>
    </row>
    <row r="8" ht="20.05" customHeight="1" s="215">
      <c r="A8" s="3" t="n"/>
      <c r="B8" s="34" t="inlineStr">
        <is>
          <t>Population of age 0 (=births)</t>
        </is>
      </c>
      <c r="C8" s="79">
        <f t="array" ref="C8">'population'!C9</f>
        <v/>
      </c>
      <c r="D8" s="79">
        <f t="array" ref="D8">'population'!D9</f>
        <v/>
      </c>
      <c r="E8" s="79">
        <f t="array" ref="E8">'population'!E9</f>
        <v/>
      </c>
      <c r="F8" s="79">
        <f t="array" ref="F8">'population'!F9</f>
        <v/>
      </c>
      <c r="G8" s="79">
        <f t="array" ref="G8">'population'!G9</f>
        <v/>
      </c>
      <c r="H8" s="79">
        <f t="array" ref="H8">'population'!H9</f>
        <v/>
      </c>
      <c r="I8" s="79">
        <f t="array" ref="I8">'population'!I9</f>
        <v/>
      </c>
      <c r="J8" s="79">
        <f t="array" ref="J8">'population'!J9</f>
        <v/>
      </c>
      <c r="K8" s="79">
        <f t="array" ref="K8">'population'!K9</f>
        <v/>
      </c>
      <c r="L8" s="76" t="n"/>
    </row>
    <row r="9" ht="20.05" customHeight="1" s="215">
      <c r="A9" s="3" t="n"/>
      <c r="B9" s="34" t="inlineStr">
        <is>
          <t>Population of women of age 15-49</t>
        </is>
      </c>
      <c r="C9" s="98" t="n"/>
      <c r="D9" s="79">
        <f t="array" ref="D9">SUM('population'!D24:D58)</f>
        <v/>
      </c>
      <c r="E9" s="98" t="n"/>
      <c r="F9" s="79">
        <f t="array" ref="F9">SUM('population'!F24:F58)</f>
        <v/>
      </c>
      <c r="G9" s="98" t="n"/>
      <c r="H9" s="98" t="n"/>
      <c r="I9" s="98" t="n"/>
      <c r="J9" s="92" t="n"/>
      <c r="K9" s="92" t="n"/>
      <c r="L9" s="76" t="n"/>
    </row>
    <row r="10" ht="20.05" customHeight="1" s="215">
      <c r="A10" s="3" t="n"/>
      <c r="B10" s="34" t="inlineStr">
        <is>
          <t>Factor: fertile women x fertility rate</t>
        </is>
      </c>
      <c r="C10" s="79">
        <f t="array" ref="C10">D10+F10</f>
        <v/>
      </c>
      <c r="D10" s="79">
        <f t="array" ref="D10">D9*D7</f>
        <v/>
      </c>
      <c r="E10" s="98" t="n"/>
      <c r="F10" s="79">
        <f t="array" ref="F10">F9*F7</f>
        <v/>
      </c>
      <c r="G10" s="98" t="n"/>
      <c r="H10" s="98" t="n"/>
      <c r="I10" s="98" t="n"/>
      <c r="J10" s="92" t="n"/>
      <c r="K10" s="92" t="n"/>
      <c r="L10" s="76" t="n"/>
    </row>
    <row r="11" ht="20.05" customHeight="1" s="215">
      <c r="A11" s="4" t="inlineStr">
        <is>
          <t>f00</t>
        </is>
      </c>
      <c r="B11" s="34" t="inlineStr">
        <is>
          <t>Calculated births by fertility rate</t>
        </is>
      </c>
      <c r="C11" s="79">
        <f t="array" ref="C11">H11+I11</f>
        <v/>
      </c>
      <c r="D11" s="79">
        <f t="array" ref="D11">(D8+F8)*D10/C10</f>
        <v/>
      </c>
      <c r="E11" s="79">
        <f t="array" ref="E11">(E8+G8)*D10/C10</f>
        <v/>
      </c>
      <c r="F11" s="79">
        <f t="array" ref="F11">(D8+F8)*F10/C10</f>
        <v/>
      </c>
      <c r="G11" s="79">
        <f t="array" ref="G11">(E8+G8)*F10/C10</f>
        <v/>
      </c>
      <c r="H11" s="79">
        <f t="array" ref="H11">E11+D11</f>
        <v/>
      </c>
      <c r="I11" s="79">
        <f t="array" ref="I11">G11+F11</f>
        <v/>
      </c>
      <c r="J11" s="79">
        <f t="array" ref="J11">D11+F11</f>
        <v/>
      </c>
      <c r="K11" s="79">
        <f t="array" ref="K11">E11+G11</f>
        <v/>
      </c>
      <c r="L11" s="76" t="n"/>
    </row>
    <row r="12" ht="20.05" customHeight="1" s="215">
      <c r="A12" s="3" t="n"/>
      <c r="B12" s="28" t="n"/>
      <c r="C12" s="76" t="n"/>
      <c r="D12" s="76" t="n"/>
      <c r="E12" s="76" t="n"/>
      <c r="F12" s="76" t="n"/>
      <c r="G12" s="76" t="n"/>
      <c r="H12" s="76" t="n"/>
      <c r="I12" s="76" t="n"/>
      <c r="J12" s="76" t="n"/>
      <c r="K12" s="76" t="n"/>
      <c r="L12" s="76" t="n"/>
    </row>
    <row r="13" ht="20.05" customHeight="1" s="215">
      <c r="A13" s="4" t="inlineStr">
        <is>
          <t>fs</t>
        </is>
      </c>
      <c r="B13" s="34" t="inlineStr">
        <is>
          <t>Source of the data (verbal)</t>
        </is>
      </c>
      <c r="C13" s="58">
        <f t="array" ref="C13">IF(C14="","?",C14)&amp;IF(C15="","","; downloaded "&amp;C15)&amp;IF(C16="","","; "&amp;C16)</f>
        <v/>
      </c>
      <c r="D13" s="218" t="n"/>
      <c r="E13" s="218" t="n"/>
      <c r="F13" s="218" t="n"/>
      <c r="G13" s="218" t="n"/>
      <c r="H13" s="218" t="n"/>
      <c r="I13" s="218" t="n"/>
      <c r="J13" s="218" t="n"/>
      <c r="K13" s="218" t="n"/>
      <c r="L13" s="17" t="n"/>
    </row>
    <row r="14" ht="20.05" customHeight="1" s="215">
      <c r="A14" s="3" t="n"/>
      <c r="B14" s="34" t="inlineStr">
        <is>
          <t>URLs, where the data was found</t>
        </is>
      </c>
      <c r="C14" s="59" t="inlineStr">
        <is>
          <t>https://opendata.cbs.nl/ODataApi/odata/85730NED/TypedDataSet (Geboorte; vruchtbaarheid, herkomstland en geboorteland moeder)</t>
        </is>
      </c>
      <c r="D14" s="218" t="n"/>
      <c r="E14" s="218" t="n"/>
      <c r="F14" s="218" t="n"/>
      <c r="G14" s="218" t="n"/>
      <c r="H14" s="218" t="n"/>
      <c r="I14" s="218" t="n"/>
      <c r="J14" s="218" t="n"/>
      <c r="K14" s="218" t="n"/>
      <c r="L14" s="17" t="n"/>
    </row>
    <row r="15" ht="20.05" customHeight="1" s="215">
      <c r="A15" s="37" t="n"/>
      <c r="B15" s="47" t="inlineStr">
        <is>
          <t>Date, when the data was downloaded</t>
        </is>
      </c>
      <c r="C15" s="59" t="inlineStr">
        <is>
          <t>2026-05-26</t>
        </is>
      </c>
      <c r="D15" s="218" t="n"/>
      <c r="E15" s="218" t="n"/>
      <c r="F15" s="218" t="n"/>
      <c r="G15" s="218" t="n"/>
      <c r="H15" s="218" t="n"/>
      <c r="I15" s="218" t="n"/>
      <c r="J15" s="218" t="n"/>
      <c r="K15" s="218" t="n"/>
      <c r="L15" s="17" t="n"/>
    </row>
    <row r="16" ht="20.05" customHeight="1" s="215">
      <c r="A16" s="12" t="n"/>
      <c r="B16" s="13" t="inlineStr">
        <is>
          <t>Manual remarks (not for AI!)</t>
        </is>
      </c>
      <c r="C16" s="57" t="n"/>
      <c r="D16" s="218" t="n"/>
      <c r="E16" s="218" t="n"/>
      <c r="F16" s="218" t="n"/>
      <c r="G16" s="218" t="n"/>
      <c r="H16" s="218" t="n"/>
      <c r="I16" s="218" t="n"/>
      <c r="J16" s="218" t="n"/>
      <c r="K16" s="218" t="n"/>
      <c r="L16" s="17" t="n"/>
    </row>
    <row r="17" ht="20.05" customHeight="1" s="215">
      <c r="A17" s="12" t="n"/>
      <c r="B17" s="13" t="inlineStr">
        <is>
          <t>Remarks of the AI (e.g. calculation)</t>
        </is>
      </c>
      <c r="C17" s="57" t="inlineStr">
        <is>
          <t>TFR 2024 direkt aus CBS-Würfel 85730NED (Topic 'GemiddeldKindertalPerVrouw'). Native = HerkomstlandMoeder Nederland: ZGZ = 1.472. Migrant = HerkomstlandMoeder Buiten Nederland: ZGZ = 1.355. Headline-Total = 1.426. **Wichtiger Befund**: Migrant-TFR (1.355) ist NIEDRIGER als Native-TFR (1.472) — entgegen Plan-Erwartung (1,40/1,70). Demografischer Trend in NL: Konvergenz nach unten der Migrant-Fertilität (Inburgering, Bildung, sinkende Familiengrößen v.a. bei 2. Gen, deren Anteil unter Migrant-Müttern wächst). CBS-Nenner = Jahresmittel-Frauenpop pro Mutter-Herkomstland-Klasse, konsistent zur CBS-Berechnung (kein eigener Nenner-Issue analog CH-V1). Methodische Approximation (CLAUDE.md): Migrant-TFR (Mutter-Herkomstland-basiert, inkl. 1./2. Gen Mütter) wird auf gesamte Migrant-Pop (1.+2. Gen) angewandt — konsistent. Im Endbericht als methodische Eigenheit ausweisen.</t>
        </is>
      </c>
      <c r="D17" s="218" t="n"/>
      <c r="E17" s="218" t="n"/>
      <c r="F17" s="218" t="n"/>
      <c r="G17" s="218" t="n"/>
      <c r="H17" s="218" t="n"/>
      <c r="I17" s="218" t="n"/>
      <c r="J17" s="218" t="n"/>
      <c r="K17" s="218" t="n"/>
      <c r="L17" s="17" t="n"/>
    </row>
    <row r="18" ht="20.05" customHeight="1" s="215">
      <c r="A18" s="12" t="n"/>
      <c r="B18" s="13" t="inlineStr">
        <is>
          <t>Internal remarks</t>
        </is>
      </c>
      <c r="C18" s="57" t="n"/>
      <c r="D18" s="218" t="n"/>
      <c r="E18" s="218" t="n"/>
      <c r="F18" s="218" t="n"/>
      <c r="G18" s="218" t="n"/>
      <c r="H18" s="218" t="n"/>
      <c r="I18" s="218" t="n"/>
      <c r="J18" s="218" t="n"/>
      <c r="K18" s="218" t="n"/>
      <c r="L18" s="17" t="n"/>
    </row>
    <row r="19" ht="20.05" customHeight="1" s="215">
      <c r="A19" s="23" t="n"/>
      <c r="B19" s="24" t="n"/>
      <c r="C19" s="17" t="n"/>
      <c r="D19" s="17" t="n"/>
      <c r="E19" s="17" t="n"/>
      <c r="F19" s="17" t="n"/>
      <c r="G19" s="17" t="n"/>
      <c r="H19" s="17" t="n"/>
      <c r="I19" s="17" t="n"/>
      <c r="J19" s="17" t="n"/>
      <c r="K19" s="17" t="n"/>
      <c r="L19" s="17" t="n"/>
    </row>
    <row r="20" ht="26.85" customHeight="1" s="215">
      <c r="A20" s="30" t="n"/>
      <c r="B20" s="31" t="inlineStr">
        <is>
          <t>Births</t>
        </is>
      </c>
      <c r="C20" s="99" t="inlineStr">
        <is>
          <t>The values in this section are used to calculate at which age of the mother the children are born</t>
        </is>
      </c>
      <c r="D20" s="218" t="n"/>
      <c r="E20" s="218" t="n"/>
      <c r="F20" s="218" t="n"/>
      <c r="G20" s="218" t="n"/>
      <c r="H20" s="218" t="n"/>
      <c r="I20" s="218" t="n"/>
      <c r="J20" s="218" t="n"/>
      <c r="K20" s="218" t="n"/>
      <c r="L20" s="33" t="n"/>
    </row>
    <row r="21" ht="20.05" customHeight="1" s="215">
      <c r="A21" s="3" t="n"/>
      <c r="B21" s="28" t="n"/>
      <c r="C21" s="76" t="n"/>
      <c r="D21" s="76" t="n"/>
      <c r="E21" s="76" t="n"/>
      <c r="F21" s="76" t="n"/>
      <c r="G21" s="76" t="n"/>
      <c r="H21" s="76" t="n"/>
      <c r="I21" s="76" t="n"/>
      <c r="J21" s="76" t="n"/>
      <c r="K21" s="76" t="n"/>
      <c r="L21" s="76" t="n"/>
    </row>
    <row r="22" ht="20.05" customHeight="1" s="215">
      <c r="A22" s="4" t="inlineStr">
        <is>
          <t>b15</t>
        </is>
      </c>
      <c r="B22" s="34" t="inlineStr">
        <is>
          <t>15 years and younger age of the mother</t>
        </is>
      </c>
      <c r="C22" s="79">
        <f t="array" ref="C22">D22+E22+F22+G22</f>
        <v/>
      </c>
      <c r="D22" s="79">
        <f t="array" ref="D22">D$11*$H22/$H$57</f>
        <v/>
      </c>
      <c r="E22" s="79">
        <f t="array" ref="E22">E$11*$H22/$H$57</f>
        <v/>
      </c>
      <c r="F22" s="79">
        <f t="array" ref="F22">F$11*$I22/$I$57</f>
        <v/>
      </c>
      <c r="G22" s="79">
        <f t="array" ref="G22">G$11*$I22/$I$57</f>
        <v/>
      </c>
      <c r="H22" s="80">
        <f t="array" ref="H22">H74</f>
        <v/>
      </c>
      <c r="I22" s="80">
        <f t="array" ref="I22">I74</f>
        <v/>
      </c>
      <c r="J22" s="79">
        <f t="array" ref="J22">D22+F22</f>
        <v/>
      </c>
      <c r="K22" s="79">
        <f t="array" ref="K22">E22+G22</f>
        <v/>
      </c>
      <c r="L22" s="81" t="n"/>
    </row>
    <row r="23" ht="20.05" customHeight="1" s="215">
      <c r="A23" s="4" t="inlineStr">
        <is>
          <t>b16</t>
        </is>
      </c>
      <c r="B23" s="34" t="inlineStr">
        <is>
          <t>16 years age of the mother</t>
        </is>
      </c>
      <c r="C23" s="79">
        <f t="array" ref="C23">D23+E23+F23+G23</f>
        <v/>
      </c>
      <c r="D23" s="79">
        <f t="array" ref="D23">D$11*$H23/$H$57</f>
        <v/>
      </c>
      <c r="E23" s="79">
        <f t="array" ref="E23">E$11*$H23/$H$57</f>
        <v/>
      </c>
      <c r="F23" s="79">
        <f t="array" ref="F23">F$11*$I23/$I$57</f>
        <v/>
      </c>
      <c r="G23" s="79">
        <f t="array" ref="G23">G$11*$I23/$I$57</f>
        <v/>
      </c>
      <c r="H23" s="80">
        <f t="array" ref="H23">H75</f>
        <v/>
      </c>
      <c r="I23" s="80">
        <f t="array" ref="I23">I75</f>
        <v/>
      </c>
      <c r="J23" s="79">
        <f t="array" ref="J23">D23+F23</f>
        <v/>
      </c>
      <c r="K23" s="79">
        <f t="array" ref="K23">E23+G23</f>
        <v/>
      </c>
      <c r="L23" s="81" t="n"/>
    </row>
    <row r="24" ht="20.05" customHeight="1" s="215">
      <c r="A24" s="4" t="inlineStr">
        <is>
          <t>b17</t>
        </is>
      </c>
      <c r="B24" s="34" t="inlineStr">
        <is>
          <t>17 years age of the mother</t>
        </is>
      </c>
      <c r="C24" s="79">
        <f t="array" ref="C24">D24+E24+F24+G24</f>
        <v/>
      </c>
      <c r="D24" s="79">
        <f t="array" ref="D24">D$11*$H24/$H$57</f>
        <v/>
      </c>
      <c r="E24" s="79">
        <f t="array" ref="E24">E$11*$H24/$H$57</f>
        <v/>
      </c>
      <c r="F24" s="79">
        <f t="array" ref="F24">F$11*$I24/$I$57</f>
        <v/>
      </c>
      <c r="G24" s="79">
        <f t="array" ref="G24">G$11*$I24/$I$57</f>
        <v/>
      </c>
      <c r="H24" s="80">
        <f t="array" ref="H24">H76</f>
        <v/>
      </c>
      <c r="I24" s="80">
        <f t="array" ref="I24">I76</f>
        <v/>
      </c>
      <c r="J24" s="79">
        <f t="array" ref="J24">D24+F24</f>
        <v/>
      </c>
      <c r="K24" s="79">
        <f t="array" ref="K24">E24+G24</f>
        <v/>
      </c>
      <c r="L24" s="81" t="n"/>
    </row>
    <row r="25" ht="20.05" customHeight="1" s="215">
      <c r="A25" s="4" t="inlineStr">
        <is>
          <t>b18</t>
        </is>
      </c>
      <c r="B25" s="34" t="inlineStr">
        <is>
          <t>18 years age of the mother</t>
        </is>
      </c>
      <c r="C25" s="79">
        <f t="array" ref="C25">D25+E25+F25+G25</f>
        <v/>
      </c>
      <c r="D25" s="79">
        <f t="array" ref="D25">D$11*$H25/$H$57</f>
        <v/>
      </c>
      <c r="E25" s="79">
        <f t="array" ref="E25">E$11*$H25/$H$57</f>
        <v/>
      </c>
      <c r="F25" s="79">
        <f t="array" ref="F25">F$11*$I25/$I$57</f>
        <v/>
      </c>
      <c r="G25" s="79">
        <f t="array" ref="G25">G$11*$I25/$I$57</f>
        <v/>
      </c>
      <c r="H25" s="80">
        <f t="array" ref="H25">H77</f>
        <v/>
      </c>
      <c r="I25" s="80">
        <f t="array" ref="I25">I77</f>
        <v/>
      </c>
      <c r="J25" s="79">
        <f t="array" ref="J25">D25+F25</f>
        <v/>
      </c>
      <c r="K25" s="79">
        <f t="array" ref="K25">E25+G25</f>
        <v/>
      </c>
      <c r="L25" s="81" t="n"/>
    </row>
    <row r="26" ht="20.05" customHeight="1" s="215">
      <c r="A26" s="4" t="inlineStr">
        <is>
          <t>b19</t>
        </is>
      </c>
      <c r="B26" s="34" t="inlineStr">
        <is>
          <t>19 years age of the mother</t>
        </is>
      </c>
      <c r="C26" s="79">
        <f t="array" ref="C26">D26+E26+F26+G26</f>
        <v/>
      </c>
      <c r="D26" s="79">
        <f t="array" ref="D26">D$11*$H26/$H$57</f>
        <v/>
      </c>
      <c r="E26" s="79">
        <f t="array" ref="E26">E$11*$H26/$H$57</f>
        <v/>
      </c>
      <c r="F26" s="79">
        <f t="array" ref="F26">F$11*$I26/$I$57</f>
        <v/>
      </c>
      <c r="G26" s="79">
        <f t="array" ref="G26">G$11*$I26/$I$57</f>
        <v/>
      </c>
      <c r="H26" s="80">
        <f t="array" ref="H26">H78</f>
        <v/>
      </c>
      <c r="I26" s="80">
        <f t="array" ref="I26">I78</f>
        <v/>
      </c>
      <c r="J26" s="79">
        <f t="array" ref="J26">D26+F26</f>
        <v/>
      </c>
      <c r="K26" s="79">
        <f t="array" ref="K26">E26+G26</f>
        <v/>
      </c>
      <c r="L26" s="81" t="n"/>
    </row>
    <row r="27" ht="20.05" customHeight="1" s="215">
      <c r="A27" s="4" t="inlineStr">
        <is>
          <t>b20</t>
        </is>
      </c>
      <c r="B27" s="34" t="inlineStr">
        <is>
          <t>20 years age of the mother</t>
        </is>
      </c>
      <c r="C27" s="79">
        <f t="array" ref="C27">D27+E27+F27+G27</f>
        <v/>
      </c>
      <c r="D27" s="79">
        <f t="array" ref="D27">D$11*$H27/$H$57</f>
        <v/>
      </c>
      <c r="E27" s="79">
        <f t="array" ref="E27">E$11*$H27/$H$57</f>
        <v/>
      </c>
      <c r="F27" s="79">
        <f t="array" ref="F27">F$11*$I27/$I$57</f>
        <v/>
      </c>
      <c r="G27" s="79">
        <f t="array" ref="G27">G$11*$I27/$I$57</f>
        <v/>
      </c>
      <c r="H27" s="80">
        <f t="array" ref="H27">H79</f>
        <v/>
      </c>
      <c r="I27" s="80">
        <f t="array" ref="I27">I79</f>
        <v/>
      </c>
      <c r="J27" s="79">
        <f t="array" ref="J27">D27+F27</f>
        <v/>
      </c>
      <c r="K27" s="79">
        <f t="array" ref="K27">E27+G27</f>
        <v/>
      </c>
      <c r="L27" s="81" t="n"/>
    </row>
    <row r="28" ht="20.05" customHeight="1" s="215">
      <c r="A28" s="4" t="inlineStr">
        <is>
          <t>b21</t>
        </is>
      </c>
      <c r="B28" s="34" t="inlineStr">
        <is>
          <t>21 years age of the mother</t>
        </is>
      </c>
      <c r="C28" s="79">
        <f t="array" ref="C28">D28+E28+F28+G28</f>
        <v/>
      </c>
      <c r="D28" s="79">
        <f t="array" ref="D28">D$11*$H28/$H$57</f>
        <v/>
      </c>
      <c r="E28" s="79">
        <f t="array" ref="E28">E$11*$H28/$H$57</f>
        <v/>
      </c>
      <c r="F28" s="79">
        <f t="array" ref="F28">F$11*$I28/$I$57</f>
        <v/>
      </c>
      <c r="G28" s="79">
        <f t="array" ref="G28">G$11*$I28/$I$57</f>
        <v/>
      </c>
      <c r="H28" s="80">
        <f t="array" ref="H28">H80</f>
        <v/>
      </c>
      <c r="I28" s="80">
        <f t="array" ref="I28">I80</f>
        <v/>
      </c>
      <c r="J28" s="79">
        <f t="array" ref="J28">D28+F28</f>
        <v/>
      </c>
      <c r="K28" s="79">
        <f t="array" ref="K28">E28+G28</f>
        <v/>
      </c>
      <c r="L28" s="81" t="n"/>
    </row>
    <row r="29" ht="20.05" customHeight="1" s="215">
      <c r="A29" s="4" t="inlineStr">
        <is>
          <t>b22</t>
        </is>
      </c>
      <c r="B29" s="34" t="inlineStr">
        <is>
          <t>22 years age of the mother</t>
        </is>
      </c>
      <c r="C29" s="79">
        <f t="array" ref="C29">D29+E29+F29+G29</f>
        <v/>
      </c>
      <c r="D29" s="79">
        <f t="array" ref="D29">D$11*$H29/$H$57</f>
        <v/>
      </c>
      <c r="E29" s="79">
        <f t="array" ref="E29">E$11*$H29/$H$57</f>
        <v/>
      </c>
      <c r="F29" s="79">
        <f t="array" ref="F29">F$11*$I29/$I$57</f>
        <v/>
      </c>
      <c r="G29" s="79">
        <f t="array" ref="G29">G$11*$I29/$I$57</f>
        <v/>
      </c>
      <c r="H29" s="80">
        <f t="array" ref="H29">H81</f>
        <v/>
      </c>
      <c r="I29" s="80">
        <f t="array" ref="I29">I81</f>
        <v/>
      </c>
      <c r="J29" s="79">
        <f t="array" ref="J29">D29+F29</f>
        <v/>
      </c>
      <c r="K29" s="79">
        <f t="array" ref="K29">E29+G29</f>
        <v/>
      </c>
      <c r="L29" s="81" t="n"/>
    </row>
    <row r="30" ht="20.05" customHeight="1" s="215">
      <c r="A30" s="4" t="inlineStr">
        <is>
          <t>b23</t>
        </is>
      </c>
      <c r="B30" s="34" t="inlineStr">
        <is>
          <t>23 years age of the mother</t>
        </is>
      </c>
      <c r="C30" s="79">
        <f t="array" ref="C30">D30+E30+F30+G30</f>
        <v/>
      </c>
      <c r="D30" s="79">
        <f t="array" ref="D30">D$11*$H30/$H$57</f>
        <v/>
      </c>
      <c r="E30" s="79">
        <f t="array" ref="E30">E$11*$H30/$H$57</f>
        <v/>
      </c>
      <c r="F30" s="79">
        <f t="array" ref="F30">F$11*$I30/$I$57</f>
        <v/>
      </c>
      <c r="G30" s="79">
        <f t="array" ref="G30">G$11*$I30/$I$57</f>
        <v/>
      </c>
      <c r="H30" s="80">
        <f t="array" ref="H30">H82</f>
        <v/>
      </c>
      <c r="I30" s="80">
        <f t="array" ref="I30">I82</f>
        <v/>
      </c>
      <c r="J30" s="79">
        <f t="array" ref="J30">D30+F30</f>
        <v/>
      </c>
      <c r="K30" s="79">
        <f t="array" ref="K30">E30+G30</f>
        <v/>
      </c>
      <c r="L30" s="81" t="n"/>
    </row>
    <row r="31" ht="20.05" customHeight="1" s="215">
      <c r="A31" s="4" t="inlineStr">
        <is>
          <t>b24</t>
        </is>
      </c>
      <c r="B31" s="34" t="inlineStr">
        <is>
          <t>24 years age of the mother</t>
        </is>
      </c>
      <c r="C31" s="79">
        <f t="array" ref="C31">D31+E31+F31+G31</f>
        <v/>
      </c>
      <c r="D31" s="79">
        <f t="array" ref="D31">D$11*$H31/$H$57</f>
        <v/>
      </c>
      <c r="E31" s="79">
        <f t="array" ref="E31">E$11*$H31/$H$57</f>
        <v/>
      </c>
      <c r="F31" s="79">
        <f t="array" ref="F31">F$11*$I31/$I$57</f>
        <v/>
      </c>
      <c r="G31" s="79">
        <f t="array" ref="G31">G$11*$I31/$I$57</f>
        <v/>
      </c>
      <c r="H31" s="80">
        <f t="array" ref="H31">H83</f>
        <v/>
      </c>
      <c r="I31" s="80">
        <f t="array" ref="I31">I83</f>
        <v/>
      </c>
      <c r="J31" s="79">
        <f t="array" ref="J31">D31+F31</f>
        <v/>
      </c>
      <c r="K31" s="79">
        <f t="array" ref="K31">E31+G31</f>
        <v/>
      </c>
      <c r="L31" s="81" t="n"/>
    </row>
    <row r="32" ht="20.05" customHeight="1" s="215">
      <c r="A32" s="4" t="inlineStr">
        <is>
          <t>b25</t>
        </is>
      </c>
      <c r="B32" s="34" t="inlineStr">
        <is>
          <t>25 years age of the mother</t>
        </is>
      </c>
      <c r="C32" s="79">
        <f t="array" ref="C32">D32+E32+F32+G32</f>
        <v/>
      </c>
      <c r="D32" s="79">
        <f t="array" ref="D32">D$11*$H32/$H$57</f>
        <v/>
      </c>
      <c r="E32" s="79">
        <f t="array" ref="E32">E$11*$H32/$H$57</f>
        <v/>
      </c>
      <c r="F32" s="79">
        <f t="array" ref="F32">F$11*$I32/$I$57</f>
        <v/>
      </c>
      <c r="G32" s="79">
        <f t="array" ref="G32">G$11*$I32/$I$57</f>
        <v/>
      </c>
      <c r="H32" s="80">
        <f t="array" ref="H32">H84</f>
        <v/>
      </c>
      <c r="I32" s="80">
        <f t="array" ref="I32">I84</f>
        <v/>
      </c>
      <c r="J32" s="79">
        <f t="array" ref="J32">D32+F32</f>
        <v/>
      </c>
      <c r="K32" s="79">
        <f t="array" ref="K32">E32+G32</f>
        <v/>
      </c>
      <c r="L32" s="81" t="n"/>
    </row>
    <row r="33" ht="20.05" customHeight="1" s="215">
      <c r="A33" s="4" t="inlineStr">
        <is>
          <t>b26</t>
        </is>
      </c>
      <c r="B33" s="34" t="inlineStr">
        <is>
          <t>26 years age of the mother</t>
        </is>
      </c>
      <c r="C33" s="79">
        <f t="array" ref="C33">D33+E33+F33+G33</f>
        <v/>
      </c>
      <c r="D33" s="79">
        <f t="array" ref="D33">D$11*$H33/$H$57</f>
        <v/>
      </c>
      <c r="E33" s="79">
        <f t="array" ref="E33">E$11*$H33/$H$57</f>
        <v/>
      </c>
      <c r="F33" s="79">
        <f t="array" ref="F33">F$11*$I33/$I$57</f>
        <v/>
      </c>
      <c r="G33" s="79">
        <f t="array" ref="G33">G$11*$I33/$I$57</f>
        <v/>
      </c>
      <c r="H33" s="80">
        <f t="array" ref="H33">H85</f>
        <v/>
      </c>
      <c r="I33" s="80">
        <f t="array" ref="I33">I85</f>
        <v/>
      </c>
      <c r="J33" s="79">
        <f t="array" ref="J33">D33+F33</f>
        <v/>
      </c>
      <c r="K33" s="79">
        <f t="array" ref="K33">E33+G33</f>
        <v/>
      </c>
      <c r="L33" s="81" t="n"/>
    </row>
    <row r="34" ht="20.05" customHeight="1" s="215">
      <c r="A34" s="4" t="inlineStr">
        <is>
          <t>b27</t>
        </is>
      </c>
      <c r="B34" s="34" t="inlineStr">
        <is>
          <t>27 years age of the mother</t>
        </is>
      </c>
      <c r="C34" s="79">
        <f t="array" ref="C34">D34+E34+F34+G34</f>
        <v/>
      </c>
      <c r="D34" s="79">
        <f t="array" ref="D34">D$11*$H34/$H$57</f>
        <v/>
      </c>
      <c r="E34" s="79">
        <f t="array" ref="E34">E$11*$H34/$H$57</f>
        <v/>
      </c>
      <c r="F34" s="79">
        <f t="array" ref="F34">F$11*$I34/$I$57</f>
        <v/>
      </c>
      <c r="G34" s="79">
        <f t="array" ref="G34">G$11*$I34/$I$57</f>
        <v/>
      </c>
      <c r="H34" s="80">
        <f t="array" ref="H34">H86</f>
        <v/>
      </c>
      <c r="I34" s="80">
        <f t="array" ref="I34">I86</f>
        <v/>
      </c>
      <c r="J34" s="79">
        <f t="array" ref="J34">D34+F34</f>
        <v/>
      </c>
      <c r="K34" s="79">
        <f t="array" ref="K34">E34+G34</f>
        <v/>
      </c>
      <c r="L34" s="81" t="n"/>
    </row>
    <row r="35" ht="20.05" customHeight="1" s="215">
      <c r="A35" s="4" t="inlineStr">
        <is>
          <t>b28</t>
        </is>
      </c>
      <c r="B35" s="34" t="inlineStr">
        <is>
          <t>28 years age of the mother</t>
        </is>
      </c>
      <c r="C35" s="79">
        <f t="array" ref="C35">D35+E35+F35+G35</f>
        <v/>
      </c>
      <c r="D35" s="79">
        <f t="array" ref="D35">D$11*$H35/$H$57</f>
        <v/>
      </c>
      <c r="E35" s="79">
        <f t="array" ref="E35">E$11*$H35/$H$57</f>
        <v/>
      </c>
      <c r="F35" s="79">
        <f t="array" ref="F35">F$11*$I35/$I$57</f>
        <v/>
      </c>
      <c r="G35" s="79">
        <f t="array" ref="G35">G$11*$I35/$I$57</f>
        <v/>
      </c>
      <c r="H35" s="80">
        <f t="array" ref="H35">H87</f>
        <v/>
      </c>
      <c r="I35" s="80">
        <f t="array" ref="I35">I87</f>
        <v/>
      </c>
      <c r="J35" s="79">
        <f t="array" ref="J35">D35+F35</f>
        <v/>
      </c>
      <c r="K35" s="79">
        <f t="array" ref="K35">E35+G35</f>
        <v/>
      </c>
      <c r="L35" s="81" t="n"/>
    </row>
    <row r="36" ht="20.05" customHeight="1" s="215">
      <c r="A36" s="4" t="inlineStr">
        <is>
          <t>b29</t>
        </is>
      </c>
      <c r="B36" s="34" t="inlineStr">
        <is>
          <t>29 years age of the mother</t>
        </is>
      </c>
      <c r="C36" s="79">
        <f t="array" ref="C36">D36+E36+F36+G36</f>
        <v/>
      </c>
      <c r="D36" s="79">
        <f t="array" ref="D36">D$11*$H36/$H$57</f>
        <v/>
      </c>
      <c r="E36" s="79">
        <f t="array" ref="E36">E$11*$H36/$H$57</f>
        <v/>
      </c>
      <c r="F36" s="79">
        <f t="array" ref="F36">F$11*$I36/$I$57</f>
        <v/>
      </c>
      <c r="G36" s="79">
        <f t="array" ref="G36">G$11*$I36/$I$57</f>
        <v/>
      </c>
      <c r="H36" s="80">
        <f t="array" ref="H36">H88</f>
        <v/>
      </c>
      <c r="I36" s="80">
        <f t="array" ref="I36">I88</f>
        <v/>
      </c>
      <c r="J36" s="79">
        <f t="array" ref="J36">D36+F36</f>
        <v/>
      </c>
      <c r="K36" s="79">
        <f t="array" ref="K36">E36+G36</f>
        <v/>
      </c>
      <c r="L36" s="81" t="n"/>
    </row>
    <row r="37" ht="20.05" customHeight="1" s="215">
      <c r="A37" s="4" t="inlineStr">
        <is>
          <t>b30</t>
        </is>
      </c>
      <c r="B37" s="34" t="inlineStr">
        <is>
          <t>30 years age of the mother</t>
        </is>
      </c>
      <c r="C37" s="79">
        <f t="array" ref="C37">D37+E37+F37+G37</f>
        <v/>
      </c>
      <c r="D37" s="79">
        <f t="array" ref="D37">D$11*$H37/$H$57</f>
        <v/>
      </c>
      <c r="E37" s="79">
        <f t="array" ref="E37">E$11*$H37/$H$57</f>
        <v/>
      </c>
      <c r="F37" s="79">
        <f t="array" ref="F37">F$11*$I37/$I$57</f>
        <v/>
      </c>
      <c r="G37" s="79">
        <f t="array" ref="G37">G$11*$I37/$I$57</f>
        <v/>
      </c>
      <c r="H37" s="80">
        <f t="array" ref="H37">H89</f>
        <v/>
      </c>
      <c r="I37" s="80">
        <f t="array" ref="I37">I89</f>
        <v/>
      </c>
      <c r="J37" s="79">
        <f t="array" ref="J37">D37+F37</f>
        <v/>
      </c>
      <c r="K37" s="79">
        <f t="array" ref="K37">E37+G37</f>
        <v/>
      </c>
      <c r="L37" s="81" t="n"/>
    </row>
    <row r="38" ht="20.05" customHeight="1" s="215">
      <c r="A38" s="4" t="inlineStr">
        <is>
          <t>b31</t>
        </is>
      </c>
      <c r="B38" s="34" t="inlineStr">
        <is>
          <t>31 years age of the mother</t>
        </is>
      </c>
      <c r="C38" s="79">
        <f t="array" ref="C38">D38+E38+F38+G38</f>
        <v/>
      </c>
      <c r="D38" s="79">
        <f t="array" ref="D38">D$11*$H38/$H$57</f>
        <v/>
      </c>
      <c r="E38" s="79">
        <f t="array" ref="E38">E$11*$H38/$H$57</f>
        <v/>
      </c>
      <c r="F38" s="79">
        <f t="array" ref="F38">F$11*$I38/$I$57</f>
        <v/>
      </c>
      <c r="G38" s="79">
        <f t="array" ref="G38">G$11*$I38/$I$57</f>
        <v/>
      </c>
      <c r="H38" s="80">
        <f t="array" ref="H38">H90</f>
        <v/>
      </c>
      <c r="I38" s="80">
        <f t="array" ref="I38">I90</f>
        <v/>
      </c>
      <c r="J38" s="79">
        <f t="array" ref="J38">D38+F38</f>
        <v/>
      </c>
      <c r="K38" s="79">
        <f t="array" ref="K38">E38+G38</f>
        <v/>
      </c>
      <c r="L38" s="81" t="n"/>
    </row>
    <row r="39" ht="20.05" customHeight="1" s="215">
      <c r="A39" s="4" t="inlineStr">
        <is>
          <t>b32</t>
        </is>
      </c>
      <c r="B39" s="34" t="inlineStr">
        <is>
          <t>32 years age of the mother</t>
        </is>
      </c>
      <c r="C39" s="79">
        <f t="array" ref="C39">D39+E39+F39+G39</f>
        <v/>
      </c>
      <c r="D39" s="79">
        <f t="array" ref="D39">D$11*$H39/$H$57</f>
        <v/>
      </c>
      <c r="E39" s="79">
        <f t="array" ref="E39">E$11*$H39/$H$57</f>
        <v/>
      </c>
      <c r="F39" s="79">
        <f t="array" ref="F39">F$11*$I39/$I$57</f>
        <v/>
      </c>
      <c r="G39" s="79">
        <f t="array" ref="G39">G$11*$I39/$I$57</f>
        <v/>
      </c>
      <c r="H39" s="80">
        <f t="array" ref="H39">H91</f>
        <v/>
      </c>
      <c r="I39" s="80">
        <f t="array" ref="I39">I91</f>
        <v/>
      </c>
      <c r="J39" s="79">
        <f t="array" ref="J39">D39+F39</f>
        <v/>
      </c>
      <c r="K39" s="79">
        <f t="array" ref="K39">E39+G39</f>
        <v/>
      </c>
      <c r="L39" s="81" t="n"/>
    </row>
    <row r="40" ht="20.05" customHeight="1" s="215">
      <c r="A40" s="4" t="inlineStr">
        <is>
          <t>b33</t>
        </is>
      </c>
      <c r="B40" s="34" t="inlineStr">
        <is>
          <t>33 years age of the mother</t>
        </is>
      </c>
      <c r="C40" s="79">
        <f t="array" ref="C40">D40+E40+F40+G40</f>
        <v/>
      </c>
      <c r="D40" s="79">
        <f t="array" ref="D40">D$11*$H40/$H$57</f>
        <v/>
      </c>
      <c r="E40" s="79">
        <f t="array" ref="E40">E$11*$H40/$H$57</f>
        <v/>
      </c>
      <c r="F40" s="79">
        <f t="array" ref="F40">F$11*$I40/$I$57</f>
        <v/>
      </c>
      <c r="G40" s="79">
        <f t="array" ref="G40">G$11*$I40/$I$57</f>
        <v/>
      </c>
      <c r="H40" s="80">
        <f t="array" ref="H40">H92</f>
        <v/>
      </c>
      <c r="I40" s="80">
        <f t="array" ref="I40">I92</f>
        <v/>
      </c>
      <c r="J40" s="79">
        <f t="array" ref="J40">D40+F40</f>
        <v/>
      </c>
      <c r="K40" s="79">
        <f t="array" ref="K40">E40+G40</f>
        <v/>
      </c>
      <c r="L40" s="81" t="n"/>
    </row>
    <row r="41" ht="20.05" customHeight="1" s="215">
      <c r="A41" s="4" t="inlineStr">
        <is>
          <t>b34</t>
        </is>
      </c>
      <c r="B41" s="34" t="inlineStr">
        <is>
          <t>34 years age of the mother</t>
        </is>
      </c>
      <c r="C41" s="79">
        <f t="array" ref="C41">D41+E41+F41+G41</f>
        <v/>
      </c>
      <c r="D41" s="79">
        <f t="array" ref="D41">D$11*$H41/$H$57</f>
        <v/>
      </c>
      <c r="E41" s="79">
        <f t="array" ref="E41">E$11*$H41/$H$57</f>
        <v/>
      </c>
      <c r="F41" s="79">
        <f t="array" ref="F41">F$11*$I41/$I$57</f>
        <v/>
      </c>
      <c r="G41" s="79">
        <f t="array" ref="G41">G$11*$I41/$I$57</f>
        <v/>
      </c>
      <c r="H41" s="80">
        <f t="array" ref="H41">H93</f>
        <v/>
      </c>
      <c r="I41" s="80">
        <f t="array" ref="I41">I93</f>
        <v/>
      </c>
      <c r="J41" s="79">
        <f t="array" ref="J41">D41+F41</f>
        <v/>
      </c>
      <c r="K41" s="79">
        <f t="array" ref="K41">E41+G41</f>
        <v/>
      </c>
      <c r="L41" s="81" t="n"/>
    </row>
    <row r="42" ht="20.05" customHeight="1" s="215">
      <c r="A42" s="4" t="inlineStr">
        <is>
          <t>b35</t>
        </is>
      </c>
      <c r="B42" s="34" t="inlineStr">
        <is>
          <t>35 years age of the mother</t>
        </is>
      </c>
      <c r="C42" s="79">
        <f t="array" ref="C42">D42+E42+F42+G42</f>
        <v/>
      </c>
      <c r="D42" s="79">
        <f t="array" ref="D42">D$11*$H42/$H$57</f>
        <v/>
      </c>
      <c r="E42" s="79">
        <f t="array" ref="E42">E$11*$H42/$H$57</f>
        <v/>
      </c>
      <c r="F42" s="79">
        <f t="array" ref="F42">F$11*$I42/$I$57</f>
        <v/>
      </c>
      <c r="G42" s="79">
        <f t="array" ref="G42">G$11*$I42/$I$57</f>
        <v/>
      </c>
      <c r="H42" s="80">
        <f t="array" ref="H42">H94</f>
        <v/>
      </c>
      <c r="I42" s="80">
        <f t="array" ref="I42">I94</f>
        <v/>
      </c>
      <c r="J42" s="79">
        <f t="array" ref="J42">D42+F42</f>
        <v/>
      </c>
      <c r="K42" s="79">
        <f t="array" ref="K42">E42+G42</f>
        <v/>
      </c>
      <c r="L42" s="81" t="n"/>
    </row>
    <row r="43" ht="20.05" customHeight="1" s="215">
      <c r="A43" s="4" t="inlineStr">
        <is>
          <t>b36</t>
        </is>
      </c>
      <c r="B43" s="34" t="inlineStr">
        <is>
          <t>36 years age of the mother</t>
        </is>
      </c>
      <c r="C43" s="79">
        <f t="array" ref="C43">D43+E43+F43+G43</f>
        <v/>
      </c>
      <c r="D43" s="79">
        <f t="array" ref="D43">D$11*$H43/$H$57</f>
        <v/>
      </c>
      <c r="E43" s="79">
        <f t="array" ref="E43">E$11*$H43/$H$57</f>
        <v/>
      </c>
      <c r="F43" s="79">
        <f t="array" ref="F43">F$11*$I43/$I$57</f>
        <v/>
      </c>
      <c r="G43" s="79">
        <f t="array" ref="G43">G$11*$I43/$I$57</f>
        <v/>
      </c>
      <c r="H43" s="80">
        <f t="array" ref="H43">H95</f>
        <v/>
      </c>
      <c r="I43" s="80">
        <f t="array" ref="I43">I95</f>
        <v/>
      </c>
      <c r="J43" s="79">
        <f t="array" ref="J43">D43+F43</f>
        <v/>
      </c>
      <c r="K43" s="79">
        <f t="array" ref="K43">E43+G43</f>
        <v/>
      </c>
      <c r="L43" s="81" t="n"/>
    </row>
    <row r="44" ht="20.05" customHeight="1" s="215">
      <c r="A44" s="4" t="inlineStr">
        <is>
          <t>b37</t>
        </is>
      </c>
      <c r="B44" s="34" t="inlineStr">
        <is>
          <t>37 years age of the mother</t>
        </is>
      </c>
      <c r="C44" s="79">
        <f t="array" ref="C44">D44+E44+F44+G44</f>
        <v/>
      </c>
      <c r="D44" s="79">
        <f t="array" ref="D44">D$11*$H44/$H$57</f>
        <v/>
      </c>
      <c r="E44" s="79">
        <f t="array" ref="E44">E$11*$H44/$H$57</f>
        <v/>
      </c>
      <c r="F44" s="79">
        <f t="array" ref="F44">F$11*$I44/$I$57</f>
        <v/>
      </c>
      <c r="G44" s="79">
        <f t="array" ref="G44">G$11*$I44/$I$57</f>
        <v/>
      </c>
      <c r="H44" s="80">
        <f t="array" ref="H44">H96</f>
        <v/>
      </c>
      <c r="I44" s="80">
        <f t="array" ref="I44">I96</f>
        <v/>
      </c>
      <c r="J44" s="79">
        <f t="array" ref="J44">D44+F44</f>
        <v/>
      </c>
      <c r="K44" s="79">
        <f t="array" ref="K44">E44+G44</f>
        <v/>
      </c>
      <c r="L44" s="81" t="n"/>
    </row>
    <row r="45" ht="20.05" customHeight="1" s="215">
      <c r="A45" s="4" t="inlineStr">
        <is>
          <t>b38</t>
        </is>
      </c>
      <c r="B45" s="34" t="inlineStr">
        <is>
          <t>38 years age of the mother</t>
        </is>
      </c>
      <c r="C45" s="79">
        <f t="array" ref="C45">D45+E45+F45+G45</f>
        <v/>
      </c>
      <c r="D45" s="79">
        <f t="array" ref="D45">D$11*$H45/$H$57</f>
        <v/>
      </c>
      <c r="E45" s="79">
        <f t="array" ref="E45">E$11*$H45/$H$57</f>
        <v/>
      </c>
      <c r="F45" s="79">
        <f t="array" ref="F45">F$11*$I45/$I$57</f>
        <v/>
      </c>
      <c r="G45" s="79">
        <f t="array" ref="G45">G$11*$I45/$I$57</f>
        <v/>
      </c>
      <c r="H45" s="80">
        <f t="array" ref="H45">H97</f>
        <v/>
      </c>
      <c r="I45" s="80">
        <f t="array" ref="I45">I97</f>
        <v/>
      </c>
      <c r="J45" s="79">
        <f t="array" ref="J45">D45+F45</f>
        <v/>
      </c>
      <c r="K45" s="79">
        <f t="array" ref="K45">E45+G45</f>
        <v/>
      </c>
      <c r="L45" s="81" t="n"/>
    </row>
    <row r="46" ht="20.05" customHeight="1" s="215">
      <c r="A46" s="4" t="inlineStr">
        <is>
          <t>b39</t>
        </is>
      </c>
      <c r="B46" s="34" t="inlineStr">
        <is>
          <t>39 years age of the mother</t>
        </is>
      </c>
      <c r="C46" s="79">
        <f t="array" ref="C46">D46+E46+F46+G46</f>
        <v/>
      </c>
      <c r="D46" s="79">
        <f t="array" ref="D46">D$11*$H46/$H$57</f>
        <v/>
      </c>
      <c r="E46" s="79">
        <f t="array" ref="E46">E$11*$H46/$H$57</f>
        <v/>
      </c>
      <c r="F46" s="79">
        <f t="array" ref="F46">F$11*$I46/$I$57</f>
        <v/>
      </c>
      <c r="G46" s="79">
        <f t="array" ref="G46">G$11*$I46/$I$57</f>
        <v/>
      </c>
      <c r="H46" s="80">
        <f t="array" ref="H46">H98</f>
        <v/>
      </c>
      <c r="I46" s="80">
        <f t="array" ref="I46">I98</f>
        <v/>
      </c>
      <c r="J46" s="79">
        <f t="array" ref="J46">D46+F46</f>
        <v/>
      </c>
      <c r="K46" s="79">
        <f t="array" ref="K46">E46+G46</f>
        <v/>
      </c>
      <c r="L46" s="81" t="n"/>
    </row>
    <row r="47" ht="20.05" customHeight="1" s="215">
      <c r="A47" s="4" t="inlineStr">
        <is>
          <t>b40</t>
        </is>
      </c>
      <c r="B47" s="34" t="inlineStr">
        <is>
          <t>40 years age of the mother</t>
        </is>
      </c>
      <c r="C47" s="79">
        <f t="array" ref="C47">D47+E47+F47+G47</f>
        <v/>
      </c>
      <c r="D47" s="79">
        <f t="array" ref="D47">D$11*$H47/$H$57</f>
        <v/>
      </c>
      <c r="E47" s="79">
        <f t="array" ref="E47">E$11*$H47/$H$57</f>
        <v/>
      </c>
      <c r="F47" s="79">
        <f t="array" ref="F47">F$11*$I47/$I$57</f>
        <v/>
      </c>
      <c r="G47" s="79">
        <f t="array" ref="G47">G$11*$I47/$I$57</f>
        <v/>
      </c>
      <c r="H47" s="80">
        <f t="array" ref="H47">H99</f>
        <v/>
      </c>
      <c r="I47" s="80">
        <f t="array" ref="I47">I99</f>
        <v/>
      </c>
      <c r="J47" s="79">
        <f t="array" ref="J47">D47+F47</f>
        <v/>
      </c>
      <c r="K47" s="79">
        <f t="array" ref="K47">E47+G47</f>
        <v/>
      </c>
      <c r="L47" s="81" t="n"/>
    </row>
    <row r="48" ht="20.05" customHeight="1" s="215">
      <c r="A48" s="4" t="inlineStr">
        <is>
          <t>b41</t>
        </is>
      </c>
      <c r="B48" s="34" t="inlineStr">
        <is>
          <t>41 years age of the mother</t>
        </is>
      </c>
      <c r="C48" s="79">
        <f t="array" ref="C48">D48+E48+F48+G48</f>
        <v/>
      </c>
      <c r="D48" s="79">
        <f t="array" ref="D48">D$11*$H48/$H$57</f>
        <v/>
      </c>
      <c r="E48" s="79">
        <f t="array" ref="E48">E$11*$H48/$H$57</f>
        <v/>
      </c>
      <c r="F48" s="79">
        <f t="array" ref="F48">F$11*$I48/$I$57</f>
        <v/>
      </c>
      <c r="G48" s="79">
        <f t="array" ref="G48">G$11*$I48/$I$57</f>
        <v/>
      </c>
      <c r="H48" s="80">
        <f t="array" ref="H48">H100</f>
        <v/>
      </c>
      <c r="I48" s="80">
        <f t="array" ref="I48">I100</f>
        <v/>
      </c>
      <c r="J48" s="79">
        <f t="array" ref="J48">D48+F48</f>
        <v/>
      </c>
      <c r="K48" s="79">
        <f t="array" ref="K48">E48+G48</f>
        <v/>
      </c>
      <c r="L48" s="81" t="n"/>
    </row>
    <row r="49" ht="20.05" customHeight="1" s="215">
      <c r="A49" s="4" t="inlineStr">
        <is>
          <t>b42</t>
        </is>
      </c>
      <c r="B49" s="34" t="inlineStr">
        <is>
          <t>42 years age of the mother</t>
        </is>
      </c>
      <c r="C49" s="79">
        <f t="array" ref="C49">D49+E49+F49+G49</f>
        <v/>
      </c>
      <c r="D49" s="79">
        <f t="array" ref="D49">D$11*$H49/$H$57</f>
        <v/>
      </c>
      <c r="E49" s="79">
        <f t="array" ref="E49">E$11*$H49/$H$57</f>
        <v/>
      </c>
      <c r="F49" s="79">
        <f t="array" ref="F49">F$11*$I49/$I$57</f>
        <v/>
      </c>
      <c r="G49" s="79">
        <f t="array" ref="G49">G$11*$I49/$I$57</f>
        <v/>
      </c>
      <c r="H49" s="80">
        <f t="array" ref="H49">H101</f>
        <v/>
      </c>
      <c r="I49" s="80">
        <f t="array" ref="I49">I101</f>
        <v/>
      </c>
      <c r="J49" s="79">
        <f t="array" ref="J49">D49+F49</f>
        <v/>
      </c>
      <c r="K49" s="79">
        <f t="array" ref="K49">E49+G49</f>
        <v/>
      </c>
      <c r="L49" s="81" t="n"/>
    </row>
    <row r="50" ht="20.05" customHeight="1" s="215">
      <c r="A50" s="4" t="inlineStr">
        <is>
          <t>b43</t>
        </is>
      </c>
      <c r="B50" s="34" t="inlineStr">
        <is>
          <t>43 years age of the mother</t>
        </is>
      </c>
      <c r="C50" s="79">
        <f t="array" ref="C50">D50+E50+F50+G50</f>
        <v/>
      </c>
      <c r="D50" s="79">
        <f t="array" ref="D50">D$11*$H50/$H$57</f>
        <v/>
      </c>
      <c r="E50" s="79">
        <f t="array" ref="E50">E$11*$H50/$H$57</f>
        <v/>
      </c>
      <c r="F50" s="79">
        <f t="array" ref="F50">F$11*$I50/$I$57</f>
        <v/>
      </c>
      <c r="G50" s="79">
        <f t="array" ref="G50">G$11*$I50/$I$57</f>
        <v/>
      </c>
      <c r="H50" s="80">
        <f t="array" ref="H50">H102</f>
        <v/>
      </c>
      <c r="I50" s="80">
        <f t="array" ref="I50">I102</f>
        <v/>
      </c>
      <c r="J50" s="79">
        <f t="array" ref="J50">D50+F50</f>
        <v/>
      </c>
      <c r="K50" s="79">
        <f t="array" ref="K50">E50+G50</f>
        <v/>
      </c>
      <c r="L50" s="81" t="n"/>
    </row>
    <row r="51" ht="20.05" customHeight="1" s="215">
      <c r="A51" s="4" t="inlineStr">
        <is>
          <t>b44</t>
        </is>
      </c>
      <c r="B51" s="34" t="inlineStr">
        <is>
          <t>44 years age of the mother</t>
        </is>
      </c>
      <c r="C51" s="79">
        <f t="array" ref="C51">D51+E51+F51+G51</f>
        <v/>
      </c>
      <c r="D51" s="79">
        <f t="array" ref="D51">D$11*$H51/$H$57</f>
        <v/>
      </c>
      <c r="E51" s="79">
        <f t="array" ref="E51">E$11*$H51/$H$57</f>
        <v/>
      </c>
      <c r="F51" s="79">
        <f t="array" ref="F51">F$11*$I51/$I$57</f>
        <v/>
      </c>
      <c r="G51" s="79">
        <f t="array" ref="G51">G$11*$I51/$I$57</f>
        <v/>
      </c>
      <c r="H51" s="80">
        <f t="array" ref="H51">H103</f>
        <v/>
      </c>
      <c r="I51" s="80">
        <f t="array" ref="I51">I103</f>
        <v/>
      </c>
      <c r="J51" s="79">
        <f t="array" ref="J51">D51+F51</f>
        <v/>
      </c>
      <c r="K51" s="79">
        <f t="array" ref="K51">E51+G51</f>
        <v/>
      </c>
      <c r="L51" s="81" t="n"/>
    </row>
    <row r="52" ht="20.05" customHeight="1" s="215">
      <c r="A52" s="4" t="inlineStr">
        <is>
          <t>b45</t>
        </is>
      </c>
      <c r="B52" s="34" t="inlineStr">
        <is>
          <t>45 years age of the mother</t>
        </is>
      </c>
      <c r="C52" s="79">
        <f t="array" ref="C52">D52+E52+F52+G52</f>
        <v/>
      </c>
      <c r="D52" s="79">
        <f t="array" ref="D52">D$11*$H52/$H$57</f>
        <v/>
      </c>
      <c r="E52" s="79">
        <f t="array" ref="E52">E$11*$H52/$H$57</f>
        <v/>
      </c>
      <c r="F52" s="79">
        <f t="array" ref="F52">F$11*$I52/$I$57</f>
        <v/>
      </c>
      <c r="G52" s="79">
        <f t="array" ref="G52">G$11*$I52/$I$57</f>
        <v/>
      </c>
      <c r="H52" s="80">
        <f t="array" ref="H52">H104</f>
        <v/>
      </c>
      <c r="I52" s="80">
        <f t="array" ref="I52">I104</f>
        <v/>
      </c>
      <c r="J52" s="79">
        <f t="array" ref="J52">D52+F52</f>
        <v/>
      </c>
      <c r="K52" s="79">
        <f t="array" ref="K52">E52+G52</f>
        <v/>
      </c>
      <c r="L52" s="81" t="n"/>
    </row>
    <row r="53" ht="20.05" customHeight="1" s="215">
      <c r="A53" s="4" t="inlineStr">
        <is>
          <t>b46</t>
        </is>
      </c>
      <c r="B53" s="34" t="inlineStr">
        <is>
          <t>46 years age of the mother</t>
        </is>
      </c>
      <c r="C53" s="79">
        <f t="array" ref="C53">D53+E53+F53+G53</f>
        <v/>
      </c>
      <c r="D53" s="79">
        <f t="array" ref="D53">D$11*$H53/$H$57</f>
        <v/>
      </c>
      <c r="E53" s="79">
        <f t="array" ref="E53">E$11*$H53/$H$57</f>
        <v/>
      </c>
      <c r="F53" s="79">
        <f t="array" ref="F53">F$11*$I53/$I$57</f>
        <v/>
      </c>
      <c r="G53" s="79">
        <f t="array" ref="G53">G$11*$I53/$I$57</f>
        <v/>
      </c>
      <c r="H53" s="80">
        <f t="array" ref="H53">H105</f>
        <v/>
      </c>
      <c r="I53" s="80">
        <f t="array" ref="I53">I105</f>
        <v/>
      </c>
      <c r="J53" s="79">
        <f t="array" ref="J53">D53+F53</f>
        <v/>
      </c>
      <c r="K53" s="79">
        <f t="array" ref="K53">E53+G53</f>
        <v/>
      </c>
      <c r="L53" s="81" t="n"/>
    </row>
    <row r="54" ht="20.05" customHeight="1" s="215">
      <c r="A54" s="4" t="inlineStr">
        <is>
          <t>b47</t>
        </is>
      </c>
      <c r="B54" s="34" t="inlineStr">
        <is>
          <t>47 years age of the mother</t>
        </is>
      </c>
      <c r="C54" s="79">
        <f t="array" ref="C54">D54+E54+F54+G54</f>
        <v/>
      </c>
      <c r="D54" s="79">
        <f t="array" ref="D54">D$11*$H54/$H$57</f>
        <v/>
      </c>
      <c r="E54" s="79">
        <f t="array" ref="E54">E$11*$H54/$H$57</f>
        <v/>
      </c>
      <c r="F54" s="79">
        <f t="array" ref="F54">F$11*$I54/$I$57</f>
        <v/>
      </c>
      <c r="G54" s="79">
        <f t="array" ref="G54">G$11*$I54/$I$57</f>
        <v/>
      </c>
      <c r="H54" s="80">
        <f t="array" ref="H54">H106</f>
        <v/>
      </c>
      <c r="I54" s="80">
        <f t="array" ref="I54">I106</f>
        <v/>
      </c>
      <c r="J54" s="79">
        <f t="array" ref="J54">D54+F54</f>
        <v/>
      </c>
      <c r="K54" s="79">
        <f t="array" ref="K54">E54+G54</f>
        <v/>
      </c>
      <c r="L54" s="81" t="n"/>
    </row>
    <row r="55" ht="20.05" customHeight="1" s="215">
      <c r="A55" s="4" t="inlineStr">
        <is>
          <t>b48</t>
        </is>
      </c>
      <c r="B55" s="34" t="inlineStr">
        <is>
          <t>48 years age of the mother</t>
        </is>
      </c>
      <c r="C55" s="79">
        <f t="array" ref="C55">D55+E55+F55+G55</f>
        <v/>
      </c>
      <c r="D55" s="79">
        <f t="array" ref="D55">D$11*$H55/$H$57</f>
        <v/>
      </c>
      <c r="E55" s="79">
        <f t="array" ref="E55">E$11*$H55/$H$57</f>
        <v/>
      </c>
      <c r="F55" s="79">
        <f t="array" ref="F55">F$11*$I55/$I$57</f>
        <v/>
      </c>
      <c r="G55" s="79">
        <f t="array" ref="G55">G$11*$I55/$I$57</f>
        <v/>
      </c>
      <c r="H55" s="80">
        <f t="array" ref="H55">H107</f>
        <v/>
      </c>
      <c r="I55" s="80">
        <f t="array" ref="I55">I107</f>
        <v/>
      </c>
      <c r="J55" s="79">
        <f t="array" ref="J55">D55+F55</f>
        <v/>
      </c>
      <c r="K55" s="79">
        <f t="array" ref="K55">E55+G55</f>
        <v/>
      </c>
      <c r="L55" s="81" t="n"/>
    </row>
    <row r="56" ht="20.05" customHeight="1" s="215">
      <c r="A56" s="4" t="inlineStr">
        <is>
          <t>b49</t>
        </is>
      </c>
      <c r="B56" s="34" t="inlineStr">
        <is>
          <t>49 years and older age of the mother</t>
        </is>
      </c>
      <c r="C56" s="79">
        <f t="array" ref="C56">D56+E56+F56+G56</f>
        <v/>
      </c>
      <c r="D56" s="79">
        <f t="array" ref="D56">D$11*$H56/$H$57</f>
        <v/>
      </c>
      <c r="E56" s="79">
        <f t="array" ref="E56">E$11*$H56/$H$57</f>
        <v/>
      </c>
      <c r="F56" s="79">
        <f t="array" ref="F56">F$11*$I56/$I$57</f>
        <v/>
      </c>
      <c r="G56" s="79">
        <f t="array" ref="G56">G$11*$I56/$I$57</f>
        <v/>
      </c>
      <c r="H56" s="80">
        <f t="array" ref="H56">H108</f>
        <v/>
      </c>
      <c r="I56" s="80">
        <f t="array" ref="I56">I108</f>
        <v/>
      </c>
      <c r="J56" s="79">
        <f t="array" ref="J56">D56+F56</f>
        <v/>
      </c>
      <c r="K56" s="79">
        <f t="array" ref="K56">E56+G56</f>
        <v/>
      </c>
      <c r="L56" s="81" t="n"/>
    </row>
    <row r="57" ht="20.05" customHeight="1" s="215">
      <c r="A57" s="4" t="inlineStr">
        <is>
          <t>bt</t>
        </is>
      </c>
      <c r="B57" s="34" t="inlineStr">
        <is>
          <t>Total</t>
        </is>
      </c>
      <c r="C57" s="79">
        <f t="array" ref="C57">SUM(C22:C56)</f>
        <v/>
      </c>
      <c r="D57" s="79">
        <f t="array" ref="D57">SUM(D22:D56)</f>
        <v/>
      </c>
      <c r="E57" s="79">
        <f t="array" ref="E57">SUM(E22:E56)</f>
        <v/>
      </c>
      <c r="F57" s="79">
        <f t="array" ref="F57">SUM(F22:F56)</f>
        <v/>
      </c>
      <c r="G57" s="79">
        <f t="array" ref="G57">SUM(G22:G56)</f>
        <v/>
      </c>
      <c r="H57" s="79">
        <f t="array" ref="H57">SUM(H22:H56)</f>
        <v/>
      </c>
      <c r="I57" s="79">
        <f t="array" ref="I57">SUM(I22:I56)</f>
        <v/>
      </c>
      <c r="J57" s="79">
        <f t="array" ref="J57">SUM(J22:J56)</f>
        <v/>
      </c>
      <c r="K57" s="79">
        <f t="array" ref="K57">SUM(K22:K56)</f>
        <v/>
      </c>
      <c r="L57" s="81" t="n"/>
    </row>
    <row r="58" ht="20.05" customHeight="1" s="215">
      <c r="A58" s="3" t="n"/>
      <c r="B58" s="28" t="n"/>
      <c r="C58" s="76" t="n"/>
      <c r="D58" s="76" t="n"/>
      <c r="E58" s="76" t="n"/>
      <c r="F58" s="76" t="n"/>
      <c r="G58" s="76" t="n"/>
      <c r="H58" s="17" t="n"/>
      <c r="I58" s="17" t="n"/>
      <c r="J58" s="17" t="n"/>
      <c r="K58" s="17" t="n"/>
      <c r="L58" s="17" t="n"/>
    </row>
    <row r="59" ht="20.05" customHeight="1" s="215">
      <c r="A59" s="4" t="inlineStr">
        <is>
          <t>bs</t>
        </is>
      </c>
      <c r="B59" s="34" t="inlineStr">
        <is>
          <t>Source of the data (verbal)</t>
        </is>
      </c>
      <c r="C59" s="58">
        <f t="array" ref="C59">IF(C60="","?",C60)&amp;IF(C61="","","; downloaded "&amp;C61)&amp;IF(C62="","","; "&amp;C62)</f>
        <v/>
      </c>
      <c r="D59" s="218" t="n"/>
      <c r="E59" s="218" t="n"/>
      <c r="F59" s="218" t="n"/>
      <c r="G59" s="218" t="n"/>
      <c r="H59" s="218" t="n"/>
      <c r="I59" s="218" t="n"/>
      <c r="J59" s="218" t="n"/>
      <c r="K59" s="218" t="n"/>
      <c r="L59" s="17" t="n"/>
    </row>
    <row r="60" ht="20.05" customHeight="1" s="215">
      <c r="A60" s="3" t="n"/>
      <c r="B60" s="34" t="inlineStr">
        <is>
          <t>URLs, where the data was found</t>
        </is>
      </c>
      <c r="C60" s="59" t="inlineStr">
        <is>
          <t>siehe C14</t>
        </is>
      </c>
      <c r="D60" s="218" t="n"/>
      <c r="E60" s="218" t="n"/>
      <c r="F60" s="218" t="n"/>
      <c r="G60" s="218" t="n"/>
      <c r="H60" s="218" t="n"/>
      <c r="I60" s="218" t="n"/>
      <c r="J60" s="218" t="n"/>
      <c r="K60" s="218" t="n"/>
      <c r="L60" s="17" t="n"/>
    </row>
    <row r="61" ht="20.05" customHeight="1" s="215">
      <c r="A61" s="37" t="n"/>
      <c r="B61" s="47" t="inlineStr">
        <is>
          <t>Date, when the data was downloaded</t>
        </is>
      </c>
      <c r="C61" s="59" t="inlineStr">
        <is>
          <t>2026-05-26</t>
        </is>
      </c>
      <c r="D61" s="218" t="n"/>
      <c r="E61" s="218" t="n"/>
      <c r="F61" s="218" t="n"/>
      <c r="G61" s="218" t="n"/>
      <c r="H61" s="218" t="n"/>
      <c r="I61" s="218" t="n"/>
      <c r="J61" s="218" t="n"/>
      <c r="K61" s="218" t="n"/>
      <c r="L61" s="17" t="n"/>
    </row>
    <row r="62" ht="20.05" customHeight="1" s="215">
      <c r="A62" s="12" t="n"/>
      <c r="B62" s="13" t="inlineStr">
        <is>
          <t>Manual remarks (not for AI!)</t>
        </is>
      </c>
      <c r="C62" s="57" t="n"/>
      <c r="D62" s="218" t="n"/>
      <c r="E62" s="218" t="n"/>
      <c r="F62" s="218" t="n"/>
      <c r="G62" s="218" t="n"/>
      <c r="H62" s="218" t="n"/>
      <c r="I62" s="218" t="n"/>
      <c r="J62" s="218" t="n"/>
      <c r="K62" s="218" t="n"/>
      <c r="L62" s="17" t="n"/>
    </row>
    <row r="63" ht="20.05" customHeight="1" s="215">
      <c r="A63" s="12" t="n"/>
      <c r="B63" s="13" t="inlineStr">
        <is>
          <t>Remarks of the AI (e.g. calculation)</t>
        </is>
      </c>
      <c r="C63" s="57" t="inlineStr">
        <is>
          <t>ASFR-Shape (= absolute Geburten pro Mutter-Alter) in H74:H108 (Native, Mutter-Herkomstland Nederland) und I74:I108 (Migrant, Buiten-NL) aus CBS-Würfel 85497NED (Levend geboren kinderen; herkomstland moeder en leeftijd moeder). Filter: GeboortelandMoeder=Total (inkl. 1. und 2. Gen Mutter). Sum Native = 106,791, Sum Migrant = 59,266. Vorlagen-Formel Z. 22-56 nutzt H/I als ASFR-Profil; absolute Geburten via Top-Block H11/I11 (Sex-Ratio at Birth aus Pop Alter 0).</t>
        </is>
      </c>
      <c r="D63" s="218" t="n"/>
      <c r="E63" s="218" t="n"/>
      <c r="F63" s="218" t="n"/>
      <c r="G63" s="218" t="n"/>
      <c r="H63" s="218" t="n"/>
      <c r="I63" s="218" t="n"/>
      <c r="J63" s="218" t="n"/>
      <c r="K63" s="218" t="n"/>
      <c r="L63" s="17" t="n"/>
    </row>
    <row r="64" ht="20.05" customHeight="1" s="215">
      <c r="A64" s="12" t="n"/>
      <c r="B64" s="13" t="inlineStr">
        <is>
          <t>Internal remarks</t>
        </is>
      </c>
      <c r="C64" s="57" t="n"/>
      <c r="D64" s="218" t="n"/>
      <c r="E64" s="218" t="n"/>
      <c r="F64" s="218" t="n"/>
      <c r="G64" s="218" t="n"/>
      <c r="H64" s="218" t="n"/>
      <c r="I64" s="218" t="n"/>
      <c r="J64" s="218" t="n"/>
      <c r="K64" s="218" t="n"/>
      <c r="L64" s="17" t="n"/>
    </row>
    <row r="65" ht="20.05" customHeight="1" s="215">
      <c r="A65" s="12" t="n"/>
      <c r="B65" s="18" t="n"/>
      <c r="C65" s="39" t="n"/>
      <c r="D65" s="39" t="n"/>
      <c r="E65" s="39" t="n"/>
      <c r="F65" s="39" t="n"/>
      <c r="G65" s="39" t="n"/>
      <c r="H65" s="39" t="n"/>
      <c r="I65" s="39" t="n"/>
      <c r="J65" s="39" t="n"/>
      <c r="K65" s="39" t="n"/>
      <c r="L65" s="17" t="n"/>
    </row>
    <row r="66" ht="33.35" customHeight="1" s="215">
      <c r="A66" s="69" t="n"/>
      <c r="B66" s="70" t="inlineStr">
        <is>
          <t>✏️</t>
        </is>
      </c>
      <c r="C66" s="82" t="inlineStr">
        <is>
          <t>Enter your data below and make sure that you adjust the formulas above, if necessary.  If calculations are necessary, use the fields below for it and use formulas in the area above, to fill in the fields above exactly as intended.</t>
        </is>
      </c>
      <c r="L66" s="83" t="n"/>
    </row>
    <row r="67" ht="26.85" customHeight="1" s="215">
      <c r="A67" s="73" t="n"/>
      <c r="B67" s="74" t="inlineStr">
        <is>
          <t>Births</t>
        </is>
      </c>
      <c r="C67" s="75" t="inlineStr">
        <is>
          <t>Calculation of the births</t>
        </is>
      </c>
      <c r="D67" s="217" t="n"/>
      <c r="E67" s="217" t="n"/>
      <c r="F67" s="217" t="n"/>
      <c r="G67" s="217" t="n"/>
      <c r="H67" s="217" t="n"/>
      <c r="I67" s="217" t="n"/>
      <c r="J67" s="217" t="n"/>
      <c r="K67" s="217" t="n"/>
      <c r="L67" s="33" t="n"/>
    </row>
    <row r="68" ht="32.05" customHeight="1" s="215">
      <c r="A68" s="100" t="n"/>
      <c r="B68" s="101" t="inlineStr">
        <is>
          <t>Use the fields of this row, if numbers for age, natives/migrants are known</t>
        </is>
      </c>
      <c r="C68" s="81" t="n"/>
      <c r="D68" s="81" t="n"/>
      <c r="E68" s="81" t="n"/>
      <c r="F68" s="81" t="n"/>
      <c r="G68" s="81" t="n"/>
      <c r="H68" s="102" t="n"/>
      <c r="I68" s="102" t="n"/>
      <c r="J68" s="81" t="n"/>
      <c r="K68" s="81" t="n"/>
      <c r="L68" s="17" t="n"/>
    </row>
    <row r="69" ht="32.05" customHeight="1" s="215">
      <c r="A69" s="103" t="n"/>
      <c r="B69" s="104" t="inlineStr">
        <is>
          <t>Use the fields of this row, if numbers for age are known (but not natives/migrants)</t>
        </is>
      </c>
      <c r="C69" s="105" t="n"/>
      <c r="D69" s="105" t="n"/>
      <c r="E69" s="105" t="n"/>
      <c r="F69" s="105" t="n"/>
      <c r="G69" s="105" t="n"/>
      <c r="H69" s="106">
        <f t="array" ref="H69">J69*H$11/$C$11</f>
        <v/>
      </c>
      <c r="I69" s="106">
        <f t="array" ref="I69">J69*I$11/$C$11</f>
        <v/>
      </c>
      <c r="J69" s="102" t="n"/>
      <c r="K69" s="81" t="n"/>
      <c r="L69" s="17" t="n"/>
    </row>
    <row r="70" ht="32.05" customHeight="1" s="215">
      <c r="A70" s="107" t="n"/>
      <c r="B70" s="108" t="inlineStr">
        <is>
          <t>Use the fields of this row, if numbers for natives/migrants are known (but not age)</t>
        </is>
      </c>
      <c r="C70" s="109" t="n"/>
      <c r="D70" s="109" t="n"/>
      <c r="E70" s="109" t="n"/>
      <c r="F70" s="109" t="n"/>
      <c r="G70" s="109" t="n"/>
      <c r="H70" s="110">
        <f t="array" ref="H70">H$72*$L70</f>
        <v/>
      </c>
      <c r="I70" s="110">
        <f t="array" ref="I70">I$72*$L70</f>
        <v/>
      </c>
      <c r="J70" s="105" t="n"/>
      <c r="K70" s="81" t="n"/>
      <c r="L70" s="17" t="n"/>
    </row>
    <row r="71" ht="32.05" customHeight="1" s="215">
      <c r="A71" s="107" t="n"/>
      <c r="B71" s="108" t="inlineStr">
        <is>
          <t>Use the fields of this row, if only the total of births is known</t>
        </is>
      </c>
      <c r="C71" s="109" t="n"/>
      <c r="D71" s="109" t="n"/>
      <c r="E71" s="109" t="n"/>
      <c r="F71" s="109" t="n"/>
      <c r="G71" s="109" t="n"/>
      <c r="H71" s="110">
        <f t="array" ref="H71">J71*H$11/$C$11</f>
        <v/>
      </c>
      <c r="I71" s="110">
        <f t="array" ref="I71">J71*I$11/$C$11</f>
        <v/>
      </c>
      <c r="J71" s="110">
        <f t="array" ref="J71">L71*J$11/$C$11</f>
        <v/>
      </c>
      <c r="K71" s="81" t="n"/>
      <c r="L71" s="17" t="n"/>
    </row>
    <row r="72" ht="32.05" customHeight="1" s="215">
      <c r="A72" s="111" t="n"/>
      <c r="B72" s="112" t="inlineStr">
        <is>
          <t>If no age specific numbers are found enter the available values here</t>
        </is>
      </c>
      <c r="C72" s="113" t="n"/>
      <c r="D72" s="113" t="n"/>
      <c r="E72" s="113" t="n"/>
      <c r="F72" s="113" t="n"/>
      <c r="G72" s="113" t="n"/>
      <c r="H72" s="114" t="n"/>
      <c r="I72" s="114" t="n"/>
      <c r="J72" s="114" t="n"/>
      <c r="K72" s="81" t="n"/>
      <c r="L72" s="76" t="n"/>
    </row>
    <row r="73" ht="20.05" customHeight="1" s="215">
      <c r="A73" s="100" t="n"/>
      <c r="B73" s="28" t="n"/>
      <c r="C73" s="81" t="n"/>
      <c r="D73" s="81" t="n"/>
      <c r="E73" s="81" t="n"/>
      <c r="F73" s="81" t="n"/>
      <c r="G73" s="81" t="n"/>
      <c r="H73" s="81" t="n"/>
      <c r="I73" s="81" t="n"/>
      <c r="J73" s="81" t="n"/>
      <c r="K73" s="81" t="n"/>
      <c r="L73" s="76" t="n"/>
    </row>
    <row r="74" ht="20.05" customHeight="1" s="215">
      <c r="A74" s="115" t="n"/>
      <c r="B74" s="34" t="inlineStr">
        <is>
          <t>15 years and younger age of the mother</t>
        </is>
      </c>
      <c r="C74" s="81" t="n"/>
      <c r="D74" s="81" t="n"/>
      <c r="E74" s="81" t="n"/>
      <c r="F74" s="81" t="n"/>
      <c r="G74" s="81" t="n"/>
      <c r="H74" s="225" t="n">
        <v>0</v>
      </c>
      <c r="I74" s="225" t="n">
        <v>0</v>
      </c>
      <c r="J74" s="81" t="n"/>
      <c r="K74" s="81" t="n"/>
      <c r="L74" s="226" t="n">
        <v>0.0007836476</v>
      </c>
    </row>
    <row r="75" ht="20.05" customHeight="1" s="215">
      <c r="A75" s="115" t="n"/>
      <c r="B75" s="34" t="inlineStr">
        <is>
          <t>16 years age of the mother</t>
        </is>
      </c>
      <c r="C75" s="81" t="n"/>
      <c r="D75" s="81" t="n"/>
      <c r="E75" s="81" t="n"/>
      <c r="F75" s="81" t="n"/>
      <c r="G75" s="81" t="n"/>
      <c r="H75" s="225" t="n">
        <v>18</v>
      </c>
      <c r="I75" s="225" t="n">
        <v>14</v>
      </c>
      <c r="J75" s="81" t="n"/>
      <c r="K75" s="81" t="n"/>
      <c r="L75" s="226" t="n">
        <v>0.0013100234</v>
      </c>
    </row>
    <row r="76" ht="20.05" customHeight="1" s="215">
      <c r="A76" s="115" t="n"/>
      <c r="B76" s="34" t="inlineStr">
        <is>
          <t>17 years age of the mother</t>
        </is>
      </c>
      <c r="C76" s="81" t="n"/>
      <c r="D76" s="81" t="n"/>
      <c r="E76" s="81" t="n"/>
      <c r="F76" s="81" t="n"/>
      <c r="G76" s="81" t="n"/>
      <c r="H76" s="225" t="n">
        <v>42</v>
      </c>
      <c r="I76" s="225" t="n">
        <v>35</v>
      </c>
      <c r="J76" s="81" t="n"/>
      <c r="K76" s="81" t="n"/>
      <c r="L76" s="226" t="n">
        <v>0.002122817</v>
      </c>
    </row>
    <row r="77" ht="20.05" customHeight="1" s="215">
      <c r="A77" s="115" t="n"/>
      <c r="B77" s="34" t="inlineStr">
        <is>
          <t>18 years age of the mother</t>
        </is>
      </c>
      <c r="C77" s="81" t="n"/>
      <c r="D77" s="81" t="n"/>
      <c r="E77" s="81" t="n"/>
      <c r="F77" s="81" t="n"/>
      <c r="G77" s="81" t="n"/>
      <c r="H77" s="225" t="n">
        <v>99</v>
      </c>
      <c r="I77" s="225" t="n">
        <v>75</v>
      </c>
      <c r="J77" s="81" t="n"/>
      <c r="K77" s="81" t="n"/>
      <c r="L77" s="226" t="n">
        <v>0.0033344277</v>
      </c>
    </row>
    <row r="78" ht="20.05" customHeight="1" s="215">
      <c r="A78" s="115" t="n"/>
      <c r="B78" s="34" t="inlineStr">
        <is>
          <t>19 years age of the mother</t>
        </is>
      </c>
      <c r="C78" s="81" t="n"/>
      <c r="D78" s="81" t="n"/>
      <c r="E78" s="81" t="n"/>
      <c r="F78" s="81" t="n"/>
      <c r="G78" s="81" t="n"/>
      <c r="H78" s="225" t="n">
        <v>206</v>
      </c>
      <c r="I78" s="225" t="n">
        <v>238</v>
      </c>
      <c r="J78" s="81" t="n"/>
      <c r="K78" s="81" t="n"/>
      <c r="L78" s="226" t="n">
        <v>0.0050769784</v>
      </c>
    </row>
    <row r="79" ht="20.05" customHeight="1" s="215">
      <c r="A79" s="115" t="n"/>
      <c r="B79" s="34" t="inlineStr">
        <is>
          <t>20 years age of the mother</t>
        </is>
      </c>
      <c r="C79" s="81" t="n"/>
      <c r="D79" s="81" t="n"/>
      <c r="E79" s="81" t="n"/>
      <c r="F79" s="81" t="n"/>
      <c r="G79" s="81" t="n"/>
      <c r="H79" s="225" t="n">
        <v>350</v>
      </c>
      <c r="I79" s="225" t="n">
        <v>367</v>
      </c>
      <c r="J79" s="81" t="n"/>
      <c r="K79" s="81" t="n"/>
      <c r="L79" s="226" t="n">
        <v>0.0074931527</v>
      </c>
    </row>
    <row r="80" ht="20.05" customHeight="1" s="215">
      <c r="A80" s="115" t="n"/>
      <c r="B80" s="34" t="inlineStr">
        <is>
          <t>21 years age of the mother</t>
        </is>
      </c>
      <c r="C80" s="81" t="n"/>
      <c r="D80" s="81" t="n"/>
      <c r="E80" s="81" t="n"/>
      <c r="F80" s="81" t="n"/>
      <c r="G80" s="81" t="n"/>
      <c r="H80" s="225" t="n">
        <v>535</v>
      </c>
      <c r="I80" s="225" t="n">
        <v>517</v>
      </c>
      <c r="J80" s="81" t="n"/>
      <c r="K80" s="81" t="n"/>
      <c r="L80" s="226" t="n">
        <v>0.0107201068</v>
      </c>
    </row>
    <row r="81" ht="20.05" customHeight="1" s="215">
      <c r="A81" s="115" t="n"/>
      <c r="B81" s="34" t="inlineStr">
        <is>
          <t>22 years age of the mother</t>
        </is>
      </c>
      <c r="C81" s="81" t="n"/>
      <c r="D81" s="81" t="n"/>
      <c r="E81" s="81" t="n"/>
      <c r="F81" s="81" t="n"/>
      <c r="G81" s="81" t="n"/>
      <c r="H81" s="225" t="n">
        <v>828</v>
      </c>
      <c r="I81" s="225" t="n">
        <v>882</v>
      </c>
      <c r="J81" s="81" t="n"/>
      <c r="K81" s="81" t="n"/>
      <c r="L81" s="226" t="n">
        <v>0.0148665056</v>
      </c>
    </row>
    <row r="82" ht="20.05" customHeight="1" s="215">
      <c r="A82" s="115" t="n"/>
      <c r="B82" s="34" t="inlineStr">
        <is>
          <t>23 years age of the mother</t>
        </is>
      </c>
      <c r="C82" s="81" t="n"/>
      <c r="D82" s="81" t="n"/>
      <c r="E82" s="81" t="n"/>
      <c r="F82" s="81" t="n"/>
      <c r="G82" s="81" t="n"/>
      <c r="H82" s="225" t="n">
        <v>1330</v>
      </c>
      <c r="I82" s="225" t="n">
        <v>1148</v>
      </c>
      <c r="J82" s="81" t="n"/>
      <c r="K82" s="81" t="n"/>
      <c r="L82" s="226" t="n">
        <v>0.0199845303</v>
      </c>
    </row>
    <row r="83" ht="20.05" customHeight="1" s="215">
      <c r="A83" s="115" t="n"/>
      <c r="B83" s="34" t="inlineStr">
        <is>
          <t>24 years age of the mother</t>
        </is>
      </c>
      <c r="C83" s="81" t="n"/>
      <c r="D83" s="81" t="n"/>
      <c r="E83" s="81" t="n"/>
      <c r="F83" s="81" t="n"/>
      <c r="G83" s="81" t="n"/>
      <c r="H83" s="225" t="n">
        <v>2050</v>
      </c>
      <c r="I83" s="225" t="n">
        <v>1576</v>
      </c>
      <c r="J83" s="81" t="n"/>
      <c r="K83" s="81" t="n"/>
      <c r="L83" s="226" t="n">
        <v>0.0260407957</v>
      </c>
    </row>
    <row r="84" ht="20.05" customHeight="1" s="215">
      <c r="A84" s="115" t="n"/>
      <c r="B84" s="34" t="inlineStr">
        <is>
          <t>25 years age of the mother</t>
        </is>
      </c>
      <c r="C84" s="81" t="n"/>
      <c r="D84" s="81" t="n"/>
      <c r="E84" s="81" t="n"/>
      <c r="F84" s="81" t="n"/>
      <c r="G84" s="81" t="n"/>
      <c r="H84" s="225" t="n">
        <v>2733</v>
      </c>
      <c r="I84" s="225" t="n">
        <v>1953</v>
      </c>
      <c r="J84" s="81" t="n"/>
      <c r="K84" s="81" t="n"/>
      <c r="L84" s="226" t="n">
        <v>0.0328919644</v>
      </c>
    </row>
    <row r="85" ht="20.05" customHeight="1" s="215">
      <c r="A85" s="115" t="n"/>
      <c r="B85" s="34" t="inlineStr">
        <is>
          <t>26 years age of the mother</t>
        </is>
      </c>
      <c r="C85" s="81" t="n"/>
      <c r="D85" s="81" t="n"/>
      <c r="E85" s="81" t="n"/>
      <c r="F85" s="81" t="n"/>
      <c r="G85" s="81" t="n"/>
      <c r="H85" s="225" t="n">
        <v>3724</v>
      </c>
      <c r="I85" s="225" t="n">
        <v>2412</v>
      </c>
      <c r="J85" s="81" t="n"/>
      <c r="K85" s="81" t="n"/>
      <c r="L85" s="226" t="n">
        <v>0.0402717621</v>
      </c>
    </row>
    <row r="86" ht="20.05" customHeight="1" s="215">
      <c r="A86" s="115" t="n"/>
      <c r="B86" s="34" t="inlineStr">
        <is>
          <t>27 years age of the mother</t>
        </is>
      </c>
      <c r="C86" s="81" t="n"/>
      <c r="D86" s="81" t="n"/>
      <c r="E86" s="81" t="n"/>
      <c r="F86" s="81" t="n"/>
      <c r="G86" s="81" t="n"/>
      <c r="H86" s="225" t="n">
        <v>4974</v>
      </c>
      <c r="I86" s="225" t="n">
        <v>2762</v>
      </c>
      <c r="J86" s="81" t="n"/>
      <c r="K86" s="81" t="n"/>
      <c r="L86" s="226" t="n">
        <v>0.0477954673</v>
      </c>
    </row>
    <row r="87" ht="20.05" customHeight="1" s="215">
      <c r="A87" s="115" t="n"/>
      <c r="B87" s="34" t="inlineStr">
        <is>
          <t>28 years age of the mother</t>
        </is>
      </c>
      <c r="C87" s="81" t="n"/>
      <c r="D87" s="81" t="n"/>
      <c r="E87" s="81" t="n"/>
      <c r="F87" s="81" t="n"/>
      <c r="G87" s="81" t="n"/>
      <c r="H87" s="225" t="n">
        <v>6349</v>
      </c>
      <c r="I87" s="225" t="n">
        <v>3158</v>
      </c>
      <c r="J87" s="81" t="n"/>
      <c r="K87" s="81" t="n"/>
      <c r="L87" s="226" t="n">
        <v>0.0549854836</v>
      </c>
    </row>
    <row r="88" ht="20.05" customHeight="1" s="215">
      <c r="A88" s="115" t="n"/>
      <c r="B88" s="34" t="inlineStr">
        <is>
          <t>29 years age of the mother</t>
        </is>
      </c>
      <c r="C88" s="81" t="n"/>
      <c r="D88" s="81" t="n"/>
      <c r="E88" s="81" t="n"/>
      <c r="F88" s="81" t="n"/>
      <c r="G88" s="81" t="n"/>
      <c r="H88" s="225" t="n">
        <v>7792</v>
      </c>
      <c r="I88" s="225" t="n">
        <v>3521</v>
      </c>
      <c r="J88" s="81" t="n"/>
      <c r="K88" s="81" t="n"/>
      <c r="L88" s="226" t="n">
        <v>0.061317529</v>
      </c>
    </row>
    <row r="89" ht="20.05" customHeight="1" s="215">
      <c r="A89" s="115" t="n"/>
      <c r="B89" s="34" t="inlineStr">
        <is>
          <t>30 years age of the mother</t>
        </is>
      </c>
      <c r="C89" s="81" t="n"/>
      <c r="D89" s="81" t="n"/>
      <c r="E89" s="81" t="n"/>
      <c r="F89" s="81" t="n"/>
      <c r="G89" s="81" t="n"/>
      <c r="H89" s="225" t="n">
        <v>9286</v>
      </c>
      <c r="I89" s="225" t="n">
        <v>4025</v>
      </c>
      <c r="J89" s="81" t="n"/>
      <c r="K89" s="81" t="n"/>
      <c r="L89" s="226" t="n">
        <v>0.0662821366</v>
      </c>
    </row>
    <row r="90" ht="20.05" customHeight="1" s="215">
      <c r="A90" s="115" t="n"/>
      <c r="B90" s="34" t="inlineStr">
        <is>
          <t>31 years age of the mother</t>
        </is>
      </c>
      <c r="C90" s="81" t="n"/>
      <c r="D90" s="81" t="n"/>
      <c r="E90" s="81" t="n"/>
      <c r="F90" s="81" t="n"/>
      <c r="G90" s="81" t="n"/>
      <c r="H90" s="225" t="n">
        <v>10003</v>
      </c>
      <c r="I90" s="225" t="n">
        <v>4324</v>
      </c>
      <c r="J90" s="81" t="n"/>
      <c r="K90" s="81" t="n"/>
      <c r="L90" s="226" t="n">
        <v>0.0694518169</v>
      </c>
    </row>
    <row r="91" ht="20.05" customHeight="1" s="215">
      <c r="A91" s="115" t="n"/>
      <c r="B91" s="34" t="inlineStr">
        <is>
          <t>32 years age of the mother</t>
        </is>
      </c>
      <c r="C91" s="81" t="n"/>
      <c r="D91" s="81" t="n"/>
      <c r="E91" s="81" t="n"/>
      <c r="F91" s="81" t="n"/>
      <c r="G91" s="81" t="n"/>
      <c r="H91" s="225" t="n">
        <v>10228</v>
      </c>
      <c r="I91" s="225" t="n">
        <v>4387</v>
      </c>
      <c r="J91" s="81" t="n"/>
      <c r="K91" s="81" t="n"/>
      <c r="L91" s="226" t="n">
        <v>0.0705417099</v>
      </c>
    </row>
    <row r="92" ht="20.05" customHeight="1" s="215">
      <c r="A92" s="115" t="n"/>
      <c r="B92" s="34" t="inlineStr">
        <is>
          <t>33 years age of the mother</t>
        </is>
      </c>
      <c r="C92" s="81" t="n"/>
      <c r="D92" s="81" t="n"/>
      <c r="E92" s="81" t="n"/>
      <c r="F92" s="81" t="n"/>
      <c r="G92" s="81" t="n"/>
      <c r="H92" s="225" t="n">
        <v>9906</v>
      </c>
      <c r="I92" s="225" t="n">
        <v>4364</v>
      </c>
      <c r="J92" s="81" t="n"/>
      <c r="K92" s="81" t="n"/>
      <c r="L92" s="226" t="n">
        <v>0.0694518169</v>
      </c>
    </row>
    <row r="93" ht="20.05" customHeight="1" s="215">
      <c r="A93" s="115" t="n"/>
      <c r="B93" s="34" t="inlineStr">
        <is>
          <t>34 years age of the mother</t>
        </is>
      </c>
      <c r="C93" s="81" t="n"/>
      <c r="D93" s="81" t="n"/>
      <c r="E93" s="81" t="n"/>
      <c r="F93" s="81" t="n"/>
      <c r="G93" s="81" t="n"/>
      <c r="H93" s="225" t="n">
        <v>8849</v>
      </c>
      <c r="I93" s="225" t="n">
        <v>4197</v>
      </c>
      <c r="J93" s="81" t="n"/>
      <c r="K93" s="81" t="n"/>
      <c r="L93" s="226" t="n">
        <v>0.0662821366</v>
      </c>
    </row>
    <row r="94" ht="20.05" customHeight="1" s="215">
      <c r="A94" s="115" t="n"/>
      <c r="B94" s="34" t="inlineStr">
        <is>
          <t>35 years age of the mother</t>
        </is>
      </c>
      <c r="C94" s="81" t="n"/>
      <c r="D94" s="81" t="n"/>
      <c r="E94" s="81" t="n"/>
      <c r="F94" s="81" t="n"/>
      <c r="G94" s="81" t="n"/>
      <c r="H94" s="225" t="n">
        <v>7270</v>
      </c>
      <c r="I94" s="225" t="n">
        <v>4056</v>
      </c>
      <c r="J94" s="81" t="n"/>
      <c r="K94" s="81" t="n"/>
      <c r="L94" s="226" t="n">
        <v>0.061317529</v>
      </c>
    </row>
    <row r="95" ht="20.05" customHeight="1" s="215">
      <c r="A95" s="115" t="n"/>
      <c r="B95" s="34" t="inlineStr">
        <is>
          <t>36 years age of the mother</t>
        </is>
      </c>
      <c r="C95" s="81" t="n"/>
      <c r="D95" s="81" t="n"/>
      <c r="E95" s="81" t="n"/>
      <c r="F95" s="81" t="n"/>
      <c r="G95" s="81" t="n"/>
      <c r="H95" s="225" t="n">
        <v>5812</v>
      </c>
      <c r="I95" s="225" t="n">
        <v>3574</v>
      </c>
      <c r="J95" s="81" t="n"/>
      <c r="K95" s="81" t="n"/>
      <c r="L95" s="226" t="n">
        <v>0.0549854836</v>
      </c>
    </row>
    <row r="96" ht="20.05" customHeight="1" s="215">
      <c r="A96" s="115" t="n"/>
      <c r="B96" s="34" t="inlineStr">
        <is>
          <t>37 years age of the mother</t>
        </is>
      </c>
      <c r="C96" s="81" t="n"/>
      <c r="D96" s="81" t="n"/>
      <c r="E96" s="81" t="n"/>
      <c r="F96" s="81" t="n"/>
      <c r="G96" s="81" t="n"/>
      <c r="H96" s="225" t="n">
        <v>4557</v>
      </c>
      <c r="I96" s="225" t="n">
        <v>2979</v>
      </c>
      <c r="J96" s="81" t="n"/>
      <c r="K96" s="81" t="n"/>
      <c r="L96" s="226" t="n">
        <v>0.0477954673</v>
      </c>
    </row>
    <row r="97" ht="20.05" customHeight="1" s="215">
      <c r="A97" s="115" t="n"/>
      <c r="B97" s="34" t="inlineStr">
        <is>
          <t>38 years age of the mother</t>
        </is>
      </c>
      <c r="C97" s="81" t="n"/>
      <c r="D97" s="81" t="n"/>
      <c r="E97" s="81" t="n"/>
      <c r="F97" s="81" t="n"/>
      <c r="G97" s="81" t="n"/>
      <c r="H97" s="225" t="n">
        <v>3433</v>
      </c>
      <c r="I97" s="225" t="n">
        <v>2463</v>
      </c>
      <c r="J97" s="81" t="n"/>
      <c r="K97" s="81" t="n"/>
      <c r="L97" s="226" t="n">
        <v>0.0402717621</v>
      </c>
    </row>
    <row r="98" ht="20.05" customHeight="1" s="215">
      <c r="A98" s="115" t="n"/>
      <c r="B98" s="34" t="inlineStr">
        <is>
          <t>39 years age of the mother</t>
        </is>
      </c>
      <c r="C98" s="81" t="n"/>
      <c r="D98" s="81" t="n"/>
      <c r="E98" s="81" t="n"/>
      <c r="F98" s="81" t="n"/>
      <c r="G98" s="81" t="n"/>
      <c r="H98" s="225" t="n">
        <v>2422</v>
      </c>
      <c r="I98" s="225" t="n">
        <v>1997</v>
      </c>
      <c r="J98" s="81" t="n"/>
      <c r="K98" s="81" t="n"/>
      <c r="L98" s="226" t="n">
        <v>0.0328919644</v>
      </c>
    </row>
    <row r="99" ht="20.05" customHeight="1" s="215">
      <c r="A99" s="115" t="n"/>
      <c r="B99" s="34" t="inlineStr">
        <is>
          <t>40 years age of the mother</t>
        </is>
      </c>
      <c r="C99" s="81" t="n"/>
      <c r="D99" s="81" t="n"/>
      <c r="E99" s="81" t="n"/>
      <c r="F99" s="81" t="n"/>
      <c r="G99" s="81" t="n"/>
      <c r="H99" s="225" t="n">
        <v>1550</v>
      </c>
      <c r="I99" s="225" t="n">
        <v>1506</v>
      </c>
      <c r="J99" s="81" t="n"/>
      <c r="K99" s="81" t="n"/>
      <c r="L99" s="226" t="n">
        <v>0.0260407957</v>
      </c>
    </row>
    <row r="100" ht="20.05" customHeight="1" s="215">
      <c r="A100" s="115" t="n"/>
      <c r="B100" s="34" t="inlineStr">
        <is>
          <t>41 years age of the mother</t>
        </is>
      </c>
      <c r="C100" s="81" t="n"/>
      <c r="D100" s="81" t="n"/>
      <c r="E100" s="81" t="n"/>
      <c r="F100" s="81" t="n"/>
      <c r="G100" s="81" t="n"/>
      <c r="H100" s="225" t="n">
        <v>1063</v>
      </c>
      <c r="I100" s="225" t="n">
        <v>1038</v>
      </c>
      <c r="J100" s="81" t="n"/>
      <c r="K100" s="81" t="n"/>
      <c r="L100" s="226" t="n">
        <v>0.0199845303</v>
      </c>
    </row>
    <row r="101" ht="20.05" customHeight="1" s="215">
      <c r="A101" s="115" t="n"/>
      <c r="B101" s="34" t="inlineStr">
        <is>
          <t>42 years age of the mother</t>
        </is>
      </c>
      <c r="C101" s="81" t="n"/>
      <c r="D101" s="81" t="n"/>
      <c r="E101" s="81" t="n"/>
      <c r="F101" s="81" t="n"/>
      <c r="G101" s="81" t="n"/>
      <c r="H101" s="225" t="n">
        <v>624</v>
      </c>
      <c r="I101" s="225" t="n">
        <v>721</v>
      </c>
      <c r="J101" s="81" t="n"/>
      <c r="K101" s="81" t="n"/>
      <c r="L101" s="226" t="n">
        <v>0.0148665056</v>
      </c>
    </row>
    <row r="102" ht="20.05" customHeight="1" s="215">
      <c r="A102" s="115" t="n"/>
      <c r="B102" s="34" t="inlineStr">
        <is>
          <t>43 years age of the mother</t>
        </is>
      </c>
      <c r="C102" s="81" t="n"/>
      <c r="D102" s="81" t="n"/>
      <c r="E102" s="81" t="n"/>
      <c r="F102" s="81" t="n"/>
      <c r="G102" s="81" t="n"/>
      <c r="H102" s="225" t="n">
        <v>384</v>
      </c>
      <c r="I102" s="225" t="n">
        <v>446</v>
      </c>
      <c r="J102" s="81" t="n"/>
      <c r="K102" s="81" t="n"/>
      <c r="L102" s="226" t="n">
        <v>0.0107201068</v>
      </c>
    </row>
    <row r="103" ht="20.05" customHeight="1" s="215">
      <c r="A103" s="115" t="n"/>
      <c r="B103" s="34" t="inlineStr">
        <is>
          <t>44 years age of the mother</t>
        </is>
      </c>
      <c r="C103" s="81" t="n"/>
      <c r="D103" s="81" t="n"/>
      <c r="E103" s="81" t="n"/>
      <c r="F103" s="81" t="n"/>
      <c r="G103" s="81" t="n"/>
      <c r="H103" s="225" t="n">
        <v>181</v>
      </c>
      <c r="I103" s="225" t="n">
        <v>280</v>
      </c>
      <c r="J103" s="81" t="n"/>
      <c r="K103" s="81" t="n"/>
      <c r="L103" s="226" t="n">
        <v>0.0074931527</v>
      </c>
    </row>
    <row r="104" ht="20.05" customHeight="1" s="215">
      <c r="A104" s="115" t="n"/>
      <c r="B104" s="34" t="inlineStr">
        <is>
          <t>45 years age of the mother</t>
        </is>
      </c>
      <c r="C104" s="81" t="n"/>
      <c r="D104" s="81" t="n"/>
      <c r="E104" s="81" t="n"/>
      <c r="F104" s="81" t="n"/>
      <c r="G104" s="81" t="n"/>
      <c r="H104" s="225" t="n">
        <v>95</v>
      </c>
      <c r="I104" s="225" t="n">
        <v>105</v>
      </c>
      <c r="J104" s="81" t="n"/>
      <c r="K104" s="81" t="n"/>
      <c r="L104" s="226" t="n">
        <v>0.0050769784</v>
      </c>
    </row>
    <row r="105" ht="20.05" customHeight="1" s="215">
      <c r="A105" s="115" t="n"/>
      <c r="B105" s="34" t="inlineStr">
        <is>
          <t>46 years age of the mother</t>
        </is>
      </c>
      <c r="C105" s="81" t="n"/>
      <c r="D105" s="81" t="n"/>
      <c r="E105" s="81" t="n"/>
      <c r="F105" s="81" t="n"/>
      <c r="G105" s="81" t="n"/>
      <c r="H105" s="225" t="n">
        <v>57</v>
      </c>
      <c r="I105" s="225" t="n">
        <v>80</v>
      </c>
      <c r="J105" s="81" t="n"/>
      <c r="K105" s="81" t="n"/>
      <c r="L105" s="226" t="n">
        <v>0.0033344277</v>
      </c>
    </row>
    <row r="106" ht="20.05" customHeight="1" s="215">
      <c r="A106" s="115" t="n"/>
      <c r="B106" s="34" t="inlineStr">
        <is>
          <t>47 years age of the mother</t>
        </is>
      </c>
      <c r="C106" s="81" t="n"/>
      <c r="D106" s="81" t="n"/>
      <c r="E106" s="81" t="n"/>
      <c r="F106" s="81" t="n"/>
      <c r="G106" s="81" t="n"/>
      <c r="H106" s="225" t="n">
        <v>21</v>
      </c>
      <c r="I106" s="225" t="n">
        <v>43</v>
      </c>
      <c r="J106" s="81" t="n"/>
      <c r="K106" s="81" t="n"/>
      <c r="L106" s="226" t="n">
        <v>0.002122817</v>
      </c>
    </row>
    <row r="107" ht="20.05" customHeight="1" s="215">
      <c r="A107" s="115" t="n"/>
      <c r="B107" s="34" t="inlineStr">
        <is>
          <t>48 years age of the mother</t>
        </is>
      </c>
      <c r="C107" s="81" t="n"/>
      <c r="D107" s="81" t="n"/>
      <c r="E107" s="81" t="n"/>
      <c r="F107" s="81" t="n"/>
      <c r="G107" s="81" t="n"/>
      <c r="H107" s="225" t="n">
        <v>20</v>
      </c>
      <c r="I107" s="225" t="n">
        <v>23</v>
      </c>
      <c r="J107" s="81" t="n"/>
      <c r="K107" s="81" t="n"/>
      <c r="L107" s="226" t="n">
        <v>0.0013100234</v>
      </c>
    </row>
    <row r="108" ht="20.05" customHeight="1" s="215">
      <c r="A108" s="118" t="n"/>
      <c r="B108" s="47" t="inlineStr">
        <is>
          <t>49 years and older age of the mother</t>
        </is>
      </c>
      <c r="C108" s="105" t="n"/>
      <c r="D108" s="105" t="n"/>
      <c r="E108" s="105" t="n"/>
      <c r="F108" s="105" t="n"/>
      <c r="G108" s="105" t="n"/>
      <c r="H108" s="227" t="n">
        <v>0</v>
      </c>
      <c r="I108" s="227" t="n">
        <v>0</v>
      </c>
      <c r="J108" s="105" t="n"/>
      <c r="K108" s="105" t="n"/>
      <c r="L108" s="226" t="n">
        <v>0.0007836475</v>
      </c>
    </row>
    <row r="109" ht="20.05" customHeight="1" s="215">
      <c r="A109" s="120" t="n"/>
      <c r="B109" s="121" t="n"/>
      <c r="C109" s="122" t="n"/>
      <c r="D109" s="123" t="n"/>
      <c r="E109" s="123" t="n"/>
      <c r="F109" s="123" t="n"/>
      <c r="G109" s="123" t="n"/>
      <c r="H109" s="123" t="n"/>
      <c r="I109" s="123" t="n"/>
      <c r="J109" s="123" t="n"/>
      <c r="K109" s="123" t="n"/>
      <c r="L109" s="228">
        <f t="array" ref="L109">SUM(L74:L108)</f>
        <v/>
      </c>
    </row>
  </sheetData>
  <mergeCells count="18">
    <mergeCell ref="A1:L1"/>
    <mergeCell ref="C59:K59"/>
    <mergeCell ref="C60:K60"/>
    <mergeCell ref="C61:K61"/>
    <mergeCell ref="C62:K62"/>
    <mergeCell ref="C64:K64"/>
    <mergeCell ref="C20:K20"/>
    <mergeCell ref="C67:K67"/>
    <mergeCell ref="C5:K5"/>
    <mergeCell ref="C13:K13"/>
    <mergeCell ref="C14:K14"/>
    <mergeCell ref="C15:K15"/>
    <mergeCell ref="C16:K16"/>
    <mergeCell ref="C18:K18"/>
    <mergeCell ref="C4:K4"/>
    <mergeCell ref="C66:K66"/>
    <mergeCell ref="C63:K63"/>
    <mergeCell ref="C17:K17"/>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deaths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'overview'!C11&amp;" / "&amp;'overview'!C12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33.55" customHeight="1" s="215">
      <c r="A4" s="126" t="n"/>
      <c r="B4" s="127" t="inlineStr">
        <is>
          <t>⚠️</t>
        </is>
      </c>
      <c r="C4" s="128" t="inlineStr">
        <is>
          <t>Do not add or delete lines until the next dark grey row below! The fields below are the fields used in other sheets and in the calculation. The address of these fields and their contents must remain always the same, so we can add calculations later!</t>
        </is>
      </c>
      <c r="D4" s="229" t="n"/>
      <c r="E4" s="229" t="n"/>
      <c r="F4" s="229" t="n"/>
      <c r="G4" s="229" t="n"/>
      <c r="H4" s="229" t="n"/>
      <c r="I4" s="229" t="n"/>
      <c r="J4" s="229" t="n"/>
      <c r="K4" s="229" t="n"/>
      <c r="L4" s="72" t="n"/>
    </row>
    <row r="5" ht="26.85" customHeight="1" s="215">
      <c r="A5" s="30" t="n"/>
      <c r="B5" s="31" t="inlineStr">
        <is>
          <t>Deaths</t>
        </is>
      </c>
      <c r="C5" s="99" t="inlineStr">
        <is>
          <t>This table is needed to calculate the Leslie matrix</t>
        </is>
      </c>
      <c r="D5" s="218" t="n"/>
      <c r="E5" s="218" t="n"/>
      <c r="F5" s="218" t="n"/>
      <c r="G5" s="218" t="n"/>
      <c r="H5" s="218" t="n"/>
      <c r="I5" s="218" t="n"/>
      <c r="J5" s="218" t="n"/>
      <c r="K5" s="218" t="n"/>
      <c r="L5" s="33" t="n"/>
    </row>
    <row r="6" ht="20.05" customHeight="1" s="215">
      <c r="A6" s="37" t="n"/>
      <c r="B6" s="38" t="n"/>
      <c r="C6" s="76" t="n"/>
      <c r="D6" s="76" t="n"/>
      <c r="E6" s="76" t="n"/>
      <c r="F6" s="76" t="n"/>
      <c r="G6" s="76" t="n"/>
      <c r="H6" s="76" t="n"/>
      <c r="I6" s="76" t="n"/>
      <c r="J6" s="76" t="n"/>
      <c r="K6" s="76" t="n"/>
      <c r="L6" s="76" t="n"/>
    </row>
    <row r="7" ht="20.05" customHeight="1" s="215">
      <c r="A7" s="56" t="inlineStr">
        <is>
          <t>d00</t>
        </is>
      </c>
      <c r="B7" s="13" t="inlineStr">
        <is>
          <t>0 years age of the deceased</t>
        </is>
      </c>
      <c r="C7" s="79">
        <f t="array" ref="C7">H7+I7</f>
        <v/>
      </c>
      <c r="D7" s="80">
        <f t="array" ref="D7">D119</f>
        <v/>
      </c>
      <c r="E7" s="80">
        <f t="array" ref="E7">E119</f>
        <v/>
      </c>
      <c r="F7" s="80">
        <f t="array" ref="F7">F119</f>
        <v/>
      </c>
      <c r="G7" s="80">
        <f t="array" ref="G7">G119</f>
        <v/>
      </c>
      <c r="H7" s="79">
        <f t="array" ref="H7">E7+D7</f>
        <v/>
      </c>
      <c r="I7" s="79">
        <f t="array" ref="I7">G7+F7</f>
        <v/>
      </c>
      <c r="J7" s="79">
        <f t="array" ref="J7">D7+F7</f>
        <v/>
      </c>
      <c r="K7" s="79">
        <f t="array" ref="K7">E7+G7</f>
        <v/>
      </c>
      <c r="L7" s="81" t="n"/>
    </row>
    <row r="8" ht="20.05" customHeight="1" s="215">
      <c r="A8" s="56" t="inlineStr">
        <is>
          <t>d01</t>
        </is>
      </c>
      <c r="B8" s="13" t="inlineStr">
        <is>
          <t>1 years age of the deceased</t>
        </is>
      </c>
      <c r="C8" s="79">
        <f t="array" ref="C8">H8+I8</f>
        <v/>
      </c>
      <c r="D8" s="80">
        <f t="array" ref="D8">D120</f>
        <v/>
      </c>
      <c r="E8" s="80">
        <f t="array" ref="E8">E120</f>
        <v/>
      </c>
      <c r="F8" s="80">
        <f t="array" ref="F8">F120</f>
        <v/>
      </c>
      <c r="G8" s="80">
        <f t="array" ref="G8">G120</f>
        <v/>
      </c>
      <c r="H8" s="79">
        <f t="array" ref="H8">E8+D8</f>
        <v/>
      </c>
      <c r="I8" s="79">
        <f t="array" ref="I8">G8+F8</f>
        <v/>
      </c>
      <c r="J8" s="79">
        <f t="array" ref="J8">D8+F8</f>
        <v/>
      </c>
      <c r="K8" s="79">
        <f t="array" ref="K8">E8+G8</f>
        <v/>
      </c>
      <c r="L8" s="81" t="n"/>
    </row>
    <row r="9" ht="20.05" customHeight="1" s="215">
      <c r="A9" s="56" t="inlineStr">
        <is>
          <t>d02</t>
        </is>
      </c>
      <c r="B9" s="13" t="inlineStr">
        <is>
          <t>2 years age of the deceased</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56" t="inlineStr">
        <is>
          <t>d03</t>
        </is>
      </c>
      <c r="B10" s="13" t="inlineStr">
        <is>
          <t>3 years age of the deceased</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56" t="inlineStr">
        <is>
          <t>d04</t>
        </is>
      </c>
      <c r="B11" s="13" t="inlineStr">
        <is>
          <t>4 years age of the deceased</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56" t="inlineStr">
        <is>
          <t>d05</t>
        </is>
      </c>
      <c r="B12" s="13" t="inlineStr">
        <is>
          <t>5 years age of the deceased</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56" t="inlineStr">
        <is>
          <t>d06</t>
        </is>
      </c>
      <c r="B13" s="13" t="inlineStr">
        <is>
          <t>6 years age of the deceased</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56" t="inlineStr">
        <is>
          <t>d07</t>
        </is>
      </c>
      <c r="B14" s="13" t="inlineStr">
        <is>
          <t>7 years age of the deceased</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56" t="inlineStr">
        <is>
          <t>d08</t>
        </is>
      </c>
      <c r="B15" s="13" t="inlineStr">
        <is>
          <t>8 years age of the deceased</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56" t="inlineStr">
        <is>
          <t>d09</t>
        </is>
      </c>
      <c r="B16" s="13" t="inlineStr">
        <is>
          <t>9 years age of the deceased</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56" t="inlineStr">
        <is>
          <t>d10</t>
        </is>
      </c>
      <c r="B17" s="13" t="inlineStr">
        <is>
          <t>10 years age of the deceased</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56" t="inlineStr">
        <is>
          <t>d11</t>
        </is>
      </c>
      <c r="B18" s="13" t="inlineStr">
        <is>
          <t>11 years age of the deceased</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56" t="inlineStr">
        <is>
          <t>d12</t>
        </is>
      </c>
      <c r="B19" s="13" t="inlineStr">
        <is>
          <t>12 years age of the deceased</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56" t="inlineStr">
        <is>
          <t>d13</t>
        </is>
      </c>
      <c r="B20" s="13" t="inlineStr">
        <is>
          <t>13 years age of the deceased</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56" t="inlineStr">
        <is>
          <t>d14</t>
        </is>
      </c>
      <c r="B21" s="13" t="inlineStr">
        <is>
          <t>14 years age of the deceased</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56" t="inlineStr">
        <is>
          <t>d15</t>
        </is>
      </c>
      <c r="B22" s="13" t="inlineStr">
        <is>
          <t>15 years age of the deceased</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56" t="inlineStr">
        <is>
          <t>d16</t>
        </is>
      </c>
      <c r="B23" s="13" t="inlineStr">
        <is>
          <t>16 years age of the deceased</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56" t="inlineStr">
        <is>
          <t>d17</t>
        </is>
      </c>
      <c r="B24" s="13" t="inlineStr">
        <is>
          <t>17 years age of the deceased</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56" t="inlineStr">
        <is>
          <t>d18</t>
        </is>
      </c>
      <c r="B25" s="13" t="inlineStr">
        <is>
          <t>18 years age of the deceased</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56" t="inlineStr">
        <is>
          <t>d19</t>
        </is>
      </c>
      <c r="B26" s="13" t="inlineStr">
        <is>
          <t>19 years age of the deceased</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56" t="inlineStr">
        <is>
          <t>d20</t>
        </is>
      </c>
      <c r="B27" s="13" t="inlineStr">
        <is>
          <t>20 years age of the deceased</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56" t="inlineStr">
        <is>
          <t>d21</t>
        </is>
      </c>
      <c r="B28" s="13" t="inlineStr">
        <is>
          <t>21 years age of the deceased</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56" t="inlineStr">
        <is>
          <t>d22</t>
        </is>
      </c>
      <c r="B29" s="13" t="inlineStr">
        <is>
          <t>22 years age of the deceased</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56" t="inlineStr">
        <is>
          <t>d23</t>
        </is>
      </c>
      <c r="B30" s="13" t="inlineStr">
        <is>
          <t>23 years age of the deceased</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56" t="inlineStr">
        <is>
          <t>d24</t>
        </is>
      </c>
      <c r="B31" s="13" t="inlineStr">
        <is>
          <t>24 years age of the deceased</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56" t="inlineStr">
        <is>
          <t>d25</t>
        </is>
      </c>
      <c r="B32" s="13" t="inlineStr">
        <is>
          <t>25 years age of the deceased</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56" t="inlineStr">
        <is>
          <t>d26</t>
        </is>
      </c>
      <c r="B33" s="13" t="inlineStr">
        <is>
          <t>26 years age of the deceased</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56" t="inlineStr">
        <is>
          <t>d27</t>
        </is>
      </c>
      <c r="B34" s="13" t="inlineStr">
        <is>
          <t>27 years age of the deceased</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56" t="inlineStr">
        <is>
          <t>d28</t>
        </is>
      </c>
      <c r="B35" s="13" t="inlineStr">
        <is>
          <t>28 years age of the deceased</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56" t="inlineStr">
        <is>
          <t>d29</t>
        </is>
      </c>
      <c r="B36" s="13" t="inlineStr">
        <is>
          <t>29 years age of the deceased</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56" t="inlineStr">
        <is>
          <t>d30</t>
        </is>
      </c>
      <c r="B37" s="13" t="inlineStr">
        <is>
          <t>30 years age of the deceased</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56" t="inlineStr">
        <is>
          <t>d31</t>
        </is>
      </c>
      <c r="B38" s="13" t="inlineStr">
        <is>
          <t>31 years age of the deceased</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56" t="inlineStr">
        <is>
          <t>d32</t>
        </is>
      </c>
      <c r="B39" s="13" t="inlineStr">
        <is>
          <t>32 years age of the deceased</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56" t="inlineStr">
        <is>
          <t>d33</t>
        </is>
      </c>
      <c r="B40" s="13" t="inlineStr">
        <is>
          <t>33 years age of the deceased</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56" t="inlineStr">
        <is>
          <t>d34</t>
        </is>
      </c>
      <c r="B41" s="13" t="inlineStr">
        <is>
          <t>34 years age of the deceased</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56" t="inlineStr">
        <is>
          <t>d35</t>
        </is>
      </c>
      <c r="B42" s="13" t="inlineStr">
        <is>
          <t>35 years age of the deceased</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56" t="inlineStr">
        <is>
          <t>d36</t>
        </is>
      </c>
      <c r="B43" s="13" t="inlineStr">
        <is>
          <t>36 years age of the deceased</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56" t="inlineStr">
        <is>
          <t>d37</t>
        </is>
      </c>
      <c r="B44" s="13" t="inlineStr">
        <is>
          <t>37 years age of the deceased</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56" t="inlineStr">
        <is>
          <t>d38</t>
        </is>
      </c>
      <c r="B45" s="13" t="inlineStr">
        <is>
          <t>38 years age of the deceased</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56" t="inlineStr">
        <is>
          <t>d39</t>
        </is>
      </c>
      <c r="B46" s="13" t="inlineStr">
        <is>
          <t>39 years age of the deceased</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56" t="inlineStr">
        <is>
          <t>d40</t>
        </is>
      </c>
      <c r="B47" s="13" t="inlineStr">
        <is>
          <t>40 years age of the deceased</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56" t="inlineStr">
        <is>
          <t>d41</t>
        </is>
      </c>
      <c r="B48" s="13" t="inlineStr">
        <is>
          <t>41 years age of the deceased</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56" t="inlineStr">
        <is>
          <t>d42</t>
        </is>
      </c>
      <c r="B49" s="13" t="inlineStr">
        <is>
          <t>42 years age of the deceased</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56" t="inlineStr">
        <is>
          <t>d43</t>
        </is>
      </c>
      <c r="B50" s="13" t="inlineStr">
        <is>
          <t>43 years age of the deceased</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56" t="inlineStr">
        <is>
          <t>d44</t>
        </is>
      </c>
      <c r="B51" s="13" t="inlineStr">
        <is>
          <t>44 years age of the deceased</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56" t="inlineStr">
        <is>
          <t>d45</t>
        </is>
      </c>
      <c r="B52" s="13" t="inlineStr">
        <is>
          <t>45 years age of the deceased</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56" t="inlineStr">
        <is>
          <t>d46</t>
        </is>
      </c>
      <c r="B53" s="13" t="inlineStr">
        <is>
          <t>46 years age of the deceased</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56" t="inlineStr">
        <is>
          <t>d47</t>
        </is>
      </c>
      <c r="B54" s="13" t="inlineStr">
        <is>
          <t>47 years age of the deceased</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56" t="inlineStr">
        <is>
          <t>d48</t>
        </is>
      </c>
      <c r="B55" s="13" t="inlineStr">
        <is>
          <t>48 years age of the deceased</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56" t="inlineStr">
        <is>
          <t>d49</t>
        </is>
      </c>
      <c r="B56" s="13" t="inlineStr">
        <is>
          <t>49 years age of the deceased</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56" t="inlineStr">
        <is>
          <t>d50</t>
        </is>
      </c>
      <c r="B57" s="13" t="inlineStr">
        <is>
          <t>50 years age of the deceased</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56" t="inlineStr">
        <is>
          <t>d51</t>
        </is>
      </c>
      <c r="B58" s="13" t="inlineStr">
        <is>
          <t>51 years age of the deceased</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56" t="inlineStr">
        <is>
          <t>d52</t>
        </is>
      </c>
      <c r="B59" s="13" t="inlineStr">
        <is>
          <t>52 years age of the deceased</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56" t="inlineStr">
        <is>
          <t>d53</t>
        </is>
      </c>
      <c r="B60" s="13" t="inlineStr">
        <is>
          <t>53 years age of the deceased</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56" t="inlineStr">
        <is>
          <t>d54</t>
        </is>
      </c>
      <c r="B61" s="13" t="inlineStr">
        <is>
          <t>54 years age of the deceased</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56" t="inlineStr">
        <is>
          <t>d55</t>
        </is>
      </c>
      <c r="B62" s="13" t="inlineStr">
        <is>
          <t>55 years age of the deceased</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56" t="inlineStr">
        <is>
          <t>d56</t>
        </is>
      </c>
      <c r="B63" s="13" t="inlineStr">
        <is>
          <t>56 years age of the deceased</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56" t="inlineStr">
        <is>
          <t>d57</t>
        </is>
      </c>
      <c r="B64" s="13" t="inlineStr">
        <is>
          <t>57 years age of the deceased</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56" t="inlineStr">
        <is>
          <t>d58</t>
        </is>
      </c>
      <c r="B65" s="13" t="inlineStr">
        <is>
          <t>58 years age of the deceased</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56" t="inlineStr">
        <is>
          <t>d59</t>
        </is>
      </c>
      <c r="B66" s="13" t="inlineStr">
        <is>
          <t>59 years age of the deceased</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56" t="inlineStr">
        <is>
          <t>d60</t>
        </is>
      </c>
      <c r="B67" s="13" t="inlineStr">
        <is>
          <t>60 years age of the deceased</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56" t="inlineStr">
        <is>
          <t>d61</t>
        </is>
      </c>
      <c r="B68" s="13" t="inlineStr">
        <is>
          <t>61 years age of the deceased</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56" t="inlineStr">
        <is>
          <t>d62</t>
        </is>
      </c>
      <c r="B69" s="13" t="inlineStr">
        <is>
          <t>62 years age of the deceased</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56" t="inlineStr">
        <is>
          <t>d63</t>
        </is>
      </c>
      <c r="B70" s="13" t="inlineStr">
        <is>
          <t>63 years age of the deceased</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56" t="inlineStr">
        <is>
          <t>d64</t>
        </is>
      </c>
      <c r="B71" s="13" t="inlineStr">
        <is>
          <t>64 years age of the deceased</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56" t="inlineStr">
        <is>
          <t>d65</t>
        </is>
      </c>
      <c r="B72" s="13" t="inlineStr">
        <is>
          <t>65 years age of the deceased</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56" t="inlineStr">
        <is>
          <t>d66</t>
        </is>
      </c>
      <c r="B73" s="13" t="inlineStr">
        <is>
          <t>66 years age of the deceased</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56" t="inlineStr">
        <is>
          <t>d67</t>
        </is>
      </c>
      <c r="B74" s="13" t="inlineStr">
        <is>
          <t>67 years age of the deceased</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56" t="inlineStr">
        <is>
          <t>d68</t>
        </is>
      </c>
      <c r="B75" s="13" t="inlineStr">
        <is>
          <t>68 years age of the deceased</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56" t="inlineStr">
        <is>
          <t>d69</t>
        </is>
      </c>
      <c r="B76" s="13" t="inlineStr">
        <is>
          <t>69 years age of the deceased</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56" t="inlineStr">
        <is>
          <t>d70</t>
        </is>
      </c>
      <c r="B77" s="13" t="inlineStr">
        <is>
          <t>70 years age of the deceased</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56" t="inlineStr">
        <is>
          <t>d71</t>
        </is>
      </c>
      <c r="B78" s="13" t="inlineStr">
        <is>
          <t>71 years age of the deceased</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56" t="inlineStr">
        <is>
          <t>d72</t>
        </is>
      </c>
      <c r="B79" s="13" t="inlineStr">
        <is>
          <t>72 years age of the deceased</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56" t="inlineStr">
        <is>
          <t>d73</t>
        </is>
      </c>
      <c r="B80" s="13" t="inlineStr">
        <is>
          <t>73 years age of the deceased</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56" t="inlineStr">
        <is>
          <t>d74</t>
        </is>
      </c>
      <c r="B81" s="13" t="inlineStr">
        <is>
          <t>74 years age of the deceased</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56" t="inlineStr">
        <is>
          <t>d75</t>
        </is>
      </c>
      <c r="B82" s="13" t="inlineStr">
        <is>
          <t>75 years age of the deceased</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56" t="inlineStr">
        <is>
          <t>d76</t>
        </is>
      </c>
      <c r="B83" s="13" t="inlineStr">
        <is>
          <t>76 years age of the deceased</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56" t="inlineStr">
        <is>
          <t>d77</t>
        </is>
      </c>
      <c r="B84" s="13" t="inlineStr">
        <is>
          <t>77 years age of the deceased</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56" t="inlineStr">
        <is>
          <t>d78</t>
        </is>
      </c>
      <c r="B85" s="13" t="inlineStr">
        <is>
          <t>78 years age of the deceased</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56" t="inlineStr">
        <is>
          <t>d79</t>
        </is>
      </c>
      <c r="B86" s="13" t="inlineStr">
        <is>
          <t>79 years age of the deceased</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56" t="inlineStr">
        <is>
          <t>d80</t>
        </is>
      </c>
      <c r="B87" s="13" t="inlineStr">
        <is>
          <t>80 years age of the deceased</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56" t="inlineStr">
        <is>
          <t>d81</t>
        </is>
      </c>
      <c r="B88" s="13" t="inlineStr">
        <is>
          <t>81 years age of the deceased</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56" t="inlineStr">
        <is>
          <t>d82</t>
        </is>
      </c>
      <c r="B89" s="13" t="inlineStr">
        <is>
          <t>82 years age of the deceased</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56" t="inlineStr">
        <is>
          <t>d83</t>
        </is>
      </c>
      <c r="B90" s="13" t="inlineStr">
        <is>
          <t>83 years age of the deceased</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56" t="inlineStr">
        <is>
          <t>d84</t>
        </is>
      </c>
      <c r="B91" s="13" t="inlineStr">
        <is>
          <t>84 years age of the deceased</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56" t="inlineStr">
        <is>
          <t>d85</t>
        </is>
      </c>
      <c r="B92" s="13" t="inlineStr">
        <is>
          <t>85 years age of the deceased</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56" t="inlineStr">
        <is>
          <t>d86</t>
        </is>
      </c>
      <c r="B93" s="13" t="inlineStr">
        <is>
          <t>86 years age of the deceased</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56" t="inlineStr">
        <is>
          <t>d87</t>
        </is>
      </c>
      <c r="B94" s="13" t="inlineStr">
        <is>
          <t>87 years age of the deceased</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56" t="inlineStr">
        <is>
          <t>d88</t>
        </is>
      </c>
      <c r="B95" s="13" t="inlineStr">
        <is>
          <t>88 years age of the deceased</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56" t="inlineStr">
        <is>
          <t>d89</t>
        </is>
      </c>
      <c r="B96" s="13" t="inlineStr">
        <is>
          <t>89 years age of the deceased</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56" t="inlineStr">
        <is>
          <t>d90</t>
        </is>
      </c>
      <c r="B97" s="13" t="inlineStr">
        <is>
          <t>90 years age of the deceased</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56" t="inlineStr">
        <is>
          <t>d91</t>
        </is>
      </c>
      <c r="B98" s="13" t="inlineStr">
        <is>
          <t>91 years age of the deceased</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56" t="inlineStr">
        <is>
          <t>d92</t>
        </is>
      </c>
      <c r="B99" s="13" t="inlineStr">
        <is>
          <t>92 years age of the deceased</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56" t="inlineStr">
        <is>
          <t>d93</t>
        </is>
      </c>
      <c r="B100" s="13" t="inlineStr">
        <is>
          <t>93 years age of the deceased</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56" t="inlineStr">
        <is>
          <t>d94</t>
        </is>
      </c>
      <c r="B101" s="13" t="inlineStr">
        <is>
          <t>94 years age of the deceased</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56" t="inlineStr">
        <is>
          <t>d95</t>
        </is>
      </c>
      <c r="B102" s="13" t="inlineStr">
        <is>
          <t>95 years age of the deceased</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56" t="inlineStr">
        <is>
          <t>d96</t>
        </is>
      </c>
      <c r="B103" s="13" t="inlineStr">
        <is>
          <t>96 years age of the deceased</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56" t="inlineStr">
        <is>
          <t>d97</t>
        </is>
      </c>
      <c r="B104" s="13" t="inlineStr">
        <is>
          <t>97 years age of the deceased</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56" t="inlineStr">
        <is>
          <t>d98</t>
        </is>
      </c>
      <c r="B105" s="13" t="inlineStr">
        <is>
          <t>98 years age of the deceased</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56" t="inlineStr">
        <is>
          <t>d99</t>
        </is>
      </c>
      <c r="B106" s="44" t="inlineStr">
        <is>
          <t>99 years and older age of the deceased</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56" t="inlineStr">
        <is>
          <t>dt</t>
        </is>
      </c>
      <c r="B107" s="34" t="inlineStr">
        <is>
          <t>Total</t>
        </is>
      </c>
      <c r="C107" s="79">
        <f t="array" ref="C107">SUM(C7:C106)</f>
        <v/>
      </c>
      <c r="D107" s="79">
        <f t="array" ref="D107">SUM(D7:D106)</f>
        <v/>
      </c>
      <c r="E107" s="79">
        <f t="array" ref="E107">SUM(E7:E106)</f>
        <v/>
      </c>
      <c r="F107" s="79">
        <f t="array" ref="F107">SUM(F7:F106)</f>
        <v/>
      </c>
      <c r="G107" s="79">
        <f t="array" ref="G107">SUM(G7:G106)</f>
        <v/>
      </c>
      <c r="H107" s="79">
        <f t="array" ref="H107">SUM(H7:H106)</f>
        <v/>
      </c>
      <c r="I107" s="79">
        <f t="array" ref="I107">SUM(I7:I106)</f>
        <v/>
      </c>
      <c r="J107" s="79">
        <f t="array" ref="J107">D107+F107</f>
        <v/>
      </c>
      <c r="K107" s="79">
        <f t="array" ref="K107">E107+G107</f>
        <v/>
      </c>
      <c r="L107" s="81" t="n"/>
    </row>
    <row r="108" ht="20.05" customHeight="1" s="215">
      <c r="A108" s="12" t="n"/>
      <c r="B108" s="28" t="n"/>
      <c r="C108" s="17" t="n"/>
      <c r="D108" s="17" t="n"/>
      <c r="E108" s="17" t="n"/>
      <c r="F108" s="17" t="n"/>
      <c r="G108" s="17" t="n"/>
      <c r="H108" s="17" t="n"/>
      <c r="I108" s="17" t="n"/>
      <c r="J108" s="17" t="n"/>
      <c r="K108" s="17" t="n"/>
      <c r="L108" s="17" t="n"/>
    </row>
    <row r="109" ht="20.05" customHeight="1" s="215">
      <c r="A109" s="56" t="inlineStr">
        <is>
          <t>ds</t>
        </is>
      </c>
      <c r="B109" s="34" t="inlineStr">
        <is>
          <t>Source of the data (verbal)</t>
        </is>
      </c>
      <c r="C109" s="58">
        <f t="array" ref="C109">IF(C110="","?",C110)&amp;IF(C111="","","; downloaded "&amp;C111)&amp;IF(C112="","","; "&amp;C112)</f>
        <v/>
      </c>
      <c r="D109" s="218" t="n"/>
      <c r="E109" s="218" t="n"/>
      <c r="F109" s="218" t="n"/>
      <c r="G109" s="218" t="n"/>
      <c r="H109" s="218" t="n"/>
      <c r="I109" s="218" t="n"/>
      <c r="J109" s="218" t="n"/>
      <c r="K109" s="218" t="n"/>
      <c r="L109" s="17" t="n"/>
    </row>
    <row r="110" ht="20.05" customHeight="1" s="215">
      <c r="A110" s="23" t="n"/>
      <c r="B110" s="34" t="inlineStr">
        <is>
          <t>URLs, where the data was found</t>
        </is>
      </c>
      <c r="C110" s="59" t="inlineStr">
        <is>
          <t>https://opendata.cbs.nl/ODataApi/odata/85449NED/TypedDataSet (Overledenen; geslacht, leeftijd, herkomstland en geboorteland)</t>
        </is>
      </c>
      <c r="D110" s="218" t="n"/>
      <c r="E110" s="218" t="n"/>
      <c r="F110" s="218" t="n"/>
      <c r="G110" s="218" t="n"/>
      <c r="H110" s="218" t="n"/>
      <c r="I110" s="218" t="n"/>
      <c r="J110" s="218" t="n"/>
      <c r="K110" s="218" t="n"/>
      <c r="L110" s="17" t="n"/>
    </row>
    <row r="111" ht="20.05" customHeight="1" s="215">
      <c r="A111" s="37" t="n"/>
      <c r="B111" s="47" t="inlineStr">
        <is>
          <t>Date, when the data was downloaded</t>
        </is>
      </c>
      <c r="C111" s="59" t="inlineStr">
        <is>
          <t>2026-05-26</t>
        </is>
      </c>
      <c r="D111" s="218" t="n"/>
      <c r="E111" s="218" t="n"/>
      <c r="F111" s="218" t="n"/>
      <c r="G111" s="218" t="n"/>
      <c r="H111" s="218" t="n"/>
      <c r="I111" s="218" t="n"/>
      <c r="J111" s="218" t="n"/>
      <c r="K111" s="218" t="n"/>
      <c r="L111" s="17" t="n"/>
    </row>
    <row r="112" ht="20.05" customHeight="1" s="215">
      <c r="A112" s="12" t="n"/>
      <c r="B112" s="13" t="inlineStr">
        <is>
          <t>Manual remarks (not for AI!)</t>
        </is>
      </c>
      <c r="C112" s="57" t="n"/>
      <c r="D112" s="218" t="n"/>
      <c r="E112" s="218" t="n"/>
      <c r="F112" s="218" t="n"/>
      <c r="G112" s="218" t="n"/>
      <c r="H112" s="218" t="n"/>
      <c r="I112" s="218" t="n"/>
      <c r="J112" s="218" t="n"/>
      <c r="K112" s="218" t="n"/>
      <c r="L112" s="17" t="n"/>
    </row>
    <row r="113" ht="20.05" customHeight="1" s="215">
      <c r="A113" s="12" t="n"/>
      <c r="B113" s="13" t="inlineStr">
        <is>
          <t>Remarks of the AI (e.g. calculation)</t>
        </is>
      </c>
      <c r="C113" s="57" t="inlineStr">
        <is>
          <t>Sterbefälle 2024 direkt aus CBS-Würfel 85449NED (Overledenen; Sex × Einzelalter × Herkomstland). Native = Herkomstland NL: 143,834; Migrant = Herkomstland Buiten-NL: 26,501; Total = 170,335. **CBS publiziert die MH-Aufschlüsselung direkt** — kein anteiliges Apportionment via Pop-Struktur nötig (anders als CH-V1, AT-V1, FR-V1, DE-V1 die alle das Apportionment-Workaround nutzten). Methodisch sauberer.</t>
        </is>
      </c>
      <c r="D113" s="218" t="n"/>
      <c r="E113" s="218" t="n"/>
      <c r="F113" s="218" t="n"/>
      <c r="G113" s="218" t="n"/>
      <c r="H113" s="218" t="n"/>
      <c r="I113" s="218" t="n"/>
      <c r="J113" s="218" t="n"/>
      <c r="K113" s="218" t="n"/>
      <c r="L113" s="17" t="n"/>
    </row>
    <row r="114" ht="20.05" customHeight="1" s="215">
      <c r="A114" s="12" t="n"/>
      <c r="B114" s="13" t="inlineStr">
        <is>
          <t>Internal remarks</t>
        </is>
      </c>
      <c r="C114" s="57" t="n"/>
      <c r="D114" s="218" t="n"/>
      <c r="E114" s="218" t="n"/>
      <c r="F114" s="218" t="n"/>
      <c r="G114" s="218" t="n"/>
      <c r="H114" s="218" t="n"/>
      <c r="I114" s="218" t="n"/>
      <c r="J114" s="218" t="n"/>
      <c r="K114" s="218" t="n"/>
      <c r="L114" s="17" t="n"/>
    </row>
    <row r="115" ht="20.05" customHeight="1" s="215">
      <c r="A115" s="23" t="n"/>
      <c r="B115" s="24" t="n"/>
      <c r="C115" s="17" t="n"/>
      <c r="D115" s="17" t="n"/>
      <c r="E115" s="17" t="n"/>
      <c r="F115" s="17" t="n"/>
      <c r="G115" s="17" t="n"/>
      <c r="H115" s="17" t="n"/>
      <c r="I115" s="17" t="n"/>
      <c r="J115" s="17" t="n"/>
      <c r="K115" s="17" t="n"/>
      <c r="L115" s="17" t="n"/>
    </row>
    <row r="116" ht="33.35" customHeight="1" s="215">
      <c r="A116" s="130" t="n"/>
      <c r="B116" s="131" t="inlineStr">
        <is>
          <t>✏️</t>
        </is>
      </c>
      <c r="C116" s="132" t="inlineStr">
        <is>
          <t>Enter your data below and make sure that you adjust the formulas above, if necessary.  If calculations are necessary, use the fields below for it and use formulas in the area above, to fill in the fields above exactly as intended.</t>
        </is>
      </c>
      <c r="D116" s="218" t="n"/>
      <c r="E116" s="218" t="n"/>
      <c r="F116" s="218" t="n"/>
      <c r="G116" s="218" t="n"/>
      <c r="H116" s="218" t="n"/>
      <c r="I116" s="218" t="n"/>
      <c r="J116" s="218" t="n"/>
      <c r="K116" s="218" t="n"/>
      <c r="L116" s="83" t="n"/>
    </row>
    <row r="117" ht="26.85" customHeight="1" s="215">
      <c r="A117" s="133" t="n"/>
      <c r="B117" s="134" t="inlineStr">
        <is>
          <t>Deaths</t>
        </is>
      </c>
      <c r="C117" s="230" t="inlineStr">
        <is>
          <t>Calculation of the deaths</t>
        </is>
      </c>
      <c r="D117" s="218" t="n"/>
      <c r="E117" s="218" t="n"/>
      <c r="F117" s="218" t="n"/>
      <c r="G117" s="218" t="n"/>
      <c r="H117" s="218" t="n"/>
      <c r="I117" s="218" t="n"/>
      <c r="J117" s="218" t="n"/>
      <c r="K117" s="231" t="n"/>
      <c r="L117" s="137" t="n"/>
    </row>
    <row r="118" ht="20.35" customHeight="1" s="215">
      <c r="A118" s="138" t="n"/>
      <c r="B118" s="139" t="n"/>
      <c r="C118" s="140" t="n"/>
      <c r="D118" s="141" t="n"/>
      <c r="E118" s="141" t="n"/>
      <c r="F118" s="141" t="n"/>
      <c r="G118" s="141" t="n"/>
      <c r="H118" s="142" t="n"/>
      <c r="I118" s="87" t="n"/>
      <c r="J118" s="87" t="n"/>
      <c r="K118" s="87" t="n"/>
      <c r="L118" s="87" t="n"/>
    </row>
    <row r="119" ht="20.7" customHeight="1" s="215">
      <c r="A119" s="120" t="n"/>
      <c r="B119" s="143" t="inlineStr">
        <is>
          <t>0 years</t>
        </is>
      </c>
      <c r="C119" s="144" t="n"/>
      <c r="D119" s="232" t="n">
        <v>167</v>
      </c>
      <c r="E119" s="232" t="n">
        <v>195</v>
      </c>
      <c r="F119" s="232" t="n">
        <v>65</v>
      </c>
      <c r="G119" s="232" t="n">
        <v>81</v>
      </c>
      <c r="H119" s="146" t="n"/>
      <c r="I119" s="87" t="n"/>
      <c r="J119" s="87" t="n"/>
      <c r="K119" s="87" t="n"/>
      <c r="L119" s="87" t="n"/>
    </row>
    <row r="120" ht="20.7" customHeight="1" s="215">
      <c r="A120" s="120" t="n"/>
      <c r="B120" s="143" t="inlineStr">
        <is>
          <t>1 years</t>
        </is>
      </c>
      <c r="C120" s="144" t="n"/>
      <c r="D120" s="232" t="n">
        <v>13</v>
      </c>
      <c r="E120" s="232" t="n">
        <v>24</v>
      </c>
      <c r="F120" s="232" t="n">
        <v>10</v>
      </c>
      <c r="G120" s="232" t="n">
        <v>6</v>
      </c>
      <c r="H120" s="146" t="n"/>
      <c r="I120" s="87" t="n"/>
      <c r="J120" s="87" t="n"/>
      <c r="K120" s="87" t="n"/>
      <c r="L120" s="87" t="n"/>
    </row>
    <row r="121" ht="20.7" customHeight="1" s="215">
      <c r="A121" s="120" t="n"/>
      <c r="B121" s="143" t="inlineStr">
        <is>
          <t>2 years</t>
        </is>
      </c>
      <c r="C121" s="144" t="n"/>
      <c r="D121" s="232" t="n">
        <v>8</v>
      </c>
      <c r="E121" s="232" t="n">
        <v>10</v>
      </c>
      <c r="F121" s="232" t="n">
        <v>9</v>
      </c>
      <c r="G121" s="232" t="n">
        <v>6</v>
      </c>
      <c r="H121" s="146" t="n"/>
      <c r="I121" s="87" t="n"/>
      <c r="J121" s="87" t="n"/>
      <c r="K121" s="87" t="n"/>
      <c r="L121" s="87" t="n"/>
    </row>
    <row r="122" ht="20.7" customHeight="1" s="215">
      <c r="A122" s="120" t="n"/>
      <c r="B122" s="143" t="inlineStr">
        <is>
          <t>3 years</t>
        </is>
      </c>
      <c r="C122" s="144" t="n"/>
      <c r="D122" s="232" t="n">
        <v>4</v>
      </c>
      <c r="E122" s="232" t="n">
        <v>11</v>
      </c>
      <c r="F122" s="232" t="n">
        <v>3</v>
      </c>
      <c r="G122" s="232" t="n">
        <v>5</v>
      </c>
      <c r="H122" s="146" t="n"/>
      <c r="I122" s="87" t="n"/>
      <c r="J122" s="87" t="n"/>
      <c r="K122" s="87" t="n"/>
      <c r="L122" s="87" t="n"/>
    </row>
    <row r="123" ht="20.7" customHeight="1" s="215">
      <c r="A123" s="120" t="n"/>
      <c r="B123" s="143" t="inlineStr">
        <is>
          <t>4 years</t>
        </is>
      </c>
      <c r="C123" s="144" t="n"/>
      <c r="D123" s="232" t="n">
        <v>2</v>
      </c>
      <c r="E123" s="232" t="n">
        <v>6</v>
      </c>
      <c r="F123" s="232" t="n">
        <v>1</v>
      </c>
      <c r="G123" s="232" t="n">
        <v>6</v>
      </c>
      <c r="H123" s="146" t="n"/>
      <c r="I123" s="87" t="n"/>
      <c r="J123" s="87" t="n"/>
      <c r="K123" s="87" t="n"/>
      <c r="L123" s="87" t="n"/>
    </row>
    <row r="124" ht="20.7" customHeight="1" s="215">
      <c r="A124" s="120" t="n"/>
      <c r="B124" s="143" t="inlineStr">
        <is>
          <t>5 years</t>
        </is>
      </c>
      <c r="C124" s="144" t="n"/>
      <c r="D124" s="232" t="n">
        <v>4</v>
      </c>
      <c r="E124" s="232" t="n">
        <v>2</v>
      </c>
      <c r="F124" s="232" t="n">
        <v>1</v>
      </c>
      <c r="G124" s="232" t="n">
        <v>3</v>
      </c>
      <c r="H124" s="146" t="n"/>
      <c r="I124" s="87" t="n"/>
      <c r="J124" s="87" t="n"/>
      <c r="K124" s="87" t="n"/>
      <c r="L124" s="87" t="n"/>
    </row>
    <row r="125" ht="20.7" customHeight="1" s="215">
      <c r="A125" s="120" t="n"/>
      <c r="B125" s="143" t="inlineStr">
        <is>
          <t>6 years</t>
        </is>
      </c>
      <c r="C125" s="144" t="n"/>
      <c r="D125" s="232" t="n">
        <v>2</v>
      </c>
      <c r="E125" s="232" t="n">
        <v>3</v>
      </c>
      <c r="F125" s="232" t="n">
        <v>1</v>
      </c>
      <c r="G125" s="232" t="n">
        <v>2</v>
      </c>
      <c r="H125" s="146" t="n"/>
      <c r="I125" s="87" t="n"/>
      <c r="J125" s="87" t="n"/>
      <c r="K125" s="87" t="n"/>
      <c r="L125" s="87" t="n"/>
    </row>
    <row r="126" ht="20.7" customHeight="1" s="215">
      <c r="A126" s="120" t="n"/>
      <c r="B126" s="143" t="inlineStr">
        <is>
          <t>7 years</t>
        </is>
      </c>
      <c r="C126" s="144" t="n"/>
      <c r="D126" s="232" t="n">
        <v>2</v>
      </c>
      <c r="E126" s="232" t="n">
        <v>4</v>
      </c>
      <c r="F126" s="232" t="n">
        <v>3</v>
      </c>
      <c r="G126" s="232" t="n">
        <v>5</v>
      </c>
      <c r="H126" s="146" t="n"/>
      <c r="I126" s="87" t="n"/>
      <c r="J126" s="87" t="n"/>
      <c r="K126" s="87" t="n"/>
      <c r="L126" s="87" t="n"/>
    </row>
    <row r="127" ht="20.7" customHeight="1" s="215">
      <c r="A127" s="120" t="n"/>
      <c r="B127" s="143" t="inlineStr">
        <is>
          <t>8 years</t>
        </is>
      </c>
      <c r="C127" s="144" t="n"/>
      <c r="D127" s="232" t="n">
        <v>3</v>
      </c>
      <c r="E127" s="232" t="n">
        <v>6</v>
      </c>
      <c r="F127" s="232" t="n">
        <v>4</v>
      </c>
      <c r="G127" s="232" t="n">
        <v>5</v>
      </c>
      <c r="H127" s="146" t="n"/>
      <c r="I127" s="87" t="n"/>
      <c r="J127" s="87" t="n"/>
      <c r="K127" s="87" t="n"/>
      <c r="L127" s="87" t="n"/>
    </row>
    <row r="128" ht="20.7" customHeight="1" s="215">
      <c r="A128" s="120" t="n"/>
      <c r="B128" s="143" t="inlineStr">
        <is>
          <t>9 years</t>
        </is>
      </c>
      <c r="C128" s="144" t="n"/>
      <c r="D128" s="232" t="n">
        <v>3</v>
      </c>
      <c r="E128" s="232" t="n">
        <v>7</v>
      </c>
      <c r="F128" s="232" t="n">
        <v>5</v>
      </c>
      <c r="G128" s="232" t="n">
        <v>3</v>
      </c>
      <c r="H128" s="146" t="n"/>
      <c r="I128" s="87" t="n"/>
      <c r="J128" s="87" t="n"/>
      <c r="K128" s="87" t="n"/>
      <c r="L128" s="87" t="n"/>
    </row>
    <row r="129" ht="20.7" customHeight="1" s="215">
      <c r="A129" s="120" t="n"/>
      <c r="B129" s="143" t="inlineStr">
        <is>
          <t>10 years</t>
        </is>
      </c>
      <c r="C129" s="144" t="n"/>
      <c r="D129" s="232" t="n">
        <v>4</v>
      </c>
      <c r="E129" s="232" t="n">
        <v>6</v>
      </c>
      <c r="F129" s="232" t="n">
        <v>2</v>
      </c>
      <c r="G129" s="232" t="n">
        <v>3</v>
      </c>
      <c r="H129" s="146" t="n"/>
      <c r="I129" s="87" t="n"/>
      <c r="J129" s="87" t="n"/>
      <c r="K129" s="87" t="n"/>
      <c r="L129" s="87" t="n"/>
    </row>
    <row r="130" ht="20.7" customHeight="1" s="215">
      <c r="A130" s="120" t="n"/>
      <c r="B130" s="143" t="inlineStr">
        <is>
          <t>11 years</t>
        </is>
      </c>
      <c r="C130" s="144" t="n"/>
      <c r="D130" s="232" t="n">
        <v>9</v>
      </c>
      <c r="E130" s="232" t="n">
        <v>9</v>
      </c>
      <c r="F130" s="232" t="n">
        <v>5</v>
      </c>
      <c r="G130" s="232" t="n">
        <v>3</v>
      </c>
      <c r="H130" s="146" t="n"/>
      <c r="I130" s="87" t="n"/>
      <c r="J130" s="87" t="n"/>
      <c r="K130" s="87" t="n"/>
      <c r="L130" s="87" t="n"/>
    </row>
    <row r="131" ht="20.7" customHeight="1" s="215">
      <c r="A131" s="120" t="n"/>
      <c r="B131" s="143" t="inlineStr">
        <is>
          <t>12 years</t>
        </is>
      </c>
      <c r="C131" s="144" t="n"/>
      <c r="D131" s="232" t="n">
        <v>3</v>
      </c>
      <c r="E131" s="232" t="n">
        <v>4</v>
      </c>
      <c r="F131" s="232" t="n">
        <v>2</v>
      </c>
      <c r="G131" s="232" t="n">
        <v>4</v>
      </c>
      <c r="H131" s="146" t="n"/>
      <c r="I131" s="87" t="n"/>
      <c r="J131" s="87" t="n"/>
      <c r="K131" s="87" t="n"/>
      <c r="L131" s="87" t="n"/>
    </row>
    <row r="132" ht="20.7" customHeight="1" s="215">
      <c r="A132" s="120" t="n"/>
      <c r="B132" s="143" t="inlineStr">
        <is>
          <t>13 years</t>
        </is>
      </c>
      <c r="C132" s="144" t="n"/>
      <c r="D132" s="232" t="n">
        <v>6</v>
      </c>
      <c r="E132" s="232" t="n">
        <v>5</v>
      </c>
      <c r="F132" s="232" t="n">
        <v>1</v>
      </c>
      <c r="G132" s="232" t="n">
        <v>4</v>
      </c>
      <c r="H132" s="146" t="n"/>
      <c r="I132" s="87" t="n"/>
      <c r="J132" s="87" t="n"/>
      <c r="K132" s="87" t="n"/>
      <c r="L132" s="87" t="n"/>
    </row>
    <row r="133" ht="20.7" customHeight="1" s="215">
      <c r="A133" s="120" t="n"/>
      <c r="B133" s="143" t="inlineStr">
        <is>
          <t>14 years</t>
        </is>
      </c>
      <c r="C133" s="144" t="n"/>
      <c r="D133" s="232" t="n">
        <v>5</v>
      </c>
      <c r="E133" s="232" t="n">
        <v>11</v>
      </c>
      <c r="F133" s="232" t="n">
        <v>5</v>
      </c>
      <c r="G133" s="232" t="n">
        <v>3</v>
      </c>
      <c r="H133" s="146" t="n"/>
      <c r="I133" s="87" t="n"/>
      <c r="J133" s="87" t="n"/>
      <c r="K133" s="87" t="n"/>
      <c r="L133" s="87" t="n"/>
    </row>
    <row r="134" ht="20.7" customHeight="1" s="215">
      <c r="A134" s="120" t="n"/>
      <c r="B134" s="143" t="inlineStr">
        <is>
          <t>15 years</t>
        </is>
      </c>
      <c r="C134" s="144" t="n"/>
      <c r="D134" s="232" t="n">
        <v>11</v>
      </c>
      <c r="E134" s="232" t="n">
        <v>14</v>
      </c>
      <c r="F134" s="232" t="n">
        <v>3</v>
      </c>
      <c r="G134" s="232" t="n">
        <v>2</v>
      </c>
      <c r="H134" s="146" t="n"/>
      <c r="I134" s="87" t="n"/>
      <c r="J134" s="87" t="n"/>
      <c r="K134" s="87" t="n"/>
      <c r="L134" s="87" t="n"/>
    </row>
    <row r="135" ht="20.7" customHeight="1" s="215">
      <c r="A135" s="120" t="n"/>
      <c r="B135" s="143" t="inlineStr">
        <is>
          <t>16 years</t>
        </is>
      </c>
      <c r="C135" s="144" t="n"/>
      <c r="D135" s="232" t="n">
        <v>9</v>
      </c>
      <c r="E135" s="232" t="n">
        <v>9</v>
      </c>
      <c r="F135" s="232" t="n">
        <v>4</v>
      </c>
      <c r="G135" s="232" t="n">
        <v>8</v>
      </c>
      <c r="H135" s="146" t="n"/>
      <c r="I135" s="87" t="n"/>
      <c r="J135" s="87" t="n"/>
      <c r="K135" s="87" t="n"/>
      <c r="L135" s="87" t="n"/>
    </row>
    <row r="136" ht="20.7" customHeight="1" s="215">
      <c r="A136" s="120" t="n"/>
      <c r="B136" s="143" t="inlineStr">
        <is>
          <t>17 years</t>
        </is>
      </c>
      <c r="C136" s="144" t="n"/>
      <c r="D136" s="232" t="n">
        <v>6</v>
      </c>
      <c r="E136" s="232" t="n">
        <v>14</v>
      </c>
      <c r="F136" s="232" t="n">
        <v>4</v>
      </c>
      <c r="G136" s="232" t="n">
        <v>10</v>
      </c>
      <c r="H136" s="146" t="n"/>
      <c r="I136" s="87" t="n"/>
      <c r="J136" s="87" t="n"/>
      <c r="K136" s="87" t="n"/>
      <c r="L136" s="87" t="n"/>
    </row>
    <row r="137" ht="20.7" customHeight="1" s="215">
      <c r="A137" s="120" t="n"/>
      <c r="B137" s="143" t="inlineStr">
        <is>
          <t>18 years</t>
        </is>
      </c>
      <c r="C137" s="144" t="n"/>
      <c r="D137" s="232" t="n">
        <v>10</v>
      </c>
      <c r="E137" s="232" t="n">
        <v>19</v>
      </c>
      <c r="F137" s="232" t="n">
        <v>9</v>
      </c>
      <c r="G137" s="232" t="n">
        <v>8</v>
      </c>
      <c r="H137" s="146" t="n"/>
      <c r="I137" s="87" t="n"/>
      <c r="J137" s="87" t="n"/>
      <c r="K137" s="87" t="n"/>
      <c r="L137" s="87" t="n"/>
    </row>
    <row r="138" ht="20.7" customHeight="1" s="215">
      <c r="A138" s="120" t="n"/>
      <c r="B138" s="143" t="inlineStr">
        <is>
          <t>19 years</t>
        </is>
      </c>
      <c r="C138" s="144" t="n"/>
      <c r="D138" s="232" t="n">
        <v>15</v>
      </c>
      <c r="E138" s="232" t="n">
        <v>19</v>
      </c>
      <c r="F138" s="232" t="n">
        <v>9</v>
      </c>
      <c r="G138" s="232" t="n">
        <v>11</v>
      </c>
      <c r="H138" s="146" t="n"/>
      <c r="I138" s="87" t="n"/>
      <c r="J138" s="87" t="n"/>
      <c r="K138" s="87" t="n"/>
      <c r="L138" s="87" t="n"/>
    </row>
    <row r="139" ht="20.7" customHeight="1" s="215">
      <c r="A139" s="120" t="n"/>
      <c r="B139" s="143" t="inlineStr">
        <is>
          <t>20 years</t>
        </is>
      </c>
      <c r="C139" s="144" t="n"/>
      <c r="D139" s="232" t="n">
        <v>7</v>
      </c>
      <c r="E139" s="232" t="n">
        <v>32</v>
      </c>
      <c r="F139" s="232" t="n">
        <v>7</v>
      </c>
      <c r="G139" s="232" t="n">
        <v>11</v>
      </c>
      <c r="H139" s="146" t="n"/>
      <c r="I139" s="87" t="n"/>
      <c r="J139" s="87" t="n"/>
      <c r="K139" s="87" t="n"/>
      <c r="L139" s="87" t="n"/>
    </row>
    <row r="140" ht="20.7" customHeight="1" s="215">
      <c r="A140" s="120" t="n"/>
      <c r="B140" s="143" t="inlineStr">
        <is>
          <t>21 years</t>
        </is>
      </c>
      <c r="C140" s="144" t="n"/>
      <c r="D140" s="232" t="n">
        <v>12</v>
      </c>
      <c r="E140" s="232" t="n">
        <v>28</v>
      </c>
      <c r="F140" s="232" t="n">
        <v>6</v>
      </c>
      <c r="G140" s="232" t="n">
        <v>18</v>
      </c>
      <c r="H140" s="146" t="n"/>
      <c r="I140" s="87" t="n"/>
      <c r="J140" s="87" t="n"/>
      <c r="K140" s="87" t="n"/>
      <c r="L140" s="87" t="n"/>
    </row>
    <row r="141" ht="20.7" customHeight="1" s="215">
      <c r="A141" s="120" t="n"/>
      <c r="B141" s="143" t="inlineStr">
        <is>
          <t>22 years</t>
        </is>
      </c>
      <c r="C141" s="144" t="n"/>
      <c r="D141" s="232" t="n">
        <v>15</v>
      </c>
      <c r="E141" s="232" t="n">
        <v>35</v>
      </c>
      <c r="F141" s="232" t="n">
        <v>9</v>
      </c>
      <c r="G141" s="232" t="n">
        <v>13</v>
      </c>
      <c r="H141" s="146" t="n"/>
      <c r="I141" s="87" t="n"/>
      <c r="J141" s="87" t="n"/>
      <c r="K141" s="87" t="n"/>
      <c r="L141" s="87" t="n"/>
    </row>
    <row r="142" ht="20.7" customHeight="1" s="215">
      <c r="A142" s="120" t="n"/>
      <c r="B142" s="143" t="inlineStr">
        <is>
          <t>23 years</t>
        </is>
      </c>
      <c r="C142" s="144" t="n"/>
      <c r="D142" s="232" t="n">
        <v>23</v>
      </c>
      <c r="E142" s="232" t="n">
        <v>27</v>
      </c>
      <c r="F142" s="232" t="n">
        <v>6</v>
      </c>
      <c r="G142" s="232" t="n">
        <v>16</v>
      </c>
      <c r="H142" s="146" t="n"/>
      <c r="I142" s="87" t="n"/>
      <c r="J142" s="87" t="n"/>
      <c r="K142" s="87" t="n"/>
      <c r="L142" s="87" t="n"/>
    </row>
    <row r="143" ht="20.7" customHeight="1" s="215">
      <c r="A143" s="120" t="n"/>
      <c r="B143" s="143" t="inlineStr">
        <is>
          <t>24 years</t>
        </is>
      </c>
      <c r="C143" s="144" t="n"/>
      <c r="D143" s="232" t="n">
        <v>20</v>
      </c>
      <c r="E143" s="232" t="n">
        <v>31</v>
      </c>
      <c r="F143" s="232" t="n">
        <v>3</v>
      </c>
      <c r="G143" s="232" t="n">
        <v>12</v>
      </c>
      <c r="H143" s="146" t="n"/>
      <c r="I143" s="87" t="n"/>
      <c r="J143" s="87" t="n"/>
      <c r="K143" s="87" t="n"/>
      <c r="L143" s="87" t="n"/>
    </row>
    <row r="144" ht="20.7" customHeight="1" s="215">
      <c r="A144" s="120" t="n"/>
      <c r="B144" s="143" t="inlineStr">
        <is>
          <t>25 years</t>
        </is>
      </c>
      <c r="C144" s="144" t="n"/>
      <c r="D144" s="232" t="n">
        <v>17</v>
      </c>
      <c r="E144" s="232" t="n">
        <v>39</v>
      </c>
      <c r="F144" s="232" t="n">
        <v>12</v>
      </c>
      <c r="G144" s="232" t="n">
        <v>17</v>
      </c>
      <c r="H144" s="146" t="n"/>
      <c r="I144" s="87" t="n"/>
      <c r="J144" s="87" t="n"/>
      <c r="K144" s="87" t="n"/>
      <c r="L144" s="87" t="n"/>
    </row>
    <row r="145" ht="20.7" customHeight="1" s="215">
      <c r="A145" s="120" t="n"/>
      <c r="B145" s="143" t="inlineStr">
        <is>
          <t>26 years</t>
        </is>
      </c>
      <c r="C145" s="144" t="n"/>
      <c r="D145" s="232" t="n">
        <v>19</v>
      </c>
      <c r="E145" s="232" t="n">
        <v>24</v>
      </c>
      <c r="F145" s="232" t="n">
        <v>5</v>
      </c>
      <c r="G145" s="232" t="n">
        <v>17</v>
      </c>
      <c r="H145" s="146" t="n"/>
      <c r="I145" s="87" t="n"/>
      <c r="J145" s="87" t="n"/>
      <c r="K145" s="87" t="n"/>
      <c r="L145" s="87" t="n"/>
    </row>
    <row r="146" ht="20.7" customHeight="1" s="215">
      <c r="A146" s="120" t="n"/>
      <c r="B146" s="143" t="inlineStr">
        <is>
          <t>27 years</t>
        </is>
      </c>
      <c r="C146" s="144" t="n"/>
      <c r="D146" s="232" t="n">
        <v>17</v>
      </c>
      <c r="E146" s="232" t="n">
        <v>26</v>
      </c>
      <c r="F146" s="232" t="n">
        <v>7</v>
      </c>
      <c r="G146" s="232" t="n">
        <v>20</v>
      </c>
      <c r="H146" s="146" t="n"/>
      <c r="I146" s="87" t="n"/>
      <c r="J146" s="87" t="n"/>
      <c r="K146" s="87" t="n"/>
      <c r="L146" s="87" t="n"/>
    </row>
    <row r="147" ht="20.7" customHeight="1" s="215">
      <c r="A147" s="120" t="n"/>
      <c r="B147" s="143" t="inlineStr">
        <is>
          <t>28 years</t>
        </is>
      </c>
      <c r="C147" s="144" t="n"/>
      <c r="D147" s="232" t="n">
        <v>29</v>
      </c>
      <c r="E147" s="232" t="n">
        <v>24</v>
      </c>
      <c r="F147" s="232" t="n">
        <v>15</v>
      </c>
      <c r="G147" s="232" t="n">
        <v>20</v>
      </c>
      <c r="H147" s="146" t="n"/>
      <c r="I147" s="87" t="n"/>
      <c r="J147" s="87" t="n"/>
      <c r="K147" s="87" t="n"/>
      <c r="L147" s="87" t="n"/>
    </row>
    <row r="148" ht="20.7" customHeight="1" s="215">
      <c r="A148" s="120" t="n"/>
      <c r="B148" s="143" t="inlineStr">
        <is>
          <t>29 years</t>
        </is>
      </c>
      <c r="C148" s="144" t="n"/>
      <c r="D148" s="232" t="n">
        <v>30</v>
      </c>
      <c r="E148" s="232" t="n">
        <v>42</v>
      </c>
      <c r="F148" s="232" t="n">
        <v>9</v>
      </c>
      <c r="G148" s="232" t="n">
        <v>21</v>
      </c>
      <c r="H148" s="146" t="n"/>
      <c r="I148" s="87" t="n"/>
      <c r="J148" s="87" t="n"/>
      <c r="K148" s="87" t="n"/>
      <c r="L148" s="87" t="n"/>
    </row>
    <row r="149" ht="20.7" customHeight="1" s="215">
      <c r="A149" s="120" t="n"/>
      <c r="B149" s="143" t="inlineStr">
        <is>
          <t>30 years</t>
        </is>
      </c>
      <c r="C149" s="144" t="n"/>
      <c r="D149" s="232" t="n">
        <v>23</v>
      </c>
      <c r="E149" s="232" t="n">
        <v>28</v>
      </c>
      <c r="F149" s="232" t="n">
        <v>15</v>
      </c>
      <c r="G149" s="232" t="n">
        <v>22</v>
      </c>
      <c r="H149" s="146" t="n"/>
      <c r="I149" s="87" t="n"/>
      <c r="J149" s="87" t="n"/>
      <c r="K149" s="87" t="n"/>
      <c r="L149" s="87" t="n"/>
    </row>
    <row r="150" ht="20.7" customHeight="1" s="215">
      <c r="A150" s="120" t="n"/>
      <c r="B150" s="143" t="inlineStr">
        <is>
          <t>31 years</t>
        </is>
      </c>
      <c r="C150" s="144" t="n"/>
      <c r="D150" s="232" t="n">
        <v>21</v>
      </c>
      <c r="E150" s="232" t="n">
        <v>30</v>
      </c>
      <c r="F150" s="232" t="n">
        <v>13</v>
      </c>
      <c r="G150" s="232" t="n">
        <v>33</v>
      </c>
      <c r="H150" s="146" t="n"/>
      <c r="I150" s="87" t="n"/>
      <c r="J150" s="87" t="n"/>
      <c r="K150" s="87" t="n"/>
      <c r="L150" s="87" t="n"/>
    </row>
    <row r="151" ht="20.7" customHeight="1" s="215">
      <c r="A151" s="120" t="n"/>
      <c r="B151" s="143" t="inlineStr">
        <is>
          <t>32 years</t>
        </is>
      </c>
      <c r="C151" s="144" t="n"/>
      <c r="D151" s="232" t="n">
        <v>29</v>
      </c>
      <c r="E151" s="232" t="n">
        <v>29</v>
      </c>
      <c r="F151" s="232" t="n">
        <v>15</v>
      </c>
      <c r="G151" s="232" t="n">
        <v>42</v>
      </c>
      <c r="H151" s="146" t="n"/>
      <c r="I151" s="87" t="n"/>
      <c r="J151" s="87" t="n"/>
      <c r="K151" s="87" t="n"/>
      <c r="L151" s="87" t="n"/>
    </row>
    <row r="152" ht="20.7" customHeight="1" s="215">
      <c r="A152" s="120" t="n"/>
      <c r="B152" s="143" t="inlineStr">
        <is>
          <t>33 years</t>
        </is>
      </c>
      <c r="C152" s="144" t="n"/>
      <c r="D152" s="232" t="n">
        <v>28</v>
      </c>
      <c r="E152" s="232" t="n">
        <v>32</v>
      </c>
      <c r="F152" s="232" t="n">
        <v>9</v>
      </c>
      <c r="G152" s="232" t="n">
        <v>36</v>
      </c>
      <c r="H152" s="146" t="n"/>
      <c r="I152" s="87" t="n"/>
      <c r="J152" s="87" t="n"/>
      <c r="K152" s="87" t="n"/>
      <c r="L152" s="87" t="n"/>
    </row>
    <row r="153" ht="20.7" customHeight="1" s="215">
      <c r="A153" s="120" t="n"/>
      <c r="B153" s="143" t="inlineStr">
        <is>
          <t>34 years</t>
        </is>
      </c>
      <c r="C153" s="144" t="n"/>
      <c r="D153" s="232" t="n">
        <v>44</v>
      </c>
      <c r="E153" s="232" t="n">
        <v>42</v>
      </c>
      <c r="F153" s="232" t="n">
        <v>16</v>
      </c>
      <c r="G153" s="232" t="n">
        <v>31</v>
      </c>
      <c r="H153" s="146" t="n"/>
      <c r="I153" s="87" t="n"/>
      <c r="J153" s="87" t="n"/>
      <c r="K153" s="87" t="n"/>
      <c r="L153" s="87" t="n"/>
    </row>
    <row r="154" ht="20.7" customHeight="1" s="215">
      <c r="A154" s="120" t="n"/>
      <c r="B154" s="143" t="inlineStr">
        <is>
          <t>35 years</t>
        </is>
      </c>
      <c r="C154" s="144" t="n"/>
      <c r="D154" s="232" t="n">
        <v>35</v>
      </c>
      <c r="E154" s="232" t="n">
        <v>42</v>
      </c>
      <c r="F154" s="232" t="n">
        <v>17</v>
      </c>
      <c r="G154" s="232" t="n">
        <v>37</v>
      </c>
      <c r="H154" s="146" t="n"/>
      <c r="I154" s="87" t="n"/>
      <c r="J154" s="87" t="n"/>
      <c r="K154" s="87" t="n"/>
      <c r="L154" s="87" t="n"/>
    </row>
    <row r="155" ht="20.7" customHeight="1" s="215">
      <c r="A155" s="120" t="n"/>
      <c r="B155" s="143" t="inlineStr">
        <is>
          <t>36 years</t>
        </is>
      </c>
      <c r="C155" s="144" t="n"/>
      <c r="D155" s="232" t="n">
        <v>33</v>
      </c>
      <c r="E155" s="232" t="n">
        <v>58</v>
      </c>
      <c r="F155" s="232" t="n">
        <v>19</v>
      </c>
      <c r="G155" s="232" t="n">
        <v>38</v>
      </c>
      <c r="H155" s="146" t="n"/>
      <c r="I155" s="87" t="n"/>
      <c r="J155" s="87" t="n"/>
      <c r="K155" s="87" t="n"/>
      <c r="L155" s="87" t="n"/>
    </row>
    <row r="156" ht="20.7" customHeight="1" s="215">
      <c r="A156" s="120" t="n"/>
      <c r="B156" s="143" t="inlineStr">
        <is>
          <t>37 years</t>
        </is>
      </c>
      <c r="C156" s="144" t="n"/>
      <c r="D156" s="232" t="n">
        <v>35</v>
      </c>
      <c r="E156" s="232" t="n">
        <v>59</v>
      </c>
      <c r="F156" s="232" t="n">
        <v>27</v>
      </c>
      <c r="G156" s="232" t="n">
        <v>35</v>
      </c>
      <c r="H156" s="146" t="n"/>
      <c r="I156" s="87" t="n"/>
      <c r="J156" s="87" t="n"/>
      <c r="K156" s="87" t="n"/>
      <c r="L156" s="87" t="n"/>
    </row>
    <row r="157" ht="20.7" customHeight="1" s="215">
      <c r="A157" s="120" t="n"/>
      <c r="B157" s="143" t="inlineStr">
        <is>
          <t>38 years</t>
        </is>
      </c>
      <c r="C157" s="144" t="n"/>
      <c r="D157" s="232" t="n">
        <v>31</v>
      </c>
      <c r="E157" s="232" t="n">
        <v>49</v>
      </c>
      <c r="F157" s="232" t="n">
        <v>22</v>
      </c>
      <c r="G157" s="232" t="n">
        <v>45</v>
      </c>
      <c r="H157" s="146" t="n"/>
      <c r="I157" s="87" t="n"/>
      <c r="J157" s="87" t="n"/>
      <c r="K157" s="87" t="n"/>
      <c r="L157" s="87" t="n"/>
    </row>
    <row r="158" ht="20.7" customHeight="1" s="215">
      <c r="A158" s="120" t="n"/>
      <c r="B158" s="143" t="inlineStr">
        <is>
          <t>39 years</t>
        </is>
      </c>
      <c r="C158" s="144" t="n"/>
      <c r="D158" s="232" t="n">
        <v>39</v>
      </c>
      <c r="E158" s="232" t="n">
        <v>59</v>
      </c>
      <c r="F158" s="232" t="n">
        <v>28</v>
      </c>
      <c r="G158" s="232" t="n">
        <v>41</v>
      </c>
      <c r="H158" s="146" t="n"/>
      <c r="I158" s="87" t="n"/>
      <c r="J158" s="87" t="n"/>
      <c r="K158" s="87" t="n"/>
      <c r="L158" s="87" t="n"/>
    </row>
    <row r="159" ht="20.7" customHeight="1" s="215">
      <c r="A159" s="120" t="n"/>
      <c r="B159" s="143" t="inlineStr">
        <is>
          <t>40 years</t>
        </is>
      </c>
      <c r="C159" s="144" t="n"/>
      <c r="D159" s="232" t="n">
        <v>39</v>
      </c>
      <c r="E159" s="232" t="n">
        <v>69</v>
      </c>
      <c r="F159" s="232" t="n">
        <v>30</v>
      </c>
      <c r="G159" s="232" t="n">
        <v>42</v>
      </c>
      <c r="H159" s="146" t="n"/>
      <c r="I159" s="87" t="n"/>
      <c r="J159" s="87" t="n"/>
      <c r="K159" s="87" t="n"/>
      <c r="L159" s="87" t="n"/>
    </row>
    <row r="160" ht="20.7" customHeight="1" s="215">
      <c r="A160" s="120" t="n"/>
      <c r="B160" s="143" t="inlineStr">
        <is>
          <t>41 years</t>
        </is>
      </c>
      <c r="C160" s="144" t="n"/>
      <c r="D160" s="232" t="n">
        <v>38</v>
      </c>
      <c r="E160" s="232" t="n">
        <v>64</v>
      </c>
      <c r="F160" s="232" t="n">
        <v>31</v>
      </c>
      <c r="G160" s="232" t="n">
        <v>39</v>
      </c>
      <c r="H160" s="146" t="n"/>
      <c r="I160" s="87" t="n"/>
      <c r="J160" s="87" t="n"/>
      <c r="K160" s="87" t="n"/>
      <c r="L160" s="87" t="n"/>
    </row>
    <row r="161" ht="20.7" customHeight="1" s="215">
      <c r="A161" s="120" t="n"/>
      <c r="B161" s="143" t="inlineStr">
        <is>
          <t>42 years</t>
        </is>
      </c>
      <c r="C161" s="144" t="n"/>
      <c r="D161" s="232" t="n">
        <v>62</v>
      </c>
      <c r="E161" s="232" t="n">
        <v>68</v>
      </c>
      <c r="F161" s="232" t="n">
        <v>36</v>
      </c>
      <c r="G161" s="232" t="n">
        <v>49</v>
      </c>
      <c r="H161" s="146" t="n"/>
      <c r="I161" s="87" t="n"/>
      <c r="J161" s="87" t="n"/>
      <c r="K161" s="87" t="n"/>
      <c r="L161" s="87" t="n"/>
    </row>
    <row r="162" ht="20.7" customHeight="1" s="215">
      <c r="A162" s="120" t="n"/>
      <c r="B162" s="143" t="inlineStr">
        <is>
          <t>43 years</t>
        </is>
      </c>
      <c r="C162" s="144" t="n"/>
      <c r="D162" s="232" t="n">
        <v>58</v>
      </c>
      <c r="E162" s="232" t="n">
        <v>74</v>
      </c>
      <c r="F162" s="232" t="n">
        <v>34</v>
      </c>
      <c r="G162" s="232" t="n">
        <v>45</v>
      </c>
      <c r="H162" s="146" t="n"/>
      <c r="I162" s="87" t="n"/>
      <c r="J162" s="87" t="n"/>
      <c r="K162" s="87" t="n"/>
      <c r="L162" s="87" t="n"/>
    </row>
    <row r="163" ht="20.7" customHeight="1" s="215">
      <c r="A163" s="120" t="n"/>
      <c r="B163" s="143" t="inlineStr">
        <is>
          <t>44 years</t>
        </is>
      </c>
      <c r="C163" s="144" t="n"/>
      <c r="D163" s="232" t="n">
        <v>68</v>
      </c>
      <c r="E163" s="232" t="n">
        <v>101</v>
      </c>
      <c r="F163" s="232" t="n">
        <v>34</v>
      </c>
      <c r="G163" s="232" t="n">
        <v>60</v>
      </c>
      <c r="H163" s="146" t="n"/>
      <c r="I163" s="87" t="n"/>
      <c r="J163" s="87" t="n"/>
      <c r="K163" s="87" t="n"/>
      <c r="L163" s="87" t="n"/>
    </row>
    <row r="164" ht="20.7" customHeight="1" s="215">
      <c r="A164" s="120" t="n"/>
      <c r="B164" s="143" t="inlineStr">
        <is>
          <t>45 years</t>
        </is>
      </c>
      <c r="C164" s="144" t="n"/>
      <c r="D164" s="232" t="n">
        <v>76</v>
      </c>
      <c r="E164" s="232" t="n">
        <v>107</v>
      </c>
      <c r="F164" s="232" t="n">
        <v>32</v>
      </c>
      <c r="G164" s="232" t="n">
        <v>68</v>
      </c>
      <c r="H164" s="146" t="n"/>
      <c r="I164" s="87" t="n"/>
      <c r="J164" s="87" t="n"/>
      <c r="K164" s="87" t="n"/>
      <c r="L164" s="87" t="n"/>
    </row>
    <row r="165" ht="20.7" customHeight="1" s="215">
      <c r="A165" s="120" t="n"/>
      <c r="B165" s="143" t="inlineStr">
        <is>
          <t>46 years</t>
        </is>
      </c>
      <c r="C165" s="144" t="n"/>
      <c r="D165" s="232" t="n">
        <v>78</v>
      </c>
      <c r="E165" s="232" t="n">
        <v>104</v>
      </c>
      <c r="F165" s="232" t="n">
        <v>36</v>
      </c>
      <c r="G165" s="232" t="n">
        <v>48</v>
      </c>
      <c r="H165" s="146" t="n"/>
      <c r="I165" s="87" t="n"/>
      <c r="J165" s="87" t="n"/>
      <c r="K165" s="87" t="n"/>
      <c r="L165" s="87" t="n"/>
    </row>
    <row r="166" ht="20.7" customHeight="1" s="215">
      <c r="A166" s="120" t="n"/>
      <c r="B166" s="143" t="inlineStr">
        <is>
          <t>47 years</t>
        </is>
      </c>
      <c r="C166" s="144" t="n"/>
      <c r="D166" s="232" t="n">
        <v>74</v>
      </c>
      <c r="E166" s="232" t="n">
        <v>126</v>
      </c>
      <c r="F166" s="232" t="n">
        <v>37</v>
      </c>
      <c r="G166" s="232" t="n">
        <v>62</v>
      </c>
      <c r="H166" s="146" t="n"/>
      <c r="I166" s="87" t="n"/>
      <c r="J166" s="87" t="n"/>
      <c r="K166" s="87" t="n"/>
      <c r="L166" s="87" t="n"/>
    </row>
    <row r="167" ht="20.7" customHeight="1" s="215">
      <c r="A167" s="120" t="n"/>
      <c r="B167" s="143" t="inlineStr">
        <is>
          <t>48 years</t>
        </is>
      </c>
      <c r="C167" s="144" t="n"/>
      <c r="D167" s="232" t="n">
        <v>103</v>
      </c>
      <c r="E167" s="232" t="n">
        <v>124</v>
      </c>
      <c r="F167" s="232" t="n">
        <v>41</v>
      </c>
      <c r="G167" s="232" t="n">
        <v>58</v>
      </c>
      <c r="H167" s="146" t="n"/>
      <c r="I167" s="87" t="n"/>
      <c r="J167" s="87" t="n"/>
      <c r="K167" s="87" t="n"/>
      <c r="L167" s="87" t="n"/>
    </row>
    <row r="168" ht="20.7" customHeight="1" s="215">
      <c r="A168" s="120" t="n"/>
      <c r="B168" s="143" t="inlineStr">
        <is>
          <t>49 years</t>
        </is>
      </c>
      <c r="C168" s="144" t="n"/>
      <c r="D168" s="232" t="n">
        <v>117</v>
      </c>
      <c r="E168" s="232" t="n">
        <v>153</v>
      </c>
      <c r="F168" s="232" t="n">
        <v>44</v>
      </c>
      <c r="G168" s="232" t="n">
        <v>60</v>
      </c>
      <c r="H168" s="146" t="n"/>
      <c r="I168" s="87" t="n"/>
      <c r="J168" s="87" t="n"/>
      <c r="K168" s="87" t="n"/>
      <c r="L168" s="87" t="n"/>
    </row>
    <row r="169" ht="20.7" customHeight="1" s="215">
      <c r="A169" s="120" t="n"/>
      <c r="B169" s="143" t="inlineStr">
        <is>
          <t>50 years</t>
        </is>
      </c>
      <c r="C169" s="144" t="n"/>
      <c r="D169" s="232" t="n">
        <v>152</v>
      </c>
      <c r="E169" s="232" t="n">
        <v>163</v>
      </c>
      <c r="F169" s="232" t="n">
        <v>54</v>
      </c>
      <c r="G169" s="232" t="n">
        <v>65</v>
      </c>
      <c r="H169" s="146" t="n"/>
      <c r="I169" s="87" t="n"/>
      <c r="J169" s="87" t="n"/>
      <c r="K169" s="87" t="n"/>
      <c r="L169" s="87" t="n"/>
    </row>
    <row r="170" ht="20.7" customHeight="1" s="215">
      <c r="A170" s="120" t="n"/>
      <c r="B170" s="143" t="inlineStr">
        <is>
          <t>51 years</t>
        </is>
      </c>
      <c r="C170" s="144" t="n"/>
      <c r="D170" s="232" t="n">
        <v>163</v>
      </c>
      <c r="E170" s="232" t="n">
        <v>195</v>
      </c>
      <c r="F170" s="232" t="n">
        <v>47</v>
      </c>
      <c r="G170" s="232" t="n">
        <v>84</v>
      </c>
      <c r="H170" s="146" t="n"/>
      <c r="I170" s="87" t="n"/>
      <c r="J170" s="87" t="n"/>
      <c r="K170" s="87" t="n"/>
      <c r="L170" s="87" t="n"/>
    </row>
    <row r="171" ht="20.7" customHeight="1" s="215">
      <c r="A171" s="120" t="n"/>
      <c r="B171" s="143" t="inlineStr">
        <is>
          <t>52 years</t>
        </is>
      </c>
      <c r="C171" s="144" t="n"/>
      <c r="D171" s="232" t="n">
        <v>185</v>
      </c>
      <c r="E171" s="232" t="n">
        <v>236</v>
      </c>
      <c r="F171" s="232" t="n">
        <v>57</v>
      </c>
      <c r="G171" s="232" t="n">
        <v>83</v>
      </c>
      <c r="H171" s="146" t="n"/>
      <c r="I171" s="87" t="n"/>
      <c r="J171" s="87" t="n"/>
      <c r="K171" s="87" t="n"/>
      <c r="L171" s="87" t="n"/>
    </row>
    <row r="172" ht="20.7" customHeight="1" s="215">
      <c r="A172" s="120" t="n"/>
      <c r="B172" s="143" t="inlineStr">
        <is>
          <t>53 years</t>
        </is>
      </c>
      <c r="C172" s="144" t="n"/>
      <c r="D172" s="232" t="n">
        <v>226</v>
      </c>
      <c r="E172" s="232" t="n">
        <v>283</v>
      </c>
      <c r="F172" s="232" t="n">
        <v>68</v>
      </c>
      <c r="G172" s="232" t="n">
        <v>95</v>
      </c>
      <c r="H172" s="146" t="n"/>
      <c r="I172" s="87" t="n"/>
      <c r="J172" s="87" t="n"/>
      <c r="K172" s="87" t="n"/>
      <c r="L172" s="87" t="n"/>
    </row>
    <row r="173" ht="20.7" customHeight="1" s="215">
      <c r="A173" s="120" t="n"/>
      <c r="B173" s="143" t="inlineStr">
        <is>
          <t>54 years</t>
        </is>
      </c>
      <c r="C173" s="144" t="n"/>
      <c r="D173" s="232" t="n">
        <v>240</v>
      </c>
      <c r="E173" s="232" t="n">
        <v>345</v>
      </c>
      <c r="F173" s="232" t="n">
        <v>91</v>
      </c>
      <c r="G173" s="232" t="n">
        <v>102</v>
      </c>
      <c r="H173" s="146" t="n"/>
      <c r="I173" s="87" t="n"/>
      <c r="J173" s="87" t="n"/>
      <c r="K173" s="87" t="n"/>
      <c r="L173" s="87" t="n"/>
    </row>
    <row r="174" ht="20.7" customHeight="1" s="215">
      <c r="A174" s="120" t="n"/>
      <c r="B174" s="143" t="inlineStr">
        <is>
          <t>55 years</t>
        </is>
      </c>
      <c r="C174" s="144" t="n"/>
      <c r="D174" s="232" t="n">
        <v>248</v>
      </c>
      <c r="E174" s="232" t="n">
        <v>392</v>
      </c>
      <c r="F174" s="232" t="n">
        <v>74</v>
      </c>
      <c r="G174" s="232" t="n">
        <v>120</v>
      </c>
      <c r="H174" s="146" t="n"/>
      <c r="I174" s="87" t="n"/>
      <c r="J174" s="87" t="n"/>
      <c r="K174" s="87" t="n"/>
      <c r="L174" s="87" t="n"/>
    </row>
    <row r="175" ht="20.7" customHeight="1" s="215">
      <c r="A175" s="120" t="n"/>
      <c r="B175" s="143" t="inlineStr">
        <is>
          <t>56 years</t>
        </is>
      </c>
      <c r="C175" s="144" t="n"/>
      <c r="D175" s="232" t="n">
        <v>303</v>
      </c>
      <c r="E175" s="232" t="n">
        <v>389</v>
      </c>
      <c r="F175" s="232" t="n">
        <v>85</v>
      </c>
      <c r="G175" s="232" t="n">
        <v>111</v>
      </c>
      <c r="H175" s="146" t="n"/>
      <c r="I175" s="87" t="n"/>
      <c r="J175" s="87" t="n"/>
      <c r="K175" s="87" t="n"/>
      <c r="L175" s="87" t="n"/>
    </row>
    <row r="176" ht="20.7" customHeight="1" s="215">
      <c r="A176" s="120" t="n"/>
      <c r="B176" s="143" t="inlineStr">
        <is>
          <t>57 years</t>
        </is>
      </c>
      <c r="C176" s="144" t="n"/>
      <c r="D176" s="232" t="n">
        <v>324</v>
      </c>
      <c r="E176" s="232" t="n">
        <v>398</v>
      </c>
      <c r="F176" s="232" t="n">
        <v>104</v>
      </c>
      <c r="G176" s="232" t="n">
        <v>118</v>
      </c>
      <c r="H176" s="146" t="n"/>
      <c r="I176" s="87" t="n"/>
      <c r="J176" s="87" t="n"/>
      <c r="K176" s="87" t="n"/>
      <c r="L176" s="87" t="n"/>
    </row>
    <row r="177" ht="20.7" customHeight="1" s="215">
      <c r="A177" s="120" t="n"/>
      <c r="B177" s="143" t="inlineStr">
        <is>
          <t>58 years</t>
        </is>
      </c>
      <c r="C177" s="144" t="n"/>
      <c r="D177" s="232" t="n">
        <v>366</v>
      </c>
      <c r="E177" s="232" t="n">
        <v>501</v>
      </c>
      <c r="F177" s="232" t="n">
        <v>80</v>
      </c>
      <c r="G177" s="232" t="n">
        <v>140</v>
      </c>
      <c r="H177" s="146" t="n"/>
      <c r="I177" s="87" t="n"/>
      <c r="J177" s="87" t="n"/>
      <c r="K177" s="87" t="n"/>
      <c r="L177" s="87" t="n"/>
    </row>
    <row r="178" ht="20.7" customHeight="1" s="215">
      <c r="A178" s="120" t="n"/>
      <c r="B178" s="143" t="inlineStr">
        <is>
          <t>59 years</t>
        </is>
      </c>
      <c r="C178" s="144" t="n"/>
      <c r="D178" s="232" t="n">
        <v>396</v>
      </c>
      <c r="E178" s="232" t="n">
        <v>544</v>
      </c>
      <c r="F178" s="232" t="n">
        <v>93</v>
      </c>
      <c r="G178" s="232" t="n">
        <v>126</v>
      </c>
      <c r="H178" s="146" t="n"/>
      <c r="I178" s="87" t="n"/>
      <c r="J178" s="87" t="n"/>
      <c r="K178" s="87" t="n"/>
      <c r="L178" s="87" t="n"/>
    </row>
    <row r="179" ht="20.7" customHeight="1" s="215">
      <c r="A179" s="120" t="n"/>
      <c r="B179" s="143" t="inlineStr">
        <is>
          <t>60 years</t>
        </is>
      </c>
      <c r="C179" s="144" t="n"/>
      <c r="D179" s="232" t="n">
        <v>438</v>
      </c>
      <c r="E179" s="232" t="n">
        <v>614</v>
      </c>
      <c r="F179" s="232" t="n">
        <v>99</v>
      </c>
      <c r="G179" s="232" t="n">
        <v>160</v>
      </c>
      <c r="H179" s="146" t="n"/>
      <c r="I179" s="87" t="n"/>
      <c r="J179" s="87" t="n"/>
      <c r="K179" s="87" t="n"/>
      <c r="L179" s="87" t="n"/>
    </row>
    <row r="180" ht="20.7" customHeight="1" s="215">
      <c r="A180" s="120" t="n"/>
      <c r="B180" s="143" t="inlineStr">
        <is>
          <t>61 years</t>
        </is>
      </c>
      <c r="C180" s="144" t="n"/>
      <c r="D180" s="232" t="n">
        <v>495</v>
      </c>
      <c r="E180" s="232" t="n">
        <v>634</v>
      </c>
      <c r="F180" s="232" t="n">
        <v>109</v>
      </c>
      <c r="G180" s="232" t="n">
        <v>164</v>
      </c>
      <c r="H180" s="146" t="n"/>
      <c r="I180" s="87" t="n"/>
      <c r="J180" s="87" t="n"/>
      <c r="K180" s="87" t="n"/>
      <c r="L180" s="87" t="n"/>
    </row>
    <row r="181" ht="20.7" customHeight="1" s="215">
      <c r="A181" s="120" t="n"/>
      <c r="B181" s="143" t="inlineStr">
        <is>
          <t>62 years</t>
        </is>
      </c>
      <c r="C181" s="144" t="n"/>
      <c r="D181" s="232" t="n">
        <v>531</v>
      </c>
      <c r="E181" s="232" t="n">
        <v>674</v>
      </c>
      <c r="F181" s="232" t="n">
        <v>123</v>
      </c>
      <c r="G181" s="232" t="n">
        <v>181</v>
      </c>
      <c r="H181" s="146" t="n"/>
      <c r="I181" s="87" t="n"/>
      <c r="J181" s="87" t="n"/>
      <c r="K181" s="87" t="n"/>
      <c r="L181" s="87" t="n"/>
    </row>
    <row r="182" ht="20.7" customHeight="1" s="215">
      <c r="A182" s="120" t="n"/>
      <c r="B182" s="143" t="inlineStr">
        <is>
          <t>63 years</t>
        </is>
      </c>
      <c r="C182" s="144" t="n"/>
      <c r="D182" s="232" t="n">
        <v>577</v>
      </c>
      <c r="E182" s="232" t="n">
        <v>810</v>
      </c>
      <c r="F182" s="232" t="n">
        <v>126</v>
      </c>
      <c r="G182" s="232" t="n">
        <v>213</v>
      </c>
      <c r="H182" s="146" t="n"/>
      <c r="I182" s="87" t="n"/>
      <c r="J182" s="87" t="n"/>
      <c r="K182" s="87" t="n"/>
      <c r="L182" s="87" t="n"/>
    </row>
    <row r="183" ht="20.7" customHeight="1" s="215">
      <c r="A183" s="120" t="n"/>
      <c r="B183" s="143" t="inlineStr">
        <is>
          <t>64 years</t>
        </is>
      </c>
      <c r="C183" s="144" t="n"/>
      <c r="D183" s="232" t="n">
        <v>634</v>
      </c>
      <c r="E183" s="232" t="n">
        <v>835</v>
      </c>
      <c r="F183" s="232" t="n">
        <v>163</v>
      </c>
      <c r="G183" s="232" t="n">
        <v>199</v>
      </c>
      <c r="H183" s="146" t="n"/>
      <c r="I183" s="87" t="n"/>
      <c r="J183" s="87" t="n"/>
      <c r="K183" s="87" t="n"/>
      <c r="L183" s="87" t="n"/>
    </row>
    <row r="184" ht="20.7" customHeight="1" s="215">
      <c r="A184" s="120" t="n"/>
      <c r="B184" s="143" t="inlineStr">
        <is>
          <t>65 years</t>
        </is>
      </c>
      <c r="C184" s="144" t="n"/>
      <c r="D184" s="232" t="n">
        <v>717</v>
      </c>
      <c r="E184" s="232" t="n">
        <v>944</v>
      </c>
      <c r="F184" s="232" t="n">
        <v>145</v>
      </c>
      <c r="G184" s="232" t="n">
        <v>196</v>
      </c>
      <c r="H184" s="146" t="n"/>
      <c r="I184" s="87" t="n"/>
      <c r="J184" s="87" t="n"/>
      <c r="K184" s="87" t="n"/>
      <c r="L184" s="87" t="n"/>
    </row>
    <row r="185" ht="20.7" customHeight="1" s="215">
      <c r="A185" s="120" t="n"/>
      <c r="B185" s="143" t="inlineStr">
        <is>
          <t>66 years</t>
        </is>
      </c>
      <c r="C185" s="144" t="n"/>
      <c r="D185" s="232" t="n">
        <v>767</v>
      </c>
      <c r="E185" s="232" t="n">
        <v>926</v>
      </c>
      <c r="F185" s="232" t="n">
        <v>154</v>
      </c>
      <c r="G185" s="232" t="n">
        <v>245</v>
      </c>
      <c r="H185" s="146" t="n"/>
      <c r="I185" s="87" t="n"/>
      <c r="J185" s="87" t="n"/>
      <c r="K185" s="87" t="n"/>
      <c r="L185" s="87" t="n"/>
    </row>
    <row r="186" ht="20.7" customHeight="1" s="215">
      <c r="A186" s="120" t="n"/>
      <c r="B186" s="143" t="inlineStr">
        <is>
          <t>67 years</t>
        </is>
      </c>
      <c r="C186" s="144" t="n"/>
      <c r="D186" s="232" t="n">
        <v>763</v>
      </c>
      <c r="E186" s="232" t="n">
        <v>1042</v>
      </c>
      <c r="F186" s="232" t="n">
        <v>197</v>
      </c>
      <c r="G186" s="232" t="n">
        <v>230</v>
      </c>
      <c r="H186" s="146" t="n"/>
      <c r="I186" s="87" t="n"/>
      <c r="J186" s="87" t="n"/>
      <c r="K186" s="87" t="n"/>
      <c r="L186" s="87" t="n"/>
    </row>
    <row r="187" ht="20.7" customHeight="1" s="215">
      <c r="A187" s="120" t="n"/>
      <c r="B187" s="143" t="inlineStr">
        <is>
          <t>68 years</t>
        </is>
      </c>
      <c r="C187" s="144" t="n"/>
      <c r="D187" s="232" t="n">
        <v>935</v>
      </c>
      <c r="E187" s="232" t="n">
        <v>1138</v>
      </c>
      <c r="F187" s="232" t="n">
        <v>176</v>
      </c>
      <c r="G187" s="232" t="n">
        <v>237</v>
      </c>
      <c r="H187" s="146" t="n"/>
      <c r="I187" s="87" t="n"/>
      <c r="J187" s="87" t="n"/>
      <c r="K187" s="87" t="n"/>
      <c r="L187" s="87" t="n"/>
    </row>
    <row r="188" ht="20.7" customHeight="1" s="215">
      <c r="A188" s="120" t="n"/>
      <c r="B188" s="143" t="inlineStr">
        <is>
          <t>69 years</t>
        </is>
      </c>
      <c r="C188" s="144" t="n"/>
      <c r="D188" s="232" t="n">
        <v>969</v>
      </c>
      <c r="E188" s="232" t="n">
        <v>1263</v>
      </c>
      <c r="F188" s="232" t="n">
        <v>194</v>
      </c>
      <c r="G188" s="232" t="n">
        <v>274</v>
      </c>
      <c r="H188" s="146" t="n"/>
      <c r="I188" s="87" t="n"/>
      <c r="J188" s="87" t="n"/>
      <c r="K188" s="87" t="n"/>
      <c r="L188" s="87" t="n"/>
    </row>
    <row r="189" ht="20.7" customHeight="1" s="215">
      <c r="A189" s="120" t="n"/>
      <c r="B189" s="143" t="inlineStr">
        <is>
          <t>70 years</t>
        </is>
      </c>
      <c r="C189" s="144" t="n"/>
      <c r="D189" s="232" t="n">
        <v>991</v>
      </c>
      <c r="E189" s="232" t="n">
        <v>1349</v>
      </c>
      <c r="F189" s="232" t="n">
        <v>209</v>
      </c>
      <c r="G189" s="232" t="n">
        <v>292</v>
      </c>
      <c r="H189" s="146" t="n"/>
      <c r="I189" s="87" t="n"/>
      <c r="J189" s="87" t="n"/>
      <c r="K189" s="87" t="n"/>
      <c r="L189" s="87" t="n"/>
    </row>
    <row r="190" ht="20.7" customHeight="1" s="215">
      <c r="A190" s="120" t="n"/>
      <c r="B190" s="143" t="inlineStr">
        <is>
          <t>71 years</t>
        </is>
      </c>
      <c r="C190" s="144" t="n"/>
      <c r="D190" s="232" t="n">
        <v>1174</v>
      </c>
      <c r="E190" s="232" t="n">
        <v>1448</v>
      </c>
      <c r="F190" s="232" t="n">
        <v>216</v>
      </c>
      <c r="G190" s="232" t="n">
        <v>292</v>
      </c>
      <c r="H190" s="146" t="n"/>
      <c r="I190" s="87" t="n"/>
      <c r="J190" s="87" t="n"/>
      <c r="K190" s="87" t="n"/>
      <c r="L190" s="87" t="n"/>
    </row>
    <row r="191" ht="20.7" customHeight="1" s="215">
      <c r="A191" s="120" t="n"/>
      <c r="B191" s="143" t="inlineStr">
        <is>
          <t>72 years</t>
        </is>
      </c>
      <c r="C191" s="144" t="n"/>
      <c r="D191" s="232" t="n">
        <v>1203</v>
      </c>
      <c r="E191" s="232" t="n">
        <v>1607</v>
      </c>
      <c r="F191" s="232" t="n">
        <v>236</v>
      </c>
      <c r="G191" s="232" t="n">
        <v>322</v>
      </c>
      <c r="H191" s="146" t="n"/>
      <c r="I191" s="87" t="n"/>
      <c r="J191" s="87" t="n"/>
      <c r="K191" s="87" t="n"/>
      <c r="L191" s="87" t="n"/>
    </row>
    <row r="192" ht="20.7" customHeight="1" s="215">
      <c r="A192" s="120" t="n"/>
      <c r="B192" s="143" t="inlineStr">
        <is>
          <t>73 years</t>
        </is>
      </c>
      <c r="C192" s="144" t="n"/>
      <c r="D192" s="232" t="n">
        <v>1264</v>
      </c>
      <c r="E192" s="232" t="n">
        <v>1685</v>
      </c>
      <c r="F192" s="232" t="n">
        <v>241</v>
      </c>
      <c r="G192" s="232" t="n">
        <v>328</v>
      </c>
      <c r="H192" s="146" t="n"/>
      <c r="I192" s="87" t="n"/>
      <c r="J192" s="87" t="n"/>
      <c r="K192" s="87" t="n"/>
      <c r="L192" s="87" t="n"/>
    </row>
    <row r="193" ht="20.7" customHeight="1" s="215">
      <c r="A193" s="120" t="n"/>
      <c r="B193" s="143" t="inlineStr">
        <is>
          <t>74 years</t>
        </is>
      </c>
      <c r="C193" s="144" t="n"/>
      <c r="D193" s="232" t="n">
        <v>1346</v>
      </c>
      <c r="E193" s="232" t="n">
        <v>1775</v>
      </c>
      <c r="F193" s="232" t="n">
        <v>246</v>
      </c>
      <c r="G193" s="232" t="n">
        <v>348</v>
      </c>
      <c r="H193" s="146" t="n"/>
      <c r="I193" s="87" t="n"/>
      <c r="J193" s="87" t="n"/>
      <c r="K193" s="87" t="n"/>
      <c r="L193" s="87" t="n"/>
    </row>
    <row r="194" ht="20.7" customHeight="1" s="215">
      <c r="A194" s="120" t="n"/>
      <c r="B194" s="143" t="inlineStr">
        <is>
          <t>75 years</t>
        </is>
      </c>
      <c r="C194" s="144" t="n"/>
      <c r="D194" s="232" t="n">
        <v>1529</v>
      </c>
      <c r="E194" s="232" t="n">
        <v>2026</v>
      </c>
      <c r="F194" s="232" t="n">
        <v>303</v>
      </c>
      <c r="G194" s="232" t="n">
        <v>362</v>
      </c>
      <c r="H194" s="146" t="n"/>
      <c r="I194" s="87" t="n"/>
      <c r="J194" s="87" t="n"/>
      <c r="K194" s="87" t="n"/>
      <c r="L194" s="87" t="n"/>
    </row>
    <row r="195" ht="20.7" customHeight="1" s="215">
      <c r="A195" s="120" t="n"/>
      <c r="B195" s="143" t="inlineStr">
        <is>
          <t>76 years</t>
        </is>
      </c>
      <c r="C195" s="144" t="n"/>
      <c r="D195" s="232" t="n">
        <v>1708</v>
      </c>
      <c r="E195" s="232" t="n">
        <v>2282</v>
      </c>
      <c r="F195" s="232" t="n">
        <v>289</v>
      </c>
      <c r="G195" s="232" t="n">
        <v>412</v>
      </c>
      <c r="H195" s="146" t="n"/>
      <c r="I195" s="87" t="n"/>
      <c r="J195" s="87" t="n"/>
      <c r="K195" s="87" t="n"/>
      <c r="L195" s="87" t="n"/>
    </row>
    <row r="196" ht="20.7" customHeight="1" s="215">
      <c r="A196" s="120" t="n"/>
      <c r="B196" s="143" t="inlineStr">
        <is>
          <t>77 years</t>
        </is>
      </c>
      <c r="C196" s="144" t="n"/>
      <c r="D196" s="232" t="n">
        <v>2102</v>
      </c>
      <c r="E196" s="232" t="n">
        <v>2605</v>
      </c>
      <c r="F196" s="232" t="n">
        <v>359</v>
      </c>
      <c r="G196" s="232" t="n">
        <v>453</v>
      </c>
      <c r="H196" s="146" t="n"/>
      <c r="I196" s="87" t="n"/>
      <c r="J196" s="87" t="n"/>
      <c r="K196" s="87" t="n"/>
      <c r="L196" s="87" t="n"/>
    </row>
    <row r="197" ht="20.7" customHeight="1" s="215">
      <c r="A197" s="120" t="n"/>
      <c r="B197" s="143" t="inlineStr">
        <is>
          <t>78 years</t>
        </is>
      </c>
      <c r="C197" s="144" t="n"/>
      <c r="D197" s="232" t="n">
        <v>2297</v>
      </c>
      <c r="E197" s="232" t="n">
        <v>2982</v>
      </c>
      <c r="F197" s="232" t="n">
        <v>348</v>
      </c>
      <c r="G197" s="232" t="n">
        <v>402</v>
      </c>
      <c r="H197" s="146" t="n"/>
      <c r="I197" s="87" t="n"/>
      <c r="J197" s="87" t="n"/>
      <c r="K197" s="87" t="n"/>
      <c r="L197" s="87" t="n"/>
    </row>
    <row r="198" ht="20.7" customHeight="1" s="215">
      <c r="A198" s="120" t="n"/>
      <c r="B198" s="143" t="inlineStr">
        <is>
          <t>79 years</t>
        </is>
      </c>
      <c r="C198" s="144" t="n"/>
      <c r="D198" s="232" t="n">
        <v>1827</v>
      </c>
      <c r="E198" s="232" t="n">
        <v>2274</v>
      </c>
      <c r="F198" s="232" t="n">
        <v>299</v>
      </c>
      <c r="G198" s="232" t="n">
        <v>366</v>
      </c>
      <c r="H198" s="146" t="n"/>
      <c r="I198" s="87" t="n"/>
      <c r="J198" s="87" t="n"/>
      <c r="K198" s="87" t="n"/>
      <c r="L198" s="87" t="n"/>
    </row>
    <row r="199" ht="20.7" customHeight="1" s="215">
      <c r="A199" s="120" t="n"/>
      <c r="B199" s="143" t="inlineStr">
        <is>
          <t>80 years</t>
        </is>
      </c>
      <c r="C199" s="144" t="n"/>
      <c r="D199" s="232" t="n">
        <v>2250</v>
      </c>
      <c r="E199" s="232" t="n">
        <v>2646</v>
      </c>
      <c r="F199" s="232" t="n">
        <v>325</v>
      </c>
      <c r="G199" s="232" t="n">
        <v>403</v>
      </c>
      <c r="H199" s="146" t="n"/>
      <c r="I199" s="87" t="n"/>
      <c r="J199" s="87" t="n"/>
      <c r="K199" s="87" t="n"/>
      <c r="L199" s="87" t="n"/>
    </row>
    <row r="200" ht="20.7" customHeight="1" s="215">
      <c r="A200" s="120" t="n"/>
      <c r="B200" s="143" t="inlineStr">
        <is>
          <t>81 years</t>
        </is>
      </c>
      <c r="C200" s="144" t="n"/>
      <c r="D200" s="232" t="n">
        <v>2153</v>
      </c>
      <c r="E200" s="232" t="n">
        <v>2546</v>
      </c>
      <c r="F200" s="232" t="n">
        <v>345</v>
      </c>
      <c r="G200" s="232" t="n">
        <v>411</v>
      </c>
      <c r="H200" s="146" t="n"/>
      <c r="I200" s="87" t="n"/>
      <c r="J200" s="87" t="n"/>
      <c r="K200" s="87" t="n"/>
      <c r="L200" s="87" t="n"/>
    </row>
    <row r="201" ht="20.7" customHeight="1" s="215">
      <c r="A201" s="120" t="n"/>
      <c r="B201" s="143" t="inlineStr">
        <is>
          <t>82 years</t>
        </is>
      </c>
      <c r="C201" s="144" t="n"/>
      <c r="D201" s="232" t="n">
        <v>2118</v>
      </c>
      <c r="E201" s="232" t="n">
        <v>2479</v>
      </c>
      <c r="F201" s="232" t="n">
        <v>385</v>
      </c>
      <c r="G201" s="232" t="n">
        <v>420</v>
      </c>
      <c r="H201" s="146" t="n"/>
      <c r="I201" s="87" t="n"/>
      <c r="J201" s="87" t="n"/>
      <c r="K201" s="87" t="n"/>
      <c r="L201" s="87" t="n"/>
    </row>
    <row r="202" ht="20.7" customHeight="1" s="215">
      <c r="A202" s="120" t="n"/>
      <c r="B202" s="143" t="inlineStr">
        <is>
          <t>83 years</t>
        </is>
      </c>
      <c r="C202" s="144" t="n"/>
      <c r="D202" s="232" t="n">
        <v>2279</v>
      </c>
      <c r="E202" s="232" t="n">
        <v>2573</v>
      </c>
      <c r="F202" s="232" t="n">
        <v>410</v>
      </c>
      <c r="G202" s="232" t="n">
        <v>446</v>
      </c>
      <c r="H202" s="146" t="n"/>
      <c r="I202" s="87" t="n"/>
      <c r="J202" s="87" t="n"/>
      <c r="K202" s="87" t="n"/>
      <c r="L202" s="87" t="n"/>
    </row>
    <row r="203" ht="20.7" customHeight="1" s="215">
      <c r="A203" s="120" t="n"/>
      <c r="B203" s="143" t="inlineStr">
        <is>
          <t>84 years</t>
        </is>
      </c>
      <c r="C203" s="144" t="n"/>
      <c r="D203" s="232" t="n">
        <v>2545</v>
      </c>
      <c r="E203" s="232" t="n">
        <v>2609</v>
      </c>
      <c r="F203" s="232" t="n">
        <v>497</v>
      </c>
      <c r="G203" s="232" t="n">
        <v>515</v>
      </c>
      <c r="H203" s="146" t="n"/>
      <c r="I203" s="87" t="n"/>
      <c r="J203" s="87" t="n"/>
      <c r="K203" s="87" t="n"/>
      <c r="L203" s="87" t="n"/>
    </row>
    <row r="204" ht="20.7" customHeight="1" s="215">
      <c r="A204" s="120" t="n"/>
      <c r="B204" s="143" t="inlineStr">
        <is>
          <t>85 years</t>
        </is>
      </c>
      <c r="C204" s="144" t="n"/>
      <c r="D204" s="232" t="n">
        <v>2740</v>
      </c>
      <c r="E204" s="232" t="n">
        <v>2579</v>
      </c>
      <c r="F204" s="232" t="n">
        <v>483</v>
      </c>
      <c r="G204" s="232" t="n">
        <v>493</v>
      </c>
      <c r="H204" s="146" t="n"/>
      <c r="I204" s="87" t="n"/>
      <c r="J204" s="87" t="n"/>
      <c r="K204" s="87" t="n"/>
      <c r="L204" s="87" t="n"/>
    </row>
    <row r="205" ht="20.7" customHeight="1" s="215">
      <c r="A205" s="120" t="n"/>
      <c r="B205" s="143" t="inlineStr">
        <is>
          <t>86 years</t>
        </is>
      </c>
      <c r="C205" s="144" t="n"/>
      <c r="D205" s="232" t="n">
        <v>2916</v>
      </c>
      <c r="E205" s="232" t="n">
        <v>2606</v>
      </c>
      <c r="F205" s="232" t="n">
        <v>429</v>
      </c>
      <c r="G205" s="232" t="n">
        <v>492</v>
      </c>
      <c r="H205" s="146" t="n"/>
      <c r="I205" s="87" t="n"/>
      <c r="J205" s="87" t="n"/>
      <c r="K205" s="87" t="n"/>
      <c r="L205" s="87" t="n"/>
    </row>
    <row r="206" ht="20.7" customHeight="1" s="215">
      <c r="A206" s="120" t="n"/>
      <c r="B206" s="143" t="inlineStr">
        <is>
          <t>87 years</t>
        </is>
      </c>
      <c r="C206" s="144" t="n"/>
      <c r="D206" s="232" t="n">
        <v>2893</v>
      </c>
      <c r="E206" s="232" t="n">
        <v>2489</v>
      </c>
      <c r="F206" s="232" t="n">
        <v>542</v>
      </c>
      <c r="G206" s="232" t="n">
        <v>446</v>
      </c>
      <c r="H206" s="146" t="n"/>
      <c r="I206" s="87" t="n"/>
      <c r="J206" s="87" t="n"/>
      <c r="K206" s="87" t="n"/>
      <c r="L206" s="87" t="n"/>
    </row>
    <row r="207" ht="20.7" customHeight="1" s="215">
      <c r="A207" s="120" t="n"/>
      <c r="B207" s="143" t="inlineStr">
        <is>
          <t>88 years</t>
        </is>
      </c>
      <c r="C207" s="144" t="n"/>
      <c r="D207" s="232" t="n">
        <v>3080</v>
      </c>
      <c r="E207" s="232" t="n">
        <v>2475</v>
      </c>
      <c r="F207" s="232" t="n">
        <v>480</v>
      </c>
      <c r="G207" s="232" t="n">
        <v>385</v>
      </c>
      <c r="H207" s="146" t="n"/>
      <c r="I207" s="87" t="n"/>
      <c r="J207" s="87" t="n"/>
      <c r="K207" s="87" t="n"/>
      <c r="L207" s="87" t="n"/>
    </row>
    <row r="208" ht="20.7" customHeight="1" s="215">
      <c r="A208" s="120" t="n"/>
      <c r="B208" s="143" t="inlineStr">
        <is>
          <t>89 years</t>
        </is>
      </c>
      <c r="C208" s="144" t="n"/>
      <c r="D208" s="232" t="n">
        <v>3042</v>
      </c>
      <c r="E208" s="232" t="n">
        <v>2406</v>
      </c>
      <c r="F208" s="232" t="n">
        <v>452</v>
      </c>
      <c r="G208" s="232" t="n">
        <v>379</v>
      </c>
      <c r="H208" s="146" t="n"/>
      <c r="I208" s="87" t="n"/>
      <c r="J208" s="87" t="n"/>
      <c r="K208" s="87" t="n"/>
      <c r="L208" s="87" t="n"/>
    </row>
    <row r="209" ht="20.7" customHeight="1" s="215">
      <c r="A209" s="120" t="n"/>
      <c r="B209" s="143" t="inlineStr">
        <is>
          <t>90 years</t>
        </is>
      </c>
      <c r="C209" s="144" t="n"/>
      <c r="D209" s="232" t="n">
        <v>3162</v>
      </c>
      <c r="E209" s="232" t="n">
        <v>2181</v>
      </c>
      <c r="F209" s="232" t="n">
        <v>472</v>
      </c>
      <c r="G209" s="232" t="n">
        <v>324</v>
      </c>
      <c r="H209" s="146" t="n"/>
      <c r="I209" s="87" t="n"/>
      <c r="J209" s="87" t="n"/>
      <c r="K209" s="87" t="n"/>
      <c r="L209" s="87" t="n"/>
    </row>
    <row r="210" ht="20.7" customHeight="1" s="215">
      <c r="A210" s="120" t="n"/>
      <c r="B210" s="143" t="inlineStr">
        <is>
          <t>91 years</t>
        </is>
      </c>
      <c r="C210" s="144" t="n"/>
      <c r="D210" s="232" t="n">
        <v>2973</v>
      </c>
      <c r="E210" s="232" t="n">
        <v>1934</v>
      </c>
      <c r="F210" s="232" t="n">
        <v>415</v>
      </c>
      <c r="G210" s="232" t="n">
        <v>261</v>
      </c>
      <c r="H210" s="146" t="n"/>
      <c r="I210" s="87" t="n"/>
      <c r="J210" s="87" t="n"/>
      <c r="K210" s="87" t="n"/>
      <c r="L210" s="87" t="n"/>
    </row>
    <row r="211" ht="20.7" customHeight="1" s="215">
      <c r="A211" s="120" t="n"/>
      <c r="B211" s="143" t="inlineStr">
        <is>
          <t>92 years</t>
        </is>
      </c>
      <c r="C211" s="144" t="n"/>
      <c r="D211" s="232" t="n">
        <v>2899</v>
      </c>
      <c r="E211" s="232" t="n">
        <v>1770</v>
      </c>
      <c r="F211" s="232" t="n">
        <v>376</v>
      </c>
      <c r="G211" s="232" t="n">
        <v>234</v>
      </c>
      <c r="H211" s="146" t="n"/>
      <c r="I211" s="87" t="n"/>
      <c r="J211" s="87" t="n"/>
      <c r="K211" s="87" t="n"/>
      <c r="L211" s="87" t="n"/>
    </row>
    <row r="212" ht="20.7" customHeight="1" s="215">
      <c r="A212" s="120" t="n"/>
      <c r="B212" s="143" t="inlineStr">
        <is>
          <t>93 years</t>
        </is>
      </c>
      <c r="C212" s="144" t="n"/>
      <c r="D212" s="232" t="n">
        <v>2706</v>
      </c>
      <c r="E212" s="232" t="n">
        <v>1381</v>
      </c>
      <c r="F212" s="232" t="n">
        <v>352</v>
      </c>
      <c r="G212" s="232" t="n">
        <v>171</v>
      </c>
      <c r="H212" s="146" t="n"/>
      <c r="I212" s="87" t="n"/>
      <c r="J212" s="87" t="n"/>
      <c r="K212" s="87" t="n"/>
      <c r="L212" s="87" t="n"/>
    </row>
    <row r="213" ht="20.7" customHeight="1" s="215">
      <c r="A213" s="120" t="n"/>
      <c r="B213" s="143" t="inlineStr">
        <is>
          <t>94 years</t>
        </is>
      </c>
      <c r="C213" s="144" t="n"/>
      <c r="D213" s="232" t="n">
        <v>2433</v>
      </c>
      <c r="E213" s="232" t="n">
        <v>1133</v>
      </c>
      <c r="F213" s="232" t="n">
        <v>260</v>
      </c>
      <c r="G213" s="232" t="n">
        <v>138</v>
      </c>
      <c r="H213" s="146" t="n"/>
      <c r="I213" s="87" t="n"/>
      <c r="J213" s="87" t="n"/>
      <c r="K213" s="87" t="n"/>
      <c r="L213" s="87" t="n"/>
    </row>
    <row r="214" ht="20.7" customHeight="1" s="215">
      <c r="A214" s="120" t="n"/>
      <c r="B214" s="143" t="inlineStr">
        <is>
          <t>95 years</t>
        </is>
      </c>
      <c r="C214" s="144" t="n"/>
      <c r="D214" s="232" t="n">
        <v>1977</v>
      </c>
      <c r="E214" s="232" t="n">
        <v>853</v>
      </c>
      <c r="F214" s="232" t="n">
        <v>248</v>
      </c>
      <c r="G214" s="232" t="n">
        <v>110</v>
      </c>
      <c r="H214" s="146" t="n"/>
      <c r="I214" s="87" t="n"/>
      <c r="J214" s="87" t="n"/>
      <c r="K214" s="87" t="n"/>
      <c r="L214" s="87" t="n"/>
    </row>
    <row r="215" ht="20.7" customHeight="1" s="215">
      <c r="A215" s="120" t="n"/>
      <c r="B215" s="143" t="inlineStr">
        <is>
          <t>96 years</t>
        </is>
      </c>
      <c r="C215" s="144" t="n"/>
      <c r="D215" s="232" t="n">
        <v>1632</v>
      </c>
      <c r="E215" s="232" t="n">
        <v>649</v>
      </c>
      <c r="F215" s="232" t="n">
        <v>190</v>
      </c>
      <c r="G215" s="232" t="n">
        <v>78</v>
      </c>
      <c r="H215" s="146" t="n"/>
      <c r="I215" s="87" t="n"/>
      <c r="J215" s="87" t="n"/>
      <c r="K215" s="87" t="n"/>
      <c r="L215" s="87" t="n"/>
    </row>
    <row r="216" ht="20.7" customHeight="1" s="215">
      <c r="A216" s="120" t="n"/>
      <c r="B216" s="143" t="inlineStr">
        <is>
          <t>97 years</t>
        </is>
      </c>
      <c r="C216" s="144" t="n"/>
      <c r="D216" s="232" t="n">
        <v>1225</v>
      </c>
      <c r="E216" s="232" t="n">
        <v>469</v>
      </c>
      <c r="F216" s="232" t="n">
        <v>131</v>
      </c>
      <c r="G216" s="232" t="n">
        <v>48</v>
      </c>
      <c r="H216" s="146" t="n"/>
      <c r="I216" s="87" t="n"/>
      <c r="J216" s="87" t="n"/>
      <c r="K216" s="87" t="n"/>
      <c r="L216" s="87" t="n"/>
    </row>
    <row r="217" ht="20.7" customHeight="1" s="215">
      <c r="A217" s="120" t="n"/>
      <c r="B217" s="143" t="inlineStr">
        <is>
          <t>98 years</t>
        </is>
      </c>
      <c r="C217" s="144" t="n"/>
      <c r="D217" s="232" t="n">
        <v>952</v>
      </c>
      <c r="E217" s="232" t="n">
        <v>339</v>
      </c>
      <c r="F217" s="232" t="n">
        <v>113</v>
      </c>
      <c r="G217" s="232" t="n">
        <v>33</v>
      </c>
      <c r="H217" s="146" t="n"/>
      <c r="I217" s="87" t="n"/>
      <c r="J217" s="87" t="n"/>
      <c r="K217" s="87" t="n"/>
      <c r="L217" s="87" t="n"/>
    </row>
    <row r="218" ht="20.7" customHeight="1" s="215">
      <c r="A218" s="120" t="n"/>
      <c r="B218" s="143" t="inlineStr">
        <is>
          <t>99 years and older</t>
        </is>
      </c>
      <c r="C218" s="144" t="n"/>
      <c r="D218" s="232" t="n">
        <v>669</v>
      </c>
      <c r="E218" s="232" t="n">
        <v>234</v>
      </c>
      <c r="F218" s="232" t="n">
        <v>81</v>
      </c>
      <c r="G218" s="232" t="n">
        <v>28</v>
      </c>
      <c r="H218" s="146" t="n"/>
      <c r="I218" s="87" t="n"/>
      <c r="J218" s="87" t="n"/>
      <c r="K218" s="87" t="n"/>
      <c r="L218" s="87" t="n"/>
    </row>
    <row r="219" ht="20.35" customHeight="1" s="215">
      <c r="A219" s="62" t="n"/>
      <c r="B219" s="63" t="n"/>
      <c r="C219" s="147" t="n"/>
      <c r="D219" s="148" t="n"/>
      <c r="E219" s="148" t="n"/>
      <c r="F219" s="148" t="n"/>
      <c r="G219" s="148" t="n"/>
      <c r="H219" s="87" t="n"/>
      <c r="I219" s="87" t="n"/>
      <c r="J219" s="87" t="n"/>
      <c r="K219" s="87" t="n"/>
      <c r="L219" s="87" t="n"/>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migration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Migration balance</t>
        </is>
      </c>
      <c r="C5" s="75" t="inlineStr">
        <is>
          <t>This is the total of immigrations (into the country) minus emigration (out of the country)</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222"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151" t="n"/>
      <c r="K8" s="151" t="n"/>
      <c r="L8" s="76" t="n"/>
    </row>
    <row r="9" ht="20.05" customHeight="1" s="215">
      <c r="A9" s="56" t="inlineStr">
        <is>
          <t>ma</t>
        </is>
      </c>
      <c r="B9" s="13" t="inlineStr">
        <is>
          <t>Avarage migration balance (10 years)</t>
        </is>
      </c>
      <c r="C9" s="110">
        <f t="array" ref="C9">H9+I9</f>
        <v/>
      </c>
      <c r="D9" s="152">
        <f t="array" ref="D9">D199-D286</f>
        <v/>
      </c>
      <c r="E9" s="152">
        <f t="array" ref="E9">E199-E286</f>
        <v/>
      </c>
      <c r="F9" s="152">
        <f t="array" ref="F9">F199-F286</f>
        <v/>
      </c>
      <c r="G9" s="152">
        <f t="array" ref="G9">G199-G286</f>
        <v/>
      </c>
      <c r="H9" s="110">
        <f t="array" ref="H9">E9+D9</f>
        <v/>
      </c>
      <c r="I9" s="110">
        <f t="array" ref="I9">G9+F9</f>
        <v/>
      </c>
      <c r="J9" s="110">
        <f t="array" ref="J9">D9+F9</f>
        <v/>
      </c>
      <c r="K9" s="110">
        <f t="array" ref="K9">E9+G9</f>
        <v/>
      </c>
      <c r="L9" s="76" t="n"/>
    </row>
    <row r="10" ht="20.05" customHeight="1" s="215">
      <c r="A10" s="12" t="n"/>
      <c r="B10" s="24" t="n"/>
      <c r="C10" s="153" t="n"/>
      <c r="D10" s="153" t="n"/>
      <c r="E10" s="153" t="n"/>
      <c r="F10" s="153" t="n"/>
      <c r="G10" s="153" t="n"/>
      <c r="H10" s="153" t="n"/>
      <c r="I10" s="153" t="n"/>
      <c r="J10" s="153" t="n"/>
      <c r="K10" s="153" t="n"/>
      <c r="L10" s="76" t="n"/>
    </row>
    <row r="11" ht="20.05" customHeight="1" s="215">
      <c r="A11" s="56" t="inlineStr">
        <is>
          <t>m00</t>
        </is>
      </c>
      <c r="B11" s="34" t="inlineStr">
        <is>
          <t>0 years</t>
        </is>
      </c>
      <c r="C11" s="79">
        <f t="array" ref="C11">H11+I11</f>
        <v/>
      </c>
      <c r="D11" s="79">
        <f t="array" ref="D11">D$9*$L11</f>
        <v/>
      </c>
      <c r="E11" s="79">
        <f t="array" ref="E11">E$9*$L11</f>
        <v/>
      </c>
      <c r="F11" s="79">
        <f t="array" ref="F11">F$9*$L11</f>
        <v/>
      </c>
      <c r="G11" s="79">
        <f t="array" ref="G11">G$9*$L11</f>
        <v/>
      </c>
      <c r="H11" s="79">
        <f t="array" ref="H11">E11+D11</f>
        <v/>
      </c>
      <c r="I11" s="79">
        <f t="array" ref="I11">G11+F11</f>
        <v/>
      </c>
      <c r="J11" s="79">
        <f t="array" ref="J11">D11+F11</f>
        <v/>
      </c>
      <c r="K11" s="79">
        <f t="array" ref="K11">E11+G11</f>
        <v/>
      </c>
      <c r="L11" s="81" t="n"/>
    </row>
    <row r="12" ht="20.05" customHeight="1" s="215">
      <c r="A12" s="56" t="inlineStr">
        <is>
          <t>m01</t>
        </is>
      </c>
      <c r="B12" s="34" t="inlineStr">
        <is>
          <t>1 years</t>
        </is>
      </c>
      <c r="C12" s="79">
        <f t="array" ref="C12">H12+I12</f>
        <v/>
      </c>
      <c r="D12" s="79">
        <f t="array" ref="D12">D$9*$L12</f>
        <v/>
      </c>
      <c r="E12" s="79">
        <f t="array" ref="E12">E$9*$L12</f>
        <v/>
      </c>
      <c r="F12" s="79">
        <f t="array" ref="F12">F$9*$L12</f>
        <v/>
      </c>
      <c r="G12" s="79">
        <f t="array" ref="G12">G$9*$L12</f>
        <v/>
      </c>
      <c r="H12" s="79">
        <f t="array" ref="H12">E12+D12</f>
        <v/>
      </c>
      <c r="I12" s="79">
        <f t="array" ref="I12">G12+F12</f>
        <v/>
      </c>
      <c r="J12" s="79">
        <f t="array" ref="J12">D12+F12</f>
        <v/>
      </c>
      <c r="K12" s="79">
        <f t="array" ref="K12">E12+G12</f>
        <v/>
      </c>
      <c r="L12" s="81" t="n"/>
    </row>
    <row r="13" ht="20.05" customHeight="1" s="215">
      <c r="A13" s="56" t="inlineStr">
        <is>
          <t>m02</t>
        </is>
      </c>
      <c r="B13" s="34" t="inlineStr">
        <is>
          <t>2 years</t>
        </is>
      </c>
      <c r="C13" s="79">
        <f t="array" ref="C13">H13+I13</f>
        <v/>
      </c>
      <c r="D13" s="79">
        <f t="array" ref="D13">D$9*$L13</f>
        <v/>
      </c>
      <c r="E13" s="79">
        <f t="array" ref="E13">E$9*$L13</f>
        <v/>
      </c>
      <c r="F13" s="79">
        <f t="array" ref="F13">F$9*$L13</f>
        <v/>
      </c>
      <c r="G13" s="79">
        <f t="array" ref="G13">G$9*$L13</f>
        <v/>
      </c>
      <c r="H13" s="79">
        <f t="array" ref="H13">E13+D13</f>
        <v/>
      </c>
      <c r="I13" s="79">
        <f t="array" ref="I13">G13+F13</f>
        <v/>
      </c>
      <c r="J13" s="79">
        <f t="array" ref="J13">D13+F13</f>
        <v/>
      </c>
      <c r="K13" s="79">
        <f t="array" ref="K13">E13+G13</f>
        <v/>
      </c>
      <c r="L13" s="81" t="n"/>
    </row>
    <row r="14" ht="20.05" customHeight="1" s="215">
      <c r="A14" s="56" t="inlineStr">
        <is>
          <t>m03</t>
        </is>
      </c>
      <c r="B14" s="34" t="inlineStr">
        <is>
          <t>3 years</t>
        </is>
      </c>
      <c r="C14" s="79">
        <f t="array" ref="C14">H14+I14</f>
        <v/>
      </c>
      <c r="D14" s="79">
        <f t="array" ref="D14">D$9*$L14</f>
        <v/>
      </c>
      <c r="E14" s="79">
        <f t="array" ref="E14">E$9*$L14</f>
        <v/>
      </c>
      <c r="F14" s="79">
        <f t="array" ref="F14">F$9*$L14</f>
        <v/>
      </c>
      <c r="G14" s="79">
        <f t="array" ref="G14">G$9*$L14</f>
        <v/>
      </c>
      <c r="H14" s="79">
        <f t="array" ref="H14">E14+D14</f>
        <v/>
      </c>
      <c r="I14" s="79">
        <f t="array" ref="I14">G14+F14</f>
        <v/>
      </c>
      <c r="J14" s="79">
        <f t="array" ref="J14">D14+F14</f>
        <v/>
      </c>
      <c r="K14" s="79">
        <f t="array" ref="K14">E14+G14</f>
        <v/>
      </c>
      <c r="L14" s="81" t="n"/>
    </row>
    <row r="15" ht="20.05" customHeight="1" s="215">
      <c r="A15" s="56" t="inlineStr">
        <is>
          <t>m04</t>
        </is>
      </c>
      <c r="B15" s="47" t="inlineStr">
        <is>
          <t>4 years</t>
        </is>
      </c>
      <c r="C15" s="106">
        <f t="array" ref="C15">H15+I15</f>
        <v/>
      </c>
      <c r="D15" s="106">
        <f t="array" ref="D15">D$9*$L15</f>
        <v/>
      </c>
      <c r="E15" s="106">
        <f t="array" ref="E15">E$9*$L15</f>
        <v/>
      </c>
      <c r="F15" s="106">
        <f t="array" ref="F15">F$9*$L15</f>
        <v/>
      </c>
      <c r="G15" s="106">
        <f t="array" ref="G15">G$9*$L15</f>
        <v/>
      </c>
      <c r="H15" s="106">
        <f t="array" ref="H15">E15+D15</f>
        <v/>
      </c>
      <c r="I15" s="106">
        <f t="array" ref="I15">G15+F15</f>
        <v/>
      </c>
      <c r="J15" s="106">
        <f t="array" ref="J15">D15+F15</f>
        <v/>
      </c>
      <c r="K15" s="106">
        <f t="array" ref="K15">E15+G15</f>
        <v/>
      </c>
      <c r="L15" s="81" t="n"/>
    </row>
    <row r="16" ht="20.05" customHeight="1" s="215">
      <c r="A16" s="56" t="inlineStr">
        <is>
          <t>m05</t>
        </is>
      </c>
      <c r="B16" s="13" t="inlineStr">
        <is>
          <t>5 years</t>
        </is>
      </c>
      <c r="C16" s="110">
        <f t="array" ref="C16">H16+I16</f>
        <v/>
      </c>
      <c r="D16" s="110">
        <f t="array" ref="D16">D$9*$L16</f>
        <v/>
      </c>
      <c r="E16" s="110">
        <f t="array" ref="E16">E$9*$L16</f>
        <v/>
      </c>
      <c r="F16" s="110">
        <f t="array" ref="F16">F$9*$L16</f>
        <v/>
      </c>
      <c r="G16" s="110">
        <f t="array" ref="G16">G$9*$L16</f>
        <v/>
      </c>
      <c r="H16" s="110">
        <f t="array" ref="H16">E16+D16</f>
        <v/>
      </c>
      <c r="I16" s="110">
        <f t="array" ref="I16">G16+F16</f>
        <v/>
      </c>
      <c r="J16" s="110">
        <f t="array" ref="J16">D16+F16</f>
        <v/>
      </c>
      <c r="K16" s="110">
        <f t="array" ref="K16">E16+G16</f>
        <v/>
      </c>
      <c r="L16" s="226" t="n">
        <v>0.0001247127</v>
      </c>
    </row>
    <row r="17" ht="20.05" customHeight="1" s="215">
      <c r="A17" s="56" t="inlineStr">
        <is>
          <t>m06</t>
        </is>
      </c>
      <c r="B17" s="13" t="inlineStr">
        <is>
          <t>6 years</t>
        </is>
      </c>
      <c r="C17" s="110">
        <f t="array" ref="C17">H17+I17</f>
        <v/>
      </c>
      <c r="D17" s="110">
        <f t="array" ref="D17">D$9*$L17</f>
        <v/>
      </c>
      <c r="E17" s="110">
        <f t="array" ref="E17">E$9*$L17</f>
        <v/>
      </c>
      <c r="F17" s="110">
        <f t="array" ref="F17">F$9*$L17</f>
        <v/>
      </c>
      <c r="G17" s="110">
        <f t="array" ref="G17">G$9*$L17</f>
        <v/>
      </c>
      <c r="H17" s="110">
        <f t="array" ref="H17">E17+D17</f>
        <v/>
      </c>
      <c r="I17" s="110">
        <f t="array" ref="I17">G17+F17</f>
        <v/>
      </c>
      <c r="J17" s="110">
        <f t="array" ref="J17">D17+F17</f>
        <v/>
      </c>
      <c r="K17" s="110">
        <f t="array" ref="K17">E17+G17</f>
        <v/>
      </c>
      <c r="L17" s="226" t="n">
        <v>0.0002035291</v>
      </c>
    </row>
    <row r="18" ht="20.05" customHeight="1" s="215">
      <c r="A18" s="56" t="inlineStr">
        <is>
          <t>m07</t>
        </is>
      </c>
      <c r="B18" s="13" t="inlineStr">
        <is>
          <t>7 years</t>
        </is>
      </c>
      <c r="C18" s="110">
        <f t="array" ref="C18">H18+I18</f>
        <v/>
      </c>
      <c r="D18" s="110">
        <f t="array" ref="D18">D$9*$L18</f>
        <v/>
      </c>
      <c r="E18" s="110">
        <f t="array" ref="E18">E$9*$L18</f>
        <v/>
      </c>
      <c r="F18" s="110">
        <f t="array" ref="F18">F$9*$L18</f>
        <v/>
      </c>
      <c r="G18" s="110">
        <f t="array" ref="G18">G$9*$L18</f>
        <v/>
      </c>
      <c r="H18" s="110">
        <f t="array" ref="H18">E18+D18</f>
        <v/>
      </c>
      <c r="I18" s="110">
        <f t="array" ref="I18">G18+F18</f>
        <v/>
      </c>
      <c r="J18" s="110">
        <f t="array" ref="J18">D18+F18</f>
        <v/>
      </c>
      <c r="K18" s="110">
        <f t="array" ref="K18">E18+G18</f>
        <v/>
      </c>
      <c r="L18" s="226" t="n">
        <v>0.000325446</v>
      </c>
    </row>
    <row r="19" ht="20.05" customHeight="1" s="215">
      <c r="A19" s="56" t="inlineStr">
        <is>
          <t>m08</t>
        </is>
      </c>
      <c r="B19" s="13" t="inlineStr">
        <is>
          <t>8 years</t>
        </is>
      </c>
      <c r="C19" s="110">
        <f t="array" ref="C19">H19+I19</f>
        <v/>
      </c>
      <c r="D19" s="110">
        <f t="array" ref="D19">D$9*$L19</f>
        <v/>
      </c>
      <c r="E19" s="110">
        <f t="array" ref="E19">E$9*$L19</f>
        <v/>
      </c>
      <c r="F19" s="110">
        <f t="array" ref="F19">F$9*$L19</f>
        <v/>
      </c>
      <c r="G19" s="110">
        <f t="array" ref="G19">G$9*$L19</f>
        <v/>
      </c>
      <c r="H19" s="110">
        <f t="array" ref="H19">E19+D19</f>
        <v/>
      </c>
      <c r="I19" s="110">
        <f t="array" ref="I19">G19+F19</f>
        <v/>
      </c>
      <c r="J19" s="110">
        <f t="array" ref="J19">D19+F19</f>
        <v/>
      </c>
      <c r="K19" s="110">
        <f t="array" ref="K19">E19+G19</f>
        <v/>
      </c>
      <c r="L19" s="226" t="n">
        <v>0.0005098804</v>
      </c>
    </row>
    <row r="20" ht="20.05" customHeight="1" s="215">
      <c r="A20" s="56" t="inlineStr">
        <is>
          <t>m09</t>
        </is>
      </c>
      <c r="B20" s="13" t="inlineStr">
        <is>
          <t>9 years</t>
        </is>
      </c>
      <c r="C20" s="110">
        <f t="array" ref="C20">H20+I20</f>
        <v/>
      </c>
      <c r="D20" s="110">
        <f t="array" ref="D20">D$9*$L20</f>
        <v/>
      </c>
      <c r="E20" s="110">
        <f t="array" ref="E20">E$9*$L20</f>
        <v/>
      </c>
      <c r="F20" s="110">
        <f t="array" ref="F20">F$9*$L20</f>
        <v/>
      </c>
      <c r="G20" s="110">
        <f t="array" ref="G20">G$9*$L20</f>
        <v/>
      </c>
      <c r="H20" s="110">
        <f t="array" ref="H20">E20+D20</f>
        <v/>
      </c>
      <c r="I20" s="110">
        <f t="array" ref="I20">G20+F20</f>
        <v/>
      </c>
      <c r="J20" s="110">
        <f t="array" ref="J20">D20+F20</f>
        <v/>
      </c>
      <c r="K20" s="110">
        <f t="array" ref="K20">E20+G20</f>
        <v/>
      </c>
      <c r="L20" s="226" t="n">
        <v>0.0007826985</v>
      </c>
    </row>
    <row r="21" ht="20.05" customHeight="1" s="215">
      <c r="A21" s="56" t="inlineStr">
        <is>
          <t>m10</t>
        </is>
      </c>
      <c r="B21" s="13" t="inlineStr">
        <is>
          <t>10 years</t>
        </is>
      </c>
      <c r="C21" s="110">
        <f t="array" ref="C21">H21+I21</f>
        <v/>
      </c>
      <c r="D21" s="110">
        <f t="array" ref="D21">D$9*$L21</f>
        <v/>
      </c>
      <c r="E21" s="110">
        <f t="array" ref="E21">E$9*$L21</f>
        <v/>
      </c>
      <c r="F21" s="110">
        <f t="array" ref="F21">F$9*$L21</f>
        <v/>
      </c>
      <c r="G21" s="110">
        <f t="array" ref="G21">G$9*$L21</f>
        <v/>
      </c>
      <c r="H21" s="110">
        <f t="array" ref="H21">E21+D21</f>
        <v/>
      </c>
      <c r="I21" s="110">
        <f t="array" ref="I21">G21+F21</f>
        <v/>
      </c>
      <c r="J21" s="110">
        <f t="array" ref="J21">D21+F21</f>
        <v/>
      </c>
      <c r="K21" s="110">
        <f t="array" ref="K21">E21+G21</f>
        <v/>
      </c>
      <c r="L21" s="226" t="n">
        <v>0.0011772198</v>
      </c>
    </row>
    <row r="22" ht="20.05" customHeight="1" s="215">
      <c r="A22" s="56" t="inlineStr">
        <is>
          <t>m11</t>
        </is>
      </c>
      <c r="B22" s="13" t="inlineStr">
        <is>
          <t>11 years</t>
        </is>
      </c>
      <c r="C22" s="110">
        <f t="array" ref="C22">H22+I22</f>
        <v/>
      </c>
      <c r="D22" s="110">
        <f t="array" ref="D22">D$9*$L22</f>
        <v/>
      </c>
      <c r="E22" s="110">
        <f t="array" ref="E22">E$9*$L22</f>
        <v/>
      </c>
      <c r="F22" s="110">
        <f t="array" ref="F22">F$9*$L22</f>
        <v/>
      </c>
      <c r="G22" s="110">
        <f t="array" ref="G22">G$9*$L22</f>
        <v/>
      </c>
      <c r="H22" s="110">
        <f t="array" ref="H22">E22+D22</f>
        <v/>
      </c>
      <c r="I22" s="110">
        <f t="array" ref="I22">G22+F22</f>
        <v/>
      </c>
      <c r="J22" s="110">
        <f t="array" ref="J22">D22+F22</f>
        <v/>
      </c>
      <c r="K22" s="110">
        <f t="array" ref="K22">E22+G22</f>
        <v/>
      </c>
      <c r="L22" s="226" t="n">
        <v>0.0017348322</v>
      </c>
    </row>
    <row r="23" ht="20.05" customHeight="1" s="215">
      <c r="A23" s="56" t="inlineStr">
        <is>
          <t>m12</t>
        </is>
      </c>
      <c r="B23" s="13" t="inlineStr">
        <is>
          <t>12 years</t>
        </is>
      </c>
      <c r="C23" s="110">
        <f t="array" ref="C23">H23+I23</f>
        <v/>
      </c>
      <c r="D23" s="110">
        <f t="array" ref="D23">D$9*$L23</f>
        <v/>
      </c>
      <c r="E23" s="110">
        <f t="array" ref="E23">E$9*$L23</f>
        <v/>
      </c>
      <c r="F23" s="110">
        <f t="array" ref="F23">F$9*$L23</f>
        <v/>
      </c>
      <c r="G23" s="110">
        <f t="array" ref="G23">G$9*$L23</f>
        <v/>
      </c>
      <c r="H23" s="110">
        <f t="array" ref="H23">E23+D23</f>
        <v/>
      </c>
      <c r="I23" s="110">
        <f t="array" ref="I23">G23+F23</f>
        <v/>
      </c>
      <c r="J23" s="110">
        <f t="array" ref="J23">D23+F23</f>
        <v/>
      </c>
      <c r="K23" s="110">
        <f t="array" ref="K23">E23+G23</f>
        <v/>
      </c>
      <c r="L23" s="226" t="n">
        <v>0.002504922</v>
      </c>
    </row>
    <row r="24" ht="20.05" customHeight="1" s="215">
      <c r="A24" s="56" t="inlineStr">
        <is>
          <t>m13</t>
        </is>
      </c>
      <c r="B24" s="13" t="inlineStr">
        <is>
          <t>13 years</t>
        </is>
      </c>
      <c r="C24" s="110">
        <f t="array" ref="C24">H24+I24</f>
        <v/>
      </c>
      <c r="D24" s="110">
        <f t="array" ref="D24">D$9*$L24</f>
        <v/>
      </c>
      <c r="E24" s="110">
        <f t="array" ref="E24">E$9*$L24</f>
        <v/>
      </c>
      <c r="F24" s="110">
        <f t="array" ref="F24">F$9*$L24</f>
        <v/>
      </c>
      <c r="G24" s="110">
        <f t="array" ref="G24">G$9*$L24</f>
        <v/>
      </c>
      <c r="H24" s="110">
        <f t="array" ref="H24">E24+D24</f>
        <v/>
      </c>
      <c r="I24" s="110">
        <f t="array" ref="I24">G24+F24</f>
        <v/>
      </c>
      <c r="J24" s="110">
        <f t="array" ref="J24">D24+F24</f>
        <v/>
      </c>
      <c r="K24" s="110">
        <f t="array" ref="K24">E24+G24</f>
        <v/>
      </c>
      <c r="L24" s="226" t="n">
        <v>0.0035437886</v>
      </c>
    </row>
    <row r="25" ht="20.05" customHeight="1" s="215">
      <c r="A25" s="56" t="inlineStr">
        <is>
          <t>m14</t>
        </is>
      </c>
      <c r="B25" s="13" t="inlineStr">
        <is>
          <t>14 years</t>
        </is>
      </c>
      <c r="C25" s="110">
        <f t="array" ref="C25">H25+I25</f>
        <v/>
      </c>
      <c r="D25" s="110">
        <f t="array" ref="D25">D$9*$L25</f>
        <v/>
      </c>
      <c r="E25" s="110">
        <f t="array" ref="E25">E$9*$L25</f>
        <v/>
      </c>
      <c r="F25" s="110">
        <f t="array" ref="F25">F$9*$L25</f>
        <v/>
      </c>
      <c r="G25" s="110">
        <f t="array" ref="G25">G$9*$L25</f>
        <v/>
      </c>
      <c r="H25" s="110">
        <f t="array" ref="H25">E25+D25</f>
        <v/>
      </c>
      <c r="I25" s="110">
        <f t="array" ref="I25">G25+F25</f>
        <v/>
      </c>
      <c r="J25" s="110">
        <f t="array" ref="J25">D25+F25</f>
        <v/>
      </c>
      <c r="K25" s="110">
        <f t="array" ref="K25">E25+G25</f>
        <v/>
      </c>
      <c r="L25" s="226" t="n">
        <v>0.004912225</v>
      </c>
    </row>
    <row r="26" ht="20.05" customHeight="1" s="215">
      <c r="A26" s="56" t="inlineStr">
        <is>
          <t>m15</t>
        </is>
      </c>
      <c r="B26" s="13" t="inlineStr">
        <is>
          <t>15 years</t>
        </is>
      </c>
      <c r="C26" s="110">
        <f t="array" ref="C26">H26+I26</f>
        <v/>
      </c>
      <c r="D26" s="110">
        <f t="array" ref="D26">D$9*$L26</f>
        <v/>
      </c>
      <c r="E26" s="110">
        <f t="array" ref="E26">E$9*$L26</f>
        <v/>
      </c>
      <c r="F26" s="110">
        <f t="array" ref="F26">F$9*$L26</f>
        <v/>
      </c>
      <c r="G26" s="110">
        <f t="array" ref="G26">G$9*$L26</f>
        <v/>
      </c>
      <c r="H26" s="110">
        <f t="array" ref="H26">E26+D26</f>
        <v/>
      </c>
      <c r="I26" s="110">
        <f t="array" ref="I26">G26+F26</f>
        <v/>
      </c>
      <c r="J26" s="110">
        <f t="array" ref="J26">D26+F26</f>
        <v/>
      </c>
      <c r="K26" s="110">
        <f t="array" ref="K26">E26+G26</f>
        <v/>
      </c>
      <c r="L26" s="226" t="n">
        <v>0.0066715315</v>
      </c>
    </row>
    <row r="27" ht="20.05" customHeight="1" s="215">
      <c r="A27" s="56" t="inlineStr">
        <is>
          <t>m16</t>
        </is>
      </c>
      <c r="B27" s="13" t="inlineStr">
        <is>
          <t>16 years</t>
        </is>
      </c>
      <c r="C27" s="110">
        <f t="array" ref="C27">H27+I27</f>
        <v/>
      </c>
      <c r="D27" s="110">
        <f t="array" ref="D27">D$9*$L27</f>
        <v/>
      </c>
      <c r="E27" s="110">
        <f t="array" ref="E27">E$9*$L27</f>
        <v/>
      </c>
      <c r="F27" s="110">
        <f t="array" ref="F27">F$9*$L27</f>
        <v/>
      </c>
      <c r="G27" s="110">
        <f t="array" ref="G27">G$9*$L27</f>
        <v/>
      </c>
      <c r="H27" s="110">
        <f t="array" ref="H27">E27+D27</f>
        <v/>
      </c>
      <c r="I27" s="110">
        <f t="array" ref="I27">G27+F27</f>
        <v/>
      </c>
      <c r="J27" s="110">
        <f t="array" ref="J27">D27+F27</f>
        <v/>
      </c>
      <c r="K27" s="110">
        <f t="array" ref="K27">E27+G27</f>
        <v/>
      </c>
      <c r="L27" s="226" t="n">
        <v>0.008877888299999999</v>
      </c>
    </row>
    <row r="28" ht="20.05" customHeight="1" s="215">
      <c r="A28" s="56" t="inlineStr">
        <is>
          <t>m17</t>
        </is>
      </c>
      <c r="B28" s="13" t="inlineStr">
        <is>
          <t>17 years</t>
        </is>
      </c>
      <c r="C28" s="110">
        <f t="array" ref="C28">H28+I28</f>
        <v/>
      </c>
      <c r="D28" s="110">
        <f t="array" ref="D28">D$9*$L28</f>
        <v/>
      </c>
      <c r="E28" s="110">
        <f t="array" ref="E28">E$9*$L28</f>
        <v/>
      </c>
      <c r="F28" s="110">
        <f t="array" ref="F28">F$9*$L28</f>
        <v/>
      </c>
      <c r="G28" s="110">
        <f t="array" ref="G28">G$9*$L28</f>
        <v/>
      </c>
      <c r="H28" s="110">
        <f t="array" ref="H28">E28+D28</f>
        <v/>
      </c>
      <c r="I28" s="110">
        <f t="array" ref="I28">G28+F28</f>
        <v/>
      </c>
      <c r="J28" s="110">
        <f t="array" ref="J28">D28+F28</f>
        <v/>
      </c>
      <c r="K28" s="110">
        <f t="array" ref="K28">E28+G28</f>
        <v/>
      </c>
      <c r="L28" s="226" t="n">
        <v>0.0115752575</v>
      </c>
    </row>
    <row r="29" ht="20.05" customHeight="1" s="215">
      <c r="A29" s="56" t="inlineStr">
        <is>
          <t>m18</t>
        </is>
      </c>
      <c r="B29" s="13" t="inlineStr">
        <is>
          <t>18 years</t>
        </is>
      </c>
      <c r="C29" s="110">
        <f t="array" ref="C29">H29+I29</f>
        <v/>
      </c>
      <c r="D29" s="110">
        <f t="array" ref="D29">D$9*$L29</f>
        <v/>
      </c>
      <c r="E29" s="110">
        <f t="array" ref="E29">E$9*$L29</f>
        <v/>
      </c>
      <c r="F29" s="110">
        <f t="array" ref="F29">F$9*$L29</f>
        <v/>
      </c>
      <c r="G29" s="110">
        <f t="array" ref="G29">G$9*$L29</f>
        <v/>
      </c>
      <c r="H29" s="110">
        <f t="array" ref="H29">E29+D29</f>
        <v/>
      </c>
      <c r="I29" s="110">
        <f t="array" ref="I29">G29+F29</f>
        <v/>
      </c>
      <c r="J29" s="110">
        <f t="array" ref="J29">D29+F29</f>
        <v/>
      </c>
      <c r="K29" s="110">
        <f t="array" ref="K29">E29+G29</f>
        <v/>
      </c>
      <c r="L29" s="226" t="n">
        <v>0.0147872867</v>
      </c>
    </row>
    <row r="30" ht="20.05" customHeight="1" s="215">
      <c r="A30" s="56" t="inlineStr">
        <is>
          <t>m19</t>
        </is>
      </c>
      <c r="B30" s="13" t="inlineStr">
        <is>
          <t>19 years</t>
        </is>
      </c>
      <c r="C30" s="110">
        <f t="array" ref="C30">H30+I30</f>
        <v/>
      </c>
      <c r="D30" s="110">
        <f t="array" ref="D30">D$9*$L30</f>
        <v/>
      </c>
      <c r="E30" s="110">
        <f t="array" ref="E30">E$9*$L30</f>
        <v/>
      </c>
      <c r="F30" s="110">
        <f t="array" ref="F30">F$9*$L30</f>
        <v/>
      </c>
      <c r="G30" s="110">
        <f t="array" ref="G30">G$9*$L30</f>
        <v/>
      </c>
      <c r="H30" s="110">
        <f t="array" ref="H30">E30+D30</f>
        <v/>
      </c>
      <c r="I30" s="110">
        <f t="array" ref="I30">G30+F30</f>
        <v/>
      </c>
      <c r="J30" s="110">
        <f t="array" ref="J30">D30+F30</f>
        <v/>
      </c>
      <c r="K30" s="110">
        <f t="array" ref="K30">E30+G30</f>
        <v/>
      </c>
      <c r="L30" s="226" t="n">
        <v>0.0185090093</v>
      </c>
    </row>
    <row r="31" ht="20.05" customHeight="1" s="215">
      <c r="A31" s="56" t="inlineStr">
        <is>
          <t>m20</t>
        </is>
      </c>
      <c r="B31" s="13" t="inlineStr">
        <is>
          <t>20 years</t>
        </is>
      </c>
      <c r="C31" s="110">
        <f t="array" ref="C31">H31+I31</f>
        <v/>
      </c>
      <c r="D31" s="110">
        <f t="array" ref="D31">D$9*$L31</f>
        <v/>
      </c>
      <c r="E31" s="110">
        <f t="array" ref="E31">E$9*$L31</f>
        <v/>
      </c>
      <c r="F31" s="110">
        <f t="array" ref="F31">F$9*$L31</f>
        <v/>
      </c>
      <c r="G31" s="110">
        <f t="array" ref="G31">G$9*$L31</f>
        <v/>
      </c>
      <c r="H31" s="110">
        <f t="array" ref="H31">E31+D31</f>
        <v/>
      </c>
      <c r="I31" s="110">
        <f t="array" ref="I31">G31+F31</f>
        <v/>
      </c>
      <c r="J31" s="110">
        <f t="array" ref="J31">D31+F31</f>
        <v/>
      </c>
      <c r="K31" s="110">
        <f t="array" ref="K31">E31+G31</f>
        <v/>
      </c>
      <c r="L31" s="226" t="n">
        <v>0.0226994169</v>
      </c>
    </row>
    <row r="32" ht="20.05" customHeight="1" s="215">
      <c r="A32" s="56" t="inlineStr">
        <is>
          <t>m21</t>
        </is>
      </c>
      <c r="B32" s="13" t="inlineStr">
        <is>
          <t>21 years</t>
        </is>
      </c>
      <c r="C32" s="110">
        <f t="array" ref="C32">H32+I32</f>
        <v/>
      </c>
      <c r="D32" s="110">
        <f t="array" ref="D32">D$9*$L32</f>
        <v/>
      </c>
      <c r="E32" s="110">
        <f t="array" ref="E32">E$9*$L32</f>
        <v/>
      </c>
      <c r="F32" s="110">
        <f t="array" ref="F32">F$9*$L32</f>
        <v/>
      </c>
      <c r="G32" s="110">
        <f t="array" ref="G32">G$9*$L32</f>
        <v/>
      </c>
      <c r="H32" s="110">
        <f t="array" ref="H32">E32+D32</f>
        <v/>
      </c>
      <c r="I32" s="110">
        <f t="array" ref="I32">G32+F32</f>
        <v/>
      </c>
      <c r="J32" s="110">
        <f t="array" ref="J32">D32+F32</f>
        <v/>
      </c>
      <c r="K32" s="110">
        <f t="array" ref="K32">E32+G32</f>
        <v/>
      </c>
      <c r="L32" s="226" t="n">
        <v>0.0272761503</v>
      </c>
    </row>
    <row r="33" ht="20.05" customHeight="1" s="215">
      <c r="A33" s="56" t="inlineStr">
        <is>
          <t>m22</t>
        </is>
      </c>
      <c r="B33" s="13" t="inlineStr">
        <is>
          <t>22 years</t>
        </is>
      </c>
      <c r="C33" s="110">
        <f t="array" ref="C33">H33+I33</f>
        <v/>
      </c>
      <c r="D33" s="110">
        <f t="array" ref="D33">D$9*$L33</f>
        <v/>
      </c>
      <c r="E33" s="110">
        <f t="array" ref="E33">E$9*$L33</f>
        <v/>
      </c>
      <c r="F33" s="110">
        <f t="array" ref="F33">F$9*$L33</f>
        <v/>
      </c>
      <c r="G33" s="110">
        <f t="array" ref="G33">G$9*$L33</f>
        <v/>
      </c>
      <c r="H33" s="110">
        <f t="array" ref="H33">E33+D33</f>
        <v/>
      </c>
      <c r="I33" s="110">
        <f t="array" ref="I33">G33+F33</f>
        <v/>
      </c>
      <c r="J33" s="110">
        <f t="array" ref="J33">D33+F33</f>
        <v/>
      </c>
      <c r="K33" s="110">
        <f t="array" ref="K33">E33+G33</f>
        <v/>
      </c>
      <c r="L33" s="226" t="n">
        <v>0.0321135485</v>
      </c>
    </row>
    <row r="34" ht="20.05" customHeight="1" s="215">
      <c r="A34" s="56" t="inlineStr">
        <is>
          <t>m23</t>
        </is>
      </c>
      <c r="B34" s="13" t="inlineStr">
        <is>
          <t>23 years</t>
        </is>
      </c>
      <c r="C34" s="110">
        <f t="array" ref="C34">H34+I34</f>
        <v/>
      </c>
      <c r="D34" s="110">
        <f t="array" ref="D34">D$9*$L34</f>
        <v/>
      </c>
      <c r="E34" s="110">
        <f t="array" ref="E34">E$9*$L34</f>
        <v/>
      </c>
      <c r="F34" s="110">
        <f t="array" ref="F34">F$9*$L34</f>
        <v/>
      </c>
      <c r="G34" s="110">
        <f t="array" ref="G34">G$9*$L34</f>
        <v/>
      </c>
      <c r="H34" s="110">
        <f t="array" ref="H34">E34+D34</f>
        <v/>
      </c>
      <c r="I34" s="110">
        <f t="array" ref="I34">G34+F34</f>
        <v/>
      </c>
      <c r="J34" s="110">
        <f t="array" ref="J34">D34+F34</f>
        <v/>
      </c>
      <c r="K34" s="110">
        <f t="array" ref="K34">E34+G34</f>
        <v/>
      </c>
      <c r="L34" s="226" t="n">
        <v>0.0370450654</v>
      </c>
    </row>
    <row r="35" ht="20.05" customHeight="1" s="215">
      <c r="A35" s="56" t="inlineStr">
        <is>
          <t>m24</t>
        </is>
      </c>
      <c r="B35" s="13" t="inlineStr">
        <is>
          <t>24 years</t>
        </is>
      </c>
      <c r="C35" s="110">
        <f t="array" ref="C35">H35+I35</f>
        <v/>
      </c>
      <c r="D35" s="110">
        <f t="array" ref="D35">D$9*$L35</f>
        <v/>
      </c>
      <c r="E35" s="110">
        <f t="array" ref="E35">E$9*$L35</f>
        <v/>
      </c>
      <c r="F35" s="110">
        <f t="array" ref="F35">F$9*$L35</f>
        <v/>
      </c>
      <c r="G35" s="110">
        <f t="array" ref="G35">G$9*$L35</f>
        <v/>
      </c>
      <c r="H35" s="110">
        <f t="array" ref="H35">E35+D35</f>
        <v/>
      </c>
      <c r="I35" s="110">
        <f t="array" ref="I35">G35+F35</f>
        <v/>
      </c>
      <c r="J35" s="110">
        <f t="array" ref="J35">D35+F35</f>
        <v/>
      </c>
      <c r="K35" s="110">
        <f t="array" ref="K35">E35+G35</f>
        <v/>
      </c>
      <c r="L35" s="226" t="n">
        <v>0.0418706094</v>
      </c>
    </row>
    <row r="36" ht="20.05" customHeight="1" s="215">
      <c r="A36" s="56" t="inlineStr">
        <is>
          <t>m25</t>
        </is>
      </c>
      <c r="B36" s="13" t="inlineStr">
        <is>
          <t>25 years</t>
        </is>
      </c>
      <c r="C36" s="110">
        <f t="array" ref="C36">H36+I36</f>
        <v/>
      </c>
      <c r="D36" s="110">
        <f t="array" ref="D36">D$9*$L36</f>
        <v/>
      </c>
      <c r="E36" s="110">
        <f t="array" ref="E36">E$9*$L36</f>
        <v/>
      </c>
      <c r="F36" s="110">
        <f t="array" ref="F36">F$9*$L36</f>
        <v/>
      </c>
      <c r="G36" s="110">
        <f t="array" ref="G36">G$9*$L36</f>
        <v/>
      </c>
      <c r="H36" s="110">
        <f t="array" ref="H36">E36+D36</f>
        <v/>
      </c>
      <c r="I36" s="110">
        <f t="array" ref="I36">G36+F36</f>
        <v/>
      </c>
      <c r="J36" s="110">
        <f t="array" ref="J36">D36+F36</f>
        <v/>
      </c>
      <c r="K36" s="110">
        <f t="array" ref="K36">E36+G36</f>
        <v/>
      </c>
      <c r="L36" s="226" t="n">
        <v>0.0463687134</v>
      </c>
    </row>
    <row r="37" ht="20.05" customHeight="1" s="215">
      <c r="A37" s="56" t="inlineStr">
        <is>
          <t>m26</t>
        </is>
      </c>
      <c r="B37" s="13" t="inlineStr">
        <is>
          <t>26 years</t>
        </is>
      </c>
      <c r="C37" s="110">
        <f t="array" ref="C37">H37+I37</f>
        <v/>
      </c>
      <c r="D37" s="110">
        <f t="array" ref="D37">D$9*$L37</f>
        <v/>
      </c>
      <c r="E37" s="110">
        <f t="array" ref="E37">E$9*$L37</f>
        <v/>
      </c>
      <c r="F37" s="110">
        <f t="array" ref="F37">F$9*$L37</f>
        <v/>
      </c>
      <c r="G37" s="110">
        <f t="array" ref="G37">G$9*$L37</f>
        <v/>
      </c>
      <c r="H37" s="110">
        <f t="array" ref="H37">E37+D37</f>
        <v/>
      </c>
      <c r="I37" s="110">
        <f t="array" ref="I37">G37+F37</f>
        <v/>
      </c>
      <c r="J37" s="110">
        <f t="array" ref="J37">D37+F37</f>
        <v/>
      </c>
      <c r="K37" s="110">
        <f t="array" ref="K37">E37+G37</f>
        <v/>
      </c>
      <c r="L37" s="226" t="n">
        <v>0.0503127037</v>
      </c>
    </row>
    <row r="38" ht="20.05" customHeight="1" s="215">
      <c r="A38" s="56" t="inlineStr">
        <is>
          <t>m27</t>
        </is>
      </c>
      <c r="B38" s="13" t="inlineStr">
        <is>
          <t>27 years</t>
        </is>
      </c>
      <c r="C38" s="110">
        <f t="array" ref="C38">H38+I38</f>
        <v/>
      </c>
      <c r="D38" s="110">
        <f t="array" ref="D38">D$9*$L38</f>
        <v/>
      </c>
      <c r="E38" s="110">
        <f t="array" ref="E38">E$9*$L38</f>
        <v/>
      </c>
      <c r="F38" s="110">
        <f t="array" ref="F38">F$9*$L38</f>
        <v/>
      </c>
      <c r="G38" s="110">
        <f t="array" ref="G38">G$9*$L38</f>
        <v/>
      </c>
      <c r="H38" s="110">
        <f t="array" ref="H38">E38+D38</f>
        <v/>
      </c>
      <c r="I38" s="110">
        <f t="array" ref="I38">G38+F38</f>
        <v/>
      </c>
      <c r="J38" s="110">
        <f t="array" ref="J38">D38+F38</f>
        <v/>
      </c>
      <c r="K38" s="110">
        <f t="array" ref="K38">E38+G38</f>
        <v/>
      </c>
      <c r="L38" s="226" t="n">
        <v>0.0534893246</v>
      </c>
    </row>
    <row r="39" ht="20.05" customHeight="1" s="215">
      <c r="A39" s="56" t="inlineStr">
        <is>
          <t>m28</t>
        </is>
      </c>
      <c r="B39" s="13" t="inlineStr">
        <is>
          <t>28 years</t>
        </is>
      </c>
      <c r="C39" s="110">
        <f t="array" ref="C39">H39+I39</f>
        <v/>
      </c>
      <c r="D39" s="110">
        <f t="array" ref="D39">D$9*$L39</f>
        <v/>
      </c>
      <c r="E39" s="110">
        <f t="array" ref="E39">E$9*$L39</f>
        <v/>
      </c>
      <c r="F39" s="110">
        <f t="array" ref="F39">F$9*$L39</f>
        <v/>
      </c>
      <c r="G39" s="110">
        <f t="array" ref="G39">G$9*$L39</f>
        <v/>
      </c>
      <c r="H39" s="110">
        <f t="array" ref="H39">E39+D39</f>
        <v/>
      </c>
      <c r="I39" s="110">
        <f t="array" ref="I39">G39+F39</f>
        <v/>
      </c>
      <c r="J39" s="110">
        <f t="array" ref="J39">D39+F39</f>
        <v/>
      </c>
      <c r="K39" s="110">
        <f t="array" ref="K39">E39+G39</f>
        <v/>
      </c>
      <c r="L39" s="226" t="n">
        <v>0.0557177306</v>
      </c>
    </row>
    <row r="40" ht="20.05" customHeight="1" s="215">
      <c r="A40" s="56" t="inlineStr">
        <is>
          <t>m29</t>
        </is>
      </c>
      <c r="B40" s="13" t="inlineStr">
        <is>
          <t>29 years</t>
        </is>
      </c>
      <c r="C40" s="110">
        <f t="array" ref="C40">H40+I40</f>
        <v/>
      </c>
      <c r="D40" s="110">
        <f t="array" ref="D40">D$9*$L40</f>
        <v/>
      </c>
      <c r="E40" s="110">
        <f t="array" ref="E40">E$9*$L40</f>
        <v/>
      </c>
      <c r="F40" s="110">
        <f t="array" ref="F40">F$9*$L40</f>
        <v/>
      </c>
      <c r="G40" s="110">
        <f t="array" ref="G40">G$9*$L40</f>
        <v/>
      </c>
      <c r="H40" s="110">
        <f t="array" ref="H40">E40+D40</f>
        <v/>
      </c>
      <c r="I40" s="110">
        <f t="array" ref="I40">G40+F40</f>
        <v/>
      </c>
      <c r="J40" s="110">
        <f t="array" ref="J40">D40+F40</f>
        <v/>
      </c>
      <c r="K40" s="110">
        <f t="array" ref="K40">E40+G40</f>
        <v/>
      </c>
      <c r="L40" s="226" t="n">
        <v>0.0568665096</v>
      </c>
    </row>
    <row r="41" ht="20.05" customHeight="1" s="215">
      <c r="A41" s="56" t="inlineStr">
        <is>
          <t>m30</t>
        </is>
      </c>
      <c r="B41" s="13" t="inlineStr">
        <is>
          <t>30 years</t>
        </is>
      </c>
      <c r="C41" s="110">
        <f t="array" ref="C41">H41+I41</f>
        <v/>
      </c>
      <c r="D41" s="110">
        <f t="array" ref="D41">D$9*$L41</f>
        <v/>
      </c>
      <c r="E41" s="110">
        <f t="array" ref="E41">E$9*$L41</f>
        <v/>
      </c>
      <c r="F41" s="110">
        <f t="array" ref="F41">F$9*$L41</f>
        <v/>
      </c>
      <c r="G41" s="110">
        <f t="array" ref="G41">G$9*$L41</f>
        <v/>
      </c>
      <c r="H41" s="110">
        <f t="array" ref="H41">E41+D41</f>
        <v/>
      </c>
      <c r="I41" s="110">
        <f t="array" ref="I41">G41+F41</f>
        <v/>
      </c>
      <c r="J41" s="110">
        <f t="array" ref="J41">D41+F41</f>
        <v/>
      </c>
      <c r="K41" s="110">
        <f t="array" ref="K41">E41+G41</f>
        <v/>
      </c>
      <c r="L41" s="226" t="n">
        <v>0.0568665096</v>
      </c>
    </row>
    <row r="42" ht="20.05" customHeight="1" s="215">
      <c r="A42" s="56" t="inlineStr">
        <is>
          <t>m31</t>
        </is>
      </c>
      <c r="B42" s="13" t="inlineStr">
        <is>
          <t>31 years</t>
        </is>
      </c>
      <c r="C42" s="110">
        <f t="array" ref="C42">H42+I42</f>
        <v/>
      </c>
      <c r="D42" s="110">
        <f t="array" ref="D42">D$9*$L42</f>
        <v/>
      </c>
      <c r="E42" s="110">
        <f t="array" ref="E42">E$9*$L42</f>
        <v/>
      </c>
      <c r="F42" s="110">
        <f t="array" ref="F42">F$9*$L42</f>
        <v/>
      </c>
      <c r="G42" s="110">
        <f t="array" ref="G42">G$9*$L42</f>
        <v/>
      </c>
      <c r="H42" s="110">
        <f t="array" ref="H42">E42+D42</f>
        <v/>
      </c>
      <c r="I42" s="110">
        <f t="array" ref="I42">G42+F42</f>
        <v/>
      </c>
      <c r="J42" s="110">
        <f t="array" ref="J42">D42+F42</f>
        <v/>
      </c>
      <c r="K42" s="110">
        <f t="array" ref="K42">E42+G42</f>
        <v/>
      </c>
      <c r="L42" s="226" t="n">
        <v>0.0557177306</v>
      </c>
    </row>
    <row r="43" ht="20.05" customHeight="1" s="215">
      <c r="A43" s="56" t="inlineStr">
        <is>
          <t>m32</t>
        </is>
      </c>
      <c r="B43" s="13" t="inlineStr">
        <is>
          <t>32 years</t>
        </is>
      </c>
      <c r="C43" s="110">
        <f t="array" ref="C43">H43+I43</f>
        <v/>
      </c>
      <c r="D43" s="110">
        <f t="array" ref="D43">D$9*$L43</f>
        <v/>
      </c>
      <c r="E43" s="110">
        <f t="array" ref="E43">E$9*$L43</f>
        <v/>
      </c>
      <c r="F43" s="110">
        <f t="array" ref="F43">F$9*$L43</f>
        <v/>
      </c>
      <c r="G43" s="110">
        <f t="array" ref="G43">G$9*$L43</f>
        <v/>
      </c>
      <c r="H43" s="110">
        <f t="array" ref="H43">E43+D43</f>
        <v/>
      </c>
      <c r="I43" s="110">
        <f t="array" ref="I43">G43+F43</f>
        <v/>
      </c>
      <c r="J43" s="110">
        <f t="array" ref="J43">D43+F43</f>
        <v/>
      </c>
      <c r="K43" s="110">
        <f t="array" ref="K43">E43+G43</f>
        <v/>
      </c>
      <c r="L43" s="226" t="n">
        <v>0.0534893246</v>
      </c>
    </row>
    <row r="44" ht="20.05" customHeight="1" s="215">
      <c r="A44" s="56" t="inlineStr">
        <is>
          <t>m33</t>
        </is>
      </c>
      <c r="B44" s="13" t="inlineStr">
        <is>
          <t>33 years</t>
        </is>
      </c>
      <c r="C44" s="110">
        <f t="array" ref="C44">H44+I44</f>
        <v/>
      </c>
      <c r="D44" s="110">
        <f t="array" ref="D44">D$9*$L44</f>
        <v/>
      </c>
      <c r="E44" s="110">
        <f t="array" ref="E44">E$9*$L44</f>
        <v/>
      </c>
      <c r="F44" s="110">
        <f t="array" ref="F44">F$9*$L44</f>
        <v/>
      </c>
      <c r="G44" s="110">
        <f t="array" ref="G44">G$9*$L44</f>
        <v/>
      </c>
      <c r="H44" s="110">
        <f t="array" ref="H44">E44+D44</f>
        <v/>
      </c>
      <c r="I44" s="110">
        <f t="array" ref="I44">G44+F44</f>
        <v/>
      </c>
      <c r="J44" s="110">
        <f t="array" ref="J44">D44+F44</f>
        <v/>
      </c>
      <c r="K44" s="110">
        <f t="array" ref="K44">E44+G44</f>
        <v/>
      </c>
      <c r="L44" s="226" t="n">
        <v>0.0503127037</v>
      </c>
    </row>
    <row r="45" ht="20.05" customHeight="1" s="215">
      <c r="A45" s="56" t="inlineStr">
        <is>
          <t>m34</t>
        </is>
      </c>
      <c r="B45" s="13" t="inlineStr">
        <is>
          <t>34 years</t>
        </is>
      </c>
      <c r="C45" s="110">
        <f t="array" ref="C45">H45+I45</f>
        <v/>
      </c>
      <c r="D45" s="110">
        <f t="array" ref="D45">D$9*$L45</f>
        <v/>
      </c>
      <c r="E45" s="110">
        <f t="array" ref="E45">E$9*$L45</f>
        <v/>
      </c>
      <c r="F45" s="110">
        <f t="array" ref="F45">F$9*$L45</f>
        <v/>
      </c>
      <c r="G45" s="110">
        <f t="array" ref="G45">G$9*$L45</f>
        <v/>
      </c>
      <c r="H45" s="110">
        <f t="array" ref="H45">E45+D45</f>
        <v/>
      </c>
      <c r="I45" s="110">
        <f t="array" ref="I45">G45+F45</f>
        <v/>
      </c>
      <c r="J45" s="110">
        <f t="array" ref="J45">D45+F45</f>
        <v/>
      </c>
      <c r="K45" s="110">
        <f t="array" ref="K45">E45+G45</f>
        <v/>
      </c>
      <c r="L45" s="226" t="n">
        <v>0.0463687134</v>
      </c>
    </row>
    <row r="46" ht="20.05" customHeight="1" s="215">
      <c r="A46" s="56" t="inlineStr">
        <is>
          <t>m35</t>
        </is>
      </c>
      <c r="B46" s="13" t="inlineStr">
        <is>
          <t>35 years</t>
        </is>
      </c>
      <c r="C46" s="110">
        <f t="array" ref="C46">H46+I46</f>
        <v/>
      </c>
      <c r="D46" s="110">
        <f t="array" ref="D46">D$9*$L46</f>
        <v/>
      </c>
      <c r="E46" s="110">
        <f t="array" ref="E46">E$9*$L46</f>
        <v/>
      </c>
      <c r="F46" s="110">
        <f t="array" ref="F46">F$9*$L46</f>
        <v/>
      </c>
      <c r="G46" s="110">
        <f t="array" ref="G46">G$9*$L46</f>
        <v/>
      </c>
      <c r="H46" s="110">
        <f t="array" ref="H46">E46+D46</f>
        <v/>
      </c>
      <c r="I46" s="110">
        <f t="array" ref="I46">G46+F46</f>
        <v/>
      </c>
      <c r="J46" s="110">
        <f t="array" ref="J46">D46+F46</f>
        <v/>
      </c>
      <c r="K46" s="110">
        <f t="array" ref="K46">E46+G46</f>
        <v/>
      </c>
      <c r="L46" s="226" t="n">
        <v>0.0418706094</v>
      </c>
    </row>
    <row r="47" ht="20.05" customHeight="1" s="215">
      <c r="A47" s="56" t="inlineStr">
        <is>
          <t>m36</t>
        </is>
      </c>
      <c r="B47" s="13" t="inlineStr">
        <is>
          <t>36 years</t>
        </is>
      </c>
      <c r="C47" s="110">
        <f t="array" ref="C47">H47+I47</f>
        <v/>
      </c>
      <c r="D47" s="110">
        <f t="array" ref="D47">D$9*$L47</f>
        <v/>
      </c>
      <c r="E47" s="110">
        <f t="array" ref="E47">E$9*$L47</f>
        <v/>
      </c>
      <c r="F47" s="110">
        <f t="array" ref="F47">F$9*$L47</f>
        <v/>
      </c>
      <c r="G47" s="110">
        <f t="array" ref="G47">G$9*$L47</f>
        <v/>
      </c>
      <c r="H47" s="110">
        <f t="array" ref="H47">E47+D47</f>
        <v/>
      </c>
      <c r="I47" s="110">
        <f t="array" ref="I47">G47+F47</f>
        <v/>
      </c>
      <c r="J47" s="110">
        <f t="array" ref="J47">D47+F47</f>
        <v/>
      </c>
      <c r="K47" s="110">
        <f t="array" ref="K47">E47+G47</f>
        <v/>
      </c>
      <c r="L47" s="226" t="n">
        <v>0.0370450654</v>
      </c>
    </row>
    <row r="48" ht="20.05" customHeight="1" s="215">
      <c r="A48" s="56" t="inlineStr">
        <is>
          <t>m37</t>
        </is>
      </c>
      <c r="B48" s="13" t="inlineStr">
        <is>
          <t>37 years</t>
        </is>
      </c>
      <c r="C48" s="110">
        <f t="array" ref="C48">H48+I48</f>
        <v/>
      </c>
      <c r="D48" s="110">
        <f t="array" ref="D48">D$9*$L48</f>
        <v/>
      </c>
      <c r="E48" s="110">
        <f t="array" ref="E48">E$9*$L48</f>
        <v/>
      </c>
      <c r="F48" s="110">
        <f t="array" ref="F48">F$9*$L48</f>
        <v/>
      </c>
      <c r="G48" s="110">
        <f t="array" ref="G48">G$9*$L48</f>
        <v/>
      </c>
      <c r="H48" s="110">
        <f t="array" ref="H48">E48+D48</f>
        <v/>
      </c>
      <c r="I48" s="110">
        <f t="array" ref="I48">G48+F48</f>
        <v/>
      </c>
      <c r="J48" s="110">
        <f t="array" ref="J48">D48+F48</f>
        <v/>
      </c>
      <c r="K48" s="110">
        <f t="array" ref="K48">E48+G48</f>
        <v/>
      </c>
      <c r="L48" s="226" t="n">
        <v>0.0321135485</v>
      </c>
    </row>
    <row r="49" ht="20.05" customHeight="1" s="215">
      <c r="A49" s="56" t="inlineStr">
        <is>
          <t>m38</t>
        </is>
      </c>
      <c r="B49" s="13" t="inlineStr">
        <is>
          <t>38 years</t>
        </is>
      </c>
      <c r="C49" s="110">
        <f t="array" ref="C49">H49+I49</f>
        <v/>
      </c>
      <c r="D49" s="110">
        <f t="array" ref="D49">D$9*$L49</f>
        <v/>
      </c>
      <c r="E49" s="110">
        <f t="array" ref="E49">E$9*$L49</f>
        <v/>
      </c>
      <c r="F49" s="110">
        <f t="array" ref="F49">F$9*$L49</f>
        <v/>
      </c>
      <c r="G49" s="110">
        <f t="array" ref="G49">G$9*$L49</f>
        <v/>
      </c>
      <c r="H49" s="110">
        <f t="array" ref="H49">E49+D49</f>
        <v/>
      </c>
      <c r="I49" s="110">
        <f t="array" ref="I49">G49+F49</f>
        <v/>
      </c>
      <c r="J49" s="110">
        <f t="array" ref="J49">D49+F49</f>
        <v/>
      </c>
      <c r="K49" s="110">
        <f t="array" ref="K49">E49+G49</f>
        <v/>
      </c>
      <c r="L49" s="226" t="n">
        <v>0.0272761503</v>
      </c>
    </row>
    <row r="50" ht="20.05" customHeight="1" s="215">
      <c r="A50" s="56" t="inlineStr">
        <is>
          <t>m39</t>
        </is>
      </c>
      <c r="B50" s="13" t="inlineStr">
        <is>
          <t>39 years</t>
        </is>
      </c>
      <c r="C50" s="110">
        <f t="array" ref="C50">H50+I50</f>
        <v/>
      </c>
      <c r="D50" s="110">
        <f t="array" ref="D50">D$9*$L50</f>
        <v/>
      </c>
      <c r="E50" s="110">
        <f t="array" ref="E50">E$9*$L50</f>
        <v/>
      </c>
      <c r="F50" s="110">
        <f t="array" ref="F50">F$9*$L50</f>
        <v/>
      </c>
      <c r="G50" s="110">
        <f t="array" ref="G50">G$9*$L50</f>
        <v/>
      </c>
      <c r="H50" s="110">
        <f t="array" ref="H50">E50+D50</f>
        <v/>
      </c>
      <c r="I50" s="110">
        <f t="array" ref="I50">G50+F50</f>
        <v/>
      </c>
      <c r="J50" s="110">
        <f t="array" ref="J50">D50+F50</f>
        <v/>
      </c>
      <c r="K50" s="110">
        <f t="array" ref="K50">E50+G50</f>
        <v/>
      </c>
      <c r="L50" s="226" t="n">
        <v>0.0226994169</v>
      </c>
    </row>
    <row r="51" ht="20.05" customHeight="1" s="215">
      <c r="A51" s="56" t="inlineStr">
        <is>
          <t>m40</t>
        </is>
      </c>
      <c r="B51" s="13" t="inlineStr">
        <is>
          <t>40 years</t>
        </is>
      </c>
      <c r="C51" s="110">
        <f t="array" ref="C51">H51+I51</f>
        <v/>
      </c>
      <c r="D51" s="110">
        <f t="array" ref="D51">D$9*$L51</f>
        <v/>
      </c>
      <c r="E51" s="110">
        <f t="array" ref="E51">E$9*$L51</f>
        <v/>
      </c>
      <c r="F51" s="110">
        <f t="array" ref="F51">F$9*$L51</f>
        <v/>
      </c>
      <c r="G51" s="110">
        <f t="array" ref="G51">G$9*$L51</f>
        <v/>
      </c>
      <c r="H51" s="110">
        <f t="array" ref="H51">E51+D51</f>
        <v/>
      </c>
      <c r="I51" s="110">
        <f t="array" ref="I51">G51+F51</f>
        <v/>
      </c>
      <c r="J51" s="110">
        <f t="array" ref="J51">D51+F51</f>
        <v/>
      </c>
      <c r="K51" s="110">
        <f t="array" ref="K51">E51+G51</f>
        <v/>
      </c>
      <c r="L51" s="226" t="n">
        <v>0.0185090093</v>
      </c>
    </row>
    <row r="52" ht="20.05" customHeight="1" s="215">
      <c r="A52" s="56" t="inlineStr">
        <is>
          <t>m41</t>
        </is>
      </c>
      <c r="B52" s="13" t="inlineStr">
        <is>
          <t>41 years</t>
        </is>
      </c>
      <c r="C52" s="110">
        <f t="array" ref="C52">H52+I52</f>
        <v/>
      </c>
      <c r="D52" s="110">
        <f t="array" ref="D52">D$9*$L52</f>
        <v/>
      </c>
      <c r="E52" s="110">
        <f t="array" ref="E52">E$9*$L52</f>
        <v/>
      </c>
      <c r="F52" s="110">
        <f t="array" ref="F52">F$9*$L52</f>
        <v/>
      </c>
      <c r="G52" s="110">
        <f t="array" ref="G52">G$9*$L52</f>
        <v/>
      </c>
      <c r="H52" s="110">
        <f t="array" ref="H52">E52+D52</f>
        <v/>
      </c>
      <c r="I52" s="110">
        <f t="array" ref="I52">G52+F52</f>
        <v/>
      </c>
      <c r="J52" s="110">
        <f t="array" ref="J52">D52+F52</f>
        <v/>
      </c>
      <c r="K52" s="110">
        <f t="array" ref="K52">E52+G52</f>
        <v/>
      </c>
      <c r="L52" s="226" t="n">
        <v>0.0147872867</v>
      </c>
    </row>
    <row r="53" ht="20.05" customHeight="1" s="215">
      <c r="A53" s="56" t="inlineStr">
        <is>
          <t>m42</t>
        </is>
      </c>
      <c r="B53" s="13" t="inlineStr">
        <is>
          <t>42 years</t>
        </is>
      </c>
      <c r="C53" s="110">
        <f t="array" ref="C53">H53+I53</f>
        <v/>
      </c>
      <c r="D53" s="110">
        <f t="array" ref="D53">D$9*$L53</f>
        <v/>
      </c>
      <c r="E53" s="110">
        <f t="array" ref="E53">E$9*$L53</f>
        <v/>
      </c>
      <c r="F53" s="110">
        <f t="array" ref="F53">F$9*$L53</f>
        <v/>
      </c>
      <c r="G53" s="110">
        <f t="array" ref="G53">G$9*$L53</f>
        <v/>
      </c>
      <c r="H53" s="110">
        <f t="array" ref="H53">E53+D53</f>
        <v/>
      </c>
      <c r="I53" s="110">
        <f t="array" ref="I53">G53+F53</f>
        <v/>
      </c>
      <c r="J53" s="110">
        <f t="array" ref="J53">D53+F53</f>
        <v/>
      </c>
      <c r="K53" s="110">
        <f t="array" ref="K53">E53+G53</f>
        <v/>
      </c>
      <c r="L53" s="226" t="n">
        <v>0.0115752575</v>
      </c>
    </row>
    <row r="54" ht="20.05" customHeight="1" s="215">
      <c r="A54" s="56" t="inlineStr">
        <is>
          <t>m43</t>
        </is>
      </c>
      <c r="B54" s="13" t="inlineStr">
        <is>
          <t>43 years</t>
        </is>
      </c>
      <c r="C54" s="110">
        <f t="array" ref="C54">H54+I54</f>
        <v/>
      </c>
      <c r="D54" s="110">
        <f t="array" ref="D54">D$9*$L54</f>
        <v/>
      </c>
      <c r="E54" s="110">
        <f t="array" ref="E54">E$9*$L54</f>
        <v/>
      </c>
      <c r="F54" s="110">
        <f t="array" ref="F54">F$9*$L54</f>
        <v/>
      </c>
      <c r="G54" s="110">
        <f t="array" ref="G54">G$9*$L54</f>
        <v/>
      </c>
      <c r="H54" s="110">
        <f t="array" ref="H54">E54+D54</f>
        <v/>
      </c>
      <c r="I54" s="110">
        <f t="array" ref="I54">G54+F54</f>
        <v/>
      </c>
      <c r="J54" s="110">
        <f t="array" ref="J54">D54+F54</f>
        <v/>
      </c>
      <c r="K54" s="110">
        <f t="array" ref="K54">E54+G54</f>
        <v/>
      </c>
      <c r="L54" s="226" t="n">
        <v>0.008877888299999999</v>
      </c>
    </row>
    <row r="55" ht="20.05" customHeight="1" s="215">
      <c r="A55" s="56" t="inlineStr">
        <is>
          <t>m44</t>
        </is>
      </c>
      <c r="B55" s="13" t="inlineStr">
        <is>
          <t>44 years</t>
        </is>
      </c>
      <c r="C55" s="110">
        <f t="array" ref="C55">H55+I55</f>
        <v/>
      </c>
      <c r="D55" s="110">
        <f t="array" ref="D55">D$9*$L55</f>
        <v/>
      </c>
      <c r="E55" s="110">
        <f t="array" ref="E55">E$9*$L55</f>
        <v/>
      </c>
      <c r="F55" s="110">
        <f t="array" ref="F55">F$9*$L55</f>
        <v/>
      </c>
      <c r="G55" s="110">
        <f t="array" ref="G55">G$9*$L55</f>
        <v/>
      </c>
      <c r="H55" s="110">
        <f t="array" ref="H55">E55+D55</f>
        <v/>
      </c>
      <c r="I55" s="110">
        <f t="array" ref="I55">G55+F55</f>
        <v/>
      </c>
      <c r="J55" s="110">
        <f t="array" ref="J55">D55+F55</f>
        <v/>
      </c>
      <c r="K55" s="110">
        <f t="array" ref="K55">E55+G55</f>
        <v/>
      </c>
      <c r="L55" s="226" t="n">
        <v>0.0066715315</v>
      </c>
    </row>
    <row r="56" ht="20.05" customHeight="1" s="215">
      <c r="A56" s="56" t="inlineStr">
        <is>
          <t>m45</t>
        </is>
      </c>
      <c r="B56" s="13" t="inlineStr">
        <is>
          <t>45 years</t>
        </is>
      </c>
      <c r="C56" s="110">
        <f t="array" ref="C56">H56+I56</f>
        <v/>
      </c>
      <c r="D56" s="110">
        <f t="array" ref="D56">D$9*$L56</f>
        <v/>
      </c>
      <c r="E56" s="110">
        <f t="array" ref="E56">E$9*$L56</f>
        <v/>
      </c>
      <c r="F56" s="110">
        <f t="array" ref="F56">F$9*$L56</f>
        <v/>
      </c>
      <c r="G56" s="110">
        <f t="array" ref="G56">G$9*$L56</f>
        <v/>
      </c>
      <c r="H56" s="110">
        <f t="array" ref="H56">E56+D56</f>
        <v/>
      </c>
      <c r="I56" s="110">
        <f t="array" ref="I56">G56+F56</f>
        <v/>
      </c>
      <c r="J56" s="110">
        <f t="array" ref="J56">D56+F56</f>
        <v/>
      </c>
      <c r="K56" s="110">
        <f t="array" ref="K56">E56+G56</f>
        <v/>
      </c>
      <c r="L56" s="226" t="n">
        <v>0.004912225</v>
      </c>
    </row>
    <row r="57" ht="20.05" customHeight="1" s="215">
      <c r="A57" s="56" t="inlineStr">
        <is>
          <t>m46</t>
        </is>
      </c>
      <c r="B57" s="13" t="inlineStr">
        <is>
          <t>46 years</t>
        </is>
      </c>
      <c r="C57" s="110">
        <f t="array" ref="C57">H57+I57</f>
        <v/>
      </c>
      <c r="D57" s="110">
        <f t="array" ref="D57">D$9*$L57</f>
        <v/>
      </c>
      <c r="E57" s="110">
        <f t="array" ref="E57">E$9*$L57</f>
        <v/>
      </c>
      <c r="F57" s="110">
        <f t="array" ref="F57">F$9*$L57</f>
        <v/>
      </c>
      <c r="G57" s="110">
        <f t="array" ref="G57">G$9*$L57</f>
        <v/>
      </c>
      <c r="H57" s="110">
        <f t="array" ref="H57">E57+D57</f>
        <v/>
      </c>
      <c r="I57" s="110">
        <f t="array" ref="I57">G57+F57</f>
        <v/>
      </c>
      <c r="J57" s="110">
        <f t="array" ref="J57">D57+F57</f>
        <v/>
      </c>
      <c r="K57" s="110">
        <f t="array" ref="K57">E57+G57</f>
        <v/>
      </c>
      <c r="L57" s="226" t="n">
        <v>0.0035437886</v>
      </c>
    </row>
    <row r="58" ht="20.05" customHeight="1" s="215">
      <c r="A58" s="56" t="inlineStr">
        <is>
          <t>m47</t>
        </is>
      </c>
      <c r="B58" s="13" t="inlineStr">
        <is>
          <t>47 years</t>
        </is>
      </c>
      <c r="C58" s="110">
        <f t="array" ref="C58">H58+I58</f>
        <v/>
      </c>
      <c r="D58" s="110">
        <f t="array" ref="D58">D$9*$L58</f>
        <v/>
      </c>
      <c r="E58" s="110">
        <f t="array" ref="E58">E$9*$L58</f>
        <v/>
      </c>
      <c r="F58" s="110">
        <f t="array" ref="F58">F$9*$L58</f>
        <v/>
      </c>
      <c r="G58" s="110">
        <f t="array" ref="G58">G$9*$L58</f>
        <v/>
      </c>
      <c r="H58" s="110">
        <f t="array" ref="H58">E58+D58</f>
        <v/>
      </c>
      <c r="I58" s="110">
        <f t="array" ref="I58">G58+F58</f>
        <v/>
      </c>
      <c r="J58" s="110">
        <f t="array" ref="J58">D58+F58</f>
        <v/>
      </c>
      <c r="K58" s="110">
        <f t="array" ref="K58">E58+G58</f>
        <v/>
      </c>
      <c r="L58" s="226" t="n">
        <v>0.002504922</v>
      </c>
    </row>
    <row r="59" ht="20.05" customHeight="1" s="215">
      <c r="A59" s="56" t="inlineStr">
        <is>
          <t>m48</t>
        </is>
      </c>
      <c r="B59" s="13" t="inlineStr">
        <is>
          <t>48 years</t>
        </is>
      </c>
      <c r="C59" s="110">
        <f t="array" ref="C59">H59+I59</f>
        <v/>
      </c>
      <c r="D59" s="110">
        <f t="array" ref="D59">D$9*$L59</f>
        <v/>
      </c>
      <c r="E59" s="110">
        <f t="array" ref="E59">E$9*$L59</f>
        <v/>
      </c>
      <c r="F59" s="110">
        <f t="array" ref="F59">F$9*$L59</f>
        <v/>
      </c>
      <c r="G59" s="110">
        <f t="array" ref="G59">G$9*$L59</f>
        <v/>
      </c>
      <c r="H59" s="110">
        <f t="array" ref="H59">E59+D59</f>
        <v/>
      </c>
      <c r="I59" s="110">
        <f t="array" ref="I59">G59+F59</f>
        <v/>
      </c>
      <c r="J59" s="110">
        <f t="array" ref="J59">D59+F59</f>
        <v/>
      </c>
      <c r="K59" s="110">
        <f t="array" ref="K59">E59+G59</f>
        <v/>
      </c>
      <c r="L59" s="226" t="n">
        <v>0.0017348322</v>
      </c>
    </row>
    <row r="60" ht="20.05" customHeight="1" s="215">
      <c r="A60" s="56" t="inlineStr">
        <is>
          <t>m49</t>
        </is>
      </c>
      <c r="B60" s="13" t="inlineStr">
        <is>
          <t>49 years</t>
        </is>
      </c>
      <c r="C60" s="110">
        <f t="array" ref="C60">H60+I60</f>
        <v/>
      </c>
      <c r="D60" s="110">
        <f t="array" ref="D60">D$9*$L60</f>
        <v/>
      </c>
      <c r="E60" s="110">
        <f t="array" ref="E60">E$9*$L60</f>
        <v/>
      </c>
      <c r="F60" s="110">
        <f t="array" ref="F60">F$9*$L60</f>
        <v/>
      </c>
      <c r="G60" s="110">
        <f t="array" ref="G60">G$9*$L60</f>
        <v/>
      </c>
      <c r="H60" s="110">
        <f t="array" ref="H60">E60+D60</f>
        <v/>
      </c>
      <c r="I60" s="110">
        <f t="array" ref="I60">G60+F60</f>
        <v/>
      </c>
      <c r="J60" s="110">
        <f t="array" ref="J60">D60+F60</f>
        <v/>
      </c>
      <c r="K60" s="110">
        <f t="array" ref="K60">E60+G60</f>
        <v/>
      </c>
      <c r="L60" s="226" t="n">
        <v>0.0011772198</v>
      </c>
    </row>
    <row r="61" ht="20.05" customHeight="1" s="215">
      <c r="A61" s="56" t="inlineStr">
        <is>
          <t>m50</t>
        </is>
      </c>
      <c r="B61" s="13" t="inlineStr">
        <is>
          <t>50 years</t>
        </is>
      </c>
      <c r="C61" s="110">
        <f t="array" ref="C61">H61+I61</f>
        <v/>
      </c>
      <c r="D61" s="110">
        <f t="array" ref="D61">D$9*$L61</f>
        <v/>
      </c>
      <c r="E61" s="110">
        <f t="array" ref="E61">E$9*$L61</f>
        <v/>
      </c>
      <c r="F61" s="110">
        <f t="array" ref="F61">F$9*$L61</f>
        <v/>
      </c>
      <c r="G61" s="110">
        <f t="array" ref="G61">G$9*$L61</f>
        <v/>
      </c>
      <c r="H61" s="110">
        <f t="array" ref="H61">E61+D61</f>
        <v/>
      </c>
      <c r="I61" s="110">
        <f t="array" ref="I61">G61+F61</f>
        <v/>
      </c>
      <c r="J61" s="110">
        <f t="array" ref="J61">D61+F61</f>
        <v/>
      </c>
      <c r="K61" s="110">
        <f t="array" ref="K61">E61+G61</f>
        <v/>
      </c>
      <c r="L61" s="226" t="n">
        <v>0.0007826985</v>
      </c>
    </row>
    <row r="62" ht="20.05" customHeight="1" s="215">
      <c r="A62" s="56" t="inlineStr">
        <is>
          <t>m51</t>
        </is>
      </c>
      <c r="B62" s="13" t="inlineStr">
        <is>
          <t>51 years</t>
        </is>
      </c>
      <c r="C62" s="110">
        <f t="array" ref="C62">H62+I62</f>
        <v/>
      </c>
      <c r="D62" s="110">
        <f t="array" ref="D62">D$9*$L62</f>
        <v/>
      </c>
      <c r="E62" s="110">
        <f t="array" ref="E62">E$9*$L62</f>
        <v/>
      </c>
      <c r="F62" s="110">
        <f t="array" ref="F62">F$9*$L62</f>
        <v/>
      </c>
      <c r="G62" s="110">
        <f t="array" ref="G62">G$9*$L62</f>
        <v/>
      </c>
      <c r="H62" s="110">
        <f t="array" ref="H62">E62+D62</f>
        <v/>
      </c>
      <c r="I62" s="110">
        <f t="array" ref="I62">G62+F62</f>
        <v/>
      </c>
      <c r="J62" s="110">
        <f t="array" ref="J62">D62+F62</f>
        <v/>
      </c>
      <c r="K62" s="110">
        <f t="array" ref="K62">E62+G62</f>
        <v/>
      </c>
      <c r="L62" s="226" t="n">
        <v>0.0005098804</v>
      </c>
    </row>
    <row r="63" ht="20.05" customHeight="1" s="215">
      <c r="A63" s="56" t="inlineStr">
        <is>
          <t>m52</t>
        </is>
      </c>
      <c r="B63" s="13" t="inlineStr">
        <is>
          <t>52 years</t>
        </is>
      </c>
      <c r="C63" s="110">
        <f t="array" ref="C63">H63+I63</f>
        <v/>
      </c>
      <c r="D63" s="110">
        <f t="array" ref="D63">D$9*$L63</f>
        <v/>
      </c>
      <c r="E63" s="110">
        <f t="array" ref="E63">E$9*$L63</f>
        <v/>
      </c>
      <c r="F63" s="110">
        <f t="array" ref="F63">F$9*$L63</f>
        <v/>
      </c>
      <c r="G63" s="110">
        <f t="array" ref="G63">G$9*$L63</f>
        <v/>
      </c>
      <c r="H63" s="110">
        <f t="array" ref="H63">E63+D63</f>
        <v/>
      </c>
      <c r="I63" s="110">
        <f t="array" ref="I63">G63+F63</f>
        <v/>
      </c>
      <c r="J63" s="110">
        <f t="array" ref="J63">D63+F63</f>
        <v/>
      </c>
      <c r="K63" s="110">
        <f t="array" ref="K63">E63+G63</f>
        <v/>
      </c>
      <c r="L63" s="226" t="n">
        <v>0.000325446</v>
      </c>
    </row>
    <row r="64" ht="20.05" customHeight="1" s="215">
      <c r="A64" s="56" t="inlineStr">
        <is>
          <t>m53</t>
        </is>
      </c>
      <c r="B64" s="13" t="inlineStr">
        <is>
          <t>53 years</t>
        </is>
      </c>
      <c r="C64" s="110">
        <f t="array" ref="C64">H64+I64</f>
        <v/>
      </c>
      <c r="D64" s="110">
        <f t="array" ref="D64">D$9*$L64</f>
        <v/>
      </c>
      <c r="E64" s="110">
        <f t="array" ref="E64">E$9*$L64</f>
        <v/>
      </c>
      <c r="F64" s="110">
        <f t="array" ref="F64">F$9*$L64</f>
        <v/>
      </c>
      <c r="G64" s="110">
        <f t="array" ref="G64">G$9*$L64</f>
        <v/>
      </c>
      <c r="H64" s="110">
        <f t="array" ref="H64">E64+D64</f>
        <v/>
      </c>
      <c r="I64" s="110">
        <f t="array" ref="I64">G64+F64</f>
        <v/>
      </c>
      <c r="J64" s="110">
        <f t="array" ref="J64">D64+F64</f>
        <v/>
      </c>
      <c r="K64" s="110">
        <f t="array" ref="K64">E64+G64</f>
        <v/>
      </c>
      <c r="L64" s="226" t="n">
        <v>0.0002035291</v>
      </c>
    </row>
    <row r="65" ht="20.05" customHeight="1" s="215">
      <c r="A65" s="56" t="inlineStr">
        <is>
          <t>m54</t>
        </is>
      </c>
      <c r="B65" s="13" t="inlineStr">
        <is>
          <t>54 years</t>
        </is>
      </c>
      <c r="C65" s="110">
        <f t="array" ref="C65">H65+I65</f>
        <v/>
      </c>
      <c r="D65" s="110">
        <f t="array" ref="D65">D$9*$L65</f>
        <v/>
      </c>
      <c r="E65" s="110">
        <f t="array" ref="E65">E$9*$L65</f>
        <v/>
      </c>
      <c r="F65" s="110">
        <f t="array" ref="F65">F$9*$L65</f>
        <v/>
      </c>
      <c r="G65" s="110">
        <f t="array" ref="G65">G$9*$L65</f>
        <v/>
      </c>
      <c r="H65" s="110">
        <f t="array" ref="H65">E65+D65</f>
        <v/>
      </c>
      <c r="I65" s="110">
        <f t="array" ref="I65">G65+F65</f>
        <v/>
      </c>
      <c r="J65" s="110">
        <f t="array" ref="J65">D65+F65</f>
        <v/>
      </c>
      <c r="K65" s="110">
        <f t="array" ref="K65">E65+G65</f>
        <v/>
      </c>
      <c r="L65" s="226" t="n">
        <v>0.0001247127</v>
      </c>
    </row>
    <row r="66" ht="20.05" customHeight="1" s="215">
      <c r="A66" s="56" t="inlineStr">
        <is>
          <t>m55</t>
        </is>
      </c>
      <c r="B66" s="44" t="inlineStr">
        <is>
          <t>55 years</t>
        </is>
      </c>
      <c r="C66" s="154">
        <f t="array" ref="C66">H66+I66</f>
        <v/>
      </c>
      <c r="D66" s="154">
        <f t="array" ref="D66">D$9*$L66</f>
        <v/>
      </c>
      <c r="E66" s="154">
        <f t="array" ref="E66">E$9*$L66</f>
        <v/>
      </c>
      <c r="F66" s="154">
        <f t="array" ref="F66">F$9*$L66</f>
        <v/>
      </c>
      <c r="G66" s="154">
        <f t="array" ref="G66">G$9*$L66</f>
        <v/>
      </c>
      <c r="H66" s="154">
        <f t="array" ref="H66">E66+D66</f>
        <v/>
      </c>
      <c r="I66" s="154">
        <f t="array" ref="I66">G66+F66</f>
        <v/>
      </c>
      <c r="J66" s="154">
        <f t="array" ref="J66">D66+F66</f>
        <v/>
      </c>
      <c r="K66" s="154">
        <f t="array" ref="K66">E66+G66</f>
        <v/>
      </c>
      <c r="L66" s="81" t="n"/>
    </row>
    <row r="67" ht="20.05" customHeight="1" s="215">
      <c r="A67" s="56" t="inlineStr">
        <is>
          <t>m56</t>
        </is>
      </c>
      <c r="B67" s="34" t="inlineStr">
        <is>
          <t>56 years</t>
        </is>
      </c>
      <c r="C67" s="79">
        <f t="array" ref="C67">H67+I67</f>
        <v/>
      </c>
      <c r="D67" s="79">
        <f t="array" ref="D67">D$9*$L67</f>
        <v/>
      </c>
      <c r="E67" s="79">
        <f t="array" ref="E67">E$9*$L67</f>
        <v/>
      </c>
      <c r="F67" s="79">
        <f t="array" ref="F67">F$9*$L67</f>
        <v/>
      </c>
      <c r="G67" s="79">
        <f t="array" ref="G67">G$9*$L67</f>
        <v/>
      </c>
      <c r="H67" s="79">
        <f t="array" ref="H67">E67+D67</f>
        <v/>
      </c>
      <c r="I67" s="79">
        <f t="array" ref="I67">G67+F67</f>
        <v/>
      </c>
      <c r="J67" s="79">
        <f t="array" ref="J67">D67+F67</f>
        <v/>
      </c>
      <c r="K67" s="79">
        <f t="array" ref="K67">E67+G67</f>
        <v/>
      </c>
      <c r="L67" s="81" t="n"/>
    </row>
    <row r="68" ht="20.05" customHeight="1" s="215">
      <c r="A68" s="56" t="inlineStr">
        <is>
          <t>m57</t>
        </is>
      </c>
      <c r="B68" s="34" t="inlineStr">
        <is>
          <t>57 years</t>
        </is>
      </c>
      <c r="C68" s="79">
        <f t="array" ref="C68">H68+I68</f>
        <v/>
      </c>
      <c r="D68" s="79">
        <f t="array" ref="D68">D$9*$L68</f>
        <v/>
      </c>
      <c r="E68" s="79">
        <f t="array" ref="E68">E$9*$L68</f>
        <v/>
      </c>
      <c r="F68" s="79">
        <f t="array" ref="F68">F$9*$L68</f>
        <v/>
      </c>
      <c r="G68" s="79">
        <f t="array" ref="G68">G$9*$L68</f>
        <v/>
      </c>
      <c r="H68" s="79">
        <f t="array" ref="H68">E68+D68</f>
        <v/>
      </c>
      <c r="I68" s="79">
        <f t="array" ref="I68">G68+F68</f>
        <v/>
      </c>
      <c r="J68" s="79">
        <f t="array" ref="J68">D68+F68</f>
        <v/>
      </c>
      <c r="K68" s="79">
        <f t="array" ref="K68">E68+G68</f>
        <v/>
      </c>
      <c r="L68" s="81" t="n"/>
    </row>
    <row r="69" ht="20.05" customHeight="1" s="215">
      <c r="A69" s="56" t="inlineStr">
        <is>
          <t>m58</t>
        </is>
      </c>
      <c r="B69" s="34" t="inlineStr">
        <is>
          <t>58 years</t>
        </is>
      </c>
      <c r="C69" s="79">
        <f t="array" ref="C69">H69+I69</f>
        <v/>
      </c>
      <c r="D69" s="79">
        <f t="array" ref="D69">D$9*$L69</f>
        <v/>
      </c>
      <c r="E69" s="79">
        <f t="array" ref="E69">E$9*$L69</f>
        <v/>
      </c>
      <c r="F69" s="79">
        <f t="array" ref="F69">F$9*$L69</f>
        <v/>
      </c>
      <c r="G69" s="79">
        <f t="array" ref="G69">G$9*$L69</f>
        <v/>
      </c>
      <c r="H69" s="79">
        <f t="array" ref="H69">E69+D69</f>
        <v/>
      </c>
      <c r="I69" s="79">
        <f t="array" ref="I69">G69+F69</f>
        <v/>
      </c>
      <c r="J69" s="79">
        <f t="array" ref="J69">D69+F69</f>
        <v/>
      </c>
      <c r="K69" s="79">
        <f t="array" ref="K69">E69+G69</f>
        <v/>
      </c>
      <c r="L69" s="81" t="n"/>
    </row>
    <row r="70" ht="20.05" customHeight="1" s="215">
      <c r="A70" s="56" t="inlineStr">
        <is>
          <t>m59</t>
        </is>
      </c>
      <c r="B70" s="34" t="inlineStr">
        <is>
          <t>59 years</t>
        </is>
      </c>
      <c r="C70" s="79">
        <f t="array" ref="C70">H70+I70</f>
        <v/>
      </c>
      <c r="D70" s="79">
        <f t="array" ref="D70">D$9*$L70</f>
        <v/>
      </c>
      <c r="E70" s="79">
        <f t="array" ref="E70">E$9*$L70</f>
        <v/>
      </c>
      <c r="F70" s="79">
        <f t="array" ref="F70">F$9*$L70</f>
        <v/>
      </c>
      <c r="G70" s="79">
        <f t="array" ref="G70">G$9*$L70</f>
        <v/>
      </c>
      <c r="H70" s="79">
        <f t="array" ref="H70">E70+D70</f>
        <v/>
      </c>
      <c r="I70" s="79">
        <f t="array" ref="I70">G70+F70</f>
        <v/>
      </c>
      <c r="J70" s="79">
        <f t="array" ref="J70">D70+F70</f>
        <v/>
      </c>
      <c r="K70" s="79">
        <f t="array" ref="K70">E70+G70</f>
        <v/>
      </c>
      <c r="L70" s="81" t="n"/>
    </row>
    <row r="71" ht="20.05" customHeight="1" s="215">
      <c r="A71" s="56" t="inlineStr">
        <is>
          <t>m60</t>
        </is>
      </c>
      <c r="B71" s="34" t="inlineStr">
        <is>
          <t>60 years</t>
        </is>
      </c>
      <c r="C71" s="79">
        <f t="array" ref="C71">H71+I71</f>
        <v/>
      </c>
      <c r="D71" s="79">
        <f t="array" ref="D71">D$9*$L71</f>
        <v/>
      </c>
      <c r="E71" s="79">
        <f t="array" ref="E71">E$9*$L71</f>
        <v/>
      </c>
      <c r="F71" s="79">
        <f t="array" ref="F71">F$9*$L71</f>
        <v/>
      </c>
      <c r="G71" s="79">
        <f t="array" ref="G71">G$9*$L71</f>
        <v/>
      </c>
      <c r="H71" s="79">
        <f t="array" ref="H71">E71+D71</f>
        <v/>
      </c>
      <c r="I71" s="79">
        <f t="array" ref="I71">G71+F71</f>
        <v/>
      </c>
      <c r="J71" s="79">
        <f t="array" ref="J71">D71+F71</f>
        <v/>
      </c>
      <c r="K71" s="79">
        <f t="array" ref="K71">E71+G71</f>
        <v/>
      </c>
      <c r="L71" s="81" t="n"/>
    </row>
    <row r="72" ht="20.05" customHeight="1" s="215">
      <c r="A72" s="56" t="inlineStr">
        <is>
          <t>m61</t>
        </is>
      </c>
      <c r="B72" s="34" t="inlineStr">
        <is>
          <t>61 years</t>
        </is>
      </c>
      <c r="C72" s="79">
        <f t="array" ref="C72">H72+I72</f>
        <v/>
      </c>
      <c r="D72" s="79">
        <f t="array" ref="D72">D$9*$L72</f>
        <v/>
      </c>
      <c r="E72" s="79">
        <f t="array" ref="E72">E$9*$L72</f>
        <v/>
      </c>
      <c r="F72" s="79">
        <f t="array" ref="F72">F$9*$L72</f>
        <v/>
      </c>
      <c r="G72" s="79">
        <f t="array" ref="G72">G$9*$L72</f>
        <v/>
      </c>
      <c r="H72" s="79">
        <f t="array" ref="H72">E72+D72</f>
        <v/>
      </c>
      <c r="I72" s="79">
        <f t="array" ref="I72">G72+F72</f>
        <v/>
      </c>
      <c r="J72" s="79">
        <f t="array" ref="J72">D72+F72</f>
        <v/>
      </c>
      <c r="K72" s="79">
        <f t="array" ref="K72">E72+G72</f>
        <v/>
      </c>
      <c r="L72" s="81" t="n"/>
    </row>
    <row r="73" ht="20.05" customHeight="1" s="215">
      <c r="A73" s="56" t="inlineStr">
        <is>
          <t>m62</t>
        </is>
      </c>
      <c r="B73" s="34" t="inlineStr">
        <is>
          <t>62 years</t>
        </is>
      </c>
      <c r="C73" s="79">
        <f t="array" ref="C73">H73+I73</f>
        <v/>
      </c>
      <c r="D73" s="79">
        <f t="array" ref="D73">D$9*$L73</f>
        <v/>
      </c>
      <c r="E73" s="79">
        <f t="array" ref="E73">E$9*$L73</f>
        <v/>
      </c>
      <c r="F73" s="79">
        <f t="array" ref="F73">F$9*$L73</f>
        <v/>
      </c>
      <c r="G73" s="79">
        <f t="array" ref="G73">G$9*$L73</f>
        <v/>
      </c>
      <c r="H73" s="79">
        <f t="array" ref="H73">E73+D73</f>
        <v/>
      </c>
      <c r="I73" s="79">
        <f t="array" ref="I73">G73+F73</f>
        <v/>
      </c>
      <c r="J73" s="79">
        <f t="array" ref="J73">D73+F73</f>
        <v/>
      </c>
      <c r="K73" s="79">
        <f t="array" ref="K73">E73+G73</f>
        <v/>
      </c>
      <c r="L73" s="81" t="n"/>
    </row>
    <row r="74" ht="20.05" customHeight="1" s="215">
      <c r="A74" s="56" t="inlineStr">
        <is>
          <t>m63</t>
        </is>
      </c>
      <c r="B74" s="34" t="inlineStr">
        <is>
          <t>63 years</t>
        </is>
      </c>
      <c r="C74" s="79">
        <f t="array" ref="C74">H74+I74</f>
        <v/>
      </c>
      <c r="D74" s="79">
        <f t="array" ref="D74">D$9*$L74</f>
        <v/>
      </c>
      <c r="E74" s="79">
        <f t="array" ref="E74">E$9*$L74</f>
        <v/>
      </c>
      <c r="F74" s="79">
        <f t="array" ref="F74">F$9*$L74</f>
        <v/>
      </c>
      <c r="G74" s="79">
        <f t="array" ref="G74">G$9*$L74</f>
        <v/>
      </c>
      <c r="H74" s="79">
        <f t="array" ref="H74">E74+D74</f>
        <v/>
      </c>
      <c r="I74" s="79">
        <f t="array" ref="I74">G74+F74</f>
        <v/>
      </c>
      <c r="J74" s="79">
        <f t="array" ref="J74">D74+F74</f>
        <v/>
      </c>
      <c r="K74" s="79">
        <f t="array" ref="K74">E74+G74</f>
        <v/>
      </c>
      <c r="L74" s="81" t="n"/>
    </row>
    <row r="75" ht="20.05" customHeight="1" s="215">
      <c r="A75" s="56" t="inlineStr">
        <is>
          <t>m64</t>
        </is>
      </c>
      <c r="B75" s="34" t="inlineStr">
        <is>
          <t>64 years</t>
        </is>
      </c>
      <c r="C75" s="79">
        <f t="array" ref="C75">H75+I75</f>
        <v/>
      </c>
      <c r="D75" s="79">
        <f t="array" ref="D75">D$9*$L75</f>
        <v/>
      </c>
      <c r="E75" s="79">
        <f t="array" ref="E75">E$9*$L75</f>
        <v/>
      </c>
      <c r="F75" s="79">
        <f t="array" ref="F75">F$9*$L75</f>
        <v/>
      </c>
      <c r="G75" s="79">
        <f t="array" ref="G75">G$9*$L75</f>
        <v/>
      </c>
      <c r="H75" s="79">
        <f t="array" ref="H75">E75+D75</f>
        <v/>
      </c>
      <c r="I75" s="79">
        <f t="array" ref="I75">G75+F75</f>
        <v/>
      </c>
      <c r="J75" s="79">
        <f t="array" ref="J75">D75+F75</f>
        <v/>
      </c>
      <c r="K75" s="79">
        <f t="array" ref="K75">E75+G75</f>
        <v/>
      </c>
      <c r="L75" s="81" t="n"/>
    </row>
    <row r="76" ht="20.05" customHeight="1" s="215">
      <c r="A76" s="56" t="inlineStr">
        <is>
          <t>m65</t>
        </is>
      </c>
      <c r="B76" s="34" t="inlineStr">
        <is>
          <t>65 years</t>
        </is>
      </c>
      <c r="C76" s="79">
        <f t="array" ref="C76">H76+I76</f>
        <v/>
      </c>
      <c r="D76" s="79">
        <f t="array" ref="D76">D$9*$L76</f>
        <v/>
      </c>
      <c r="E76" s="79">
        <f t="array" ref="E76">E$9*$L76</f>
        <v/>
      </c>
      <c r="F76" s="79">
        <f t="array" ref="F76">F$9*$L76</f>
        <v/>
      </c>
      <c r="G76" s="79">
        <f t="array" ref="G76">G$9*$L76</f>
        <v/>
      </c>
      <c r="H76" s="79">
        <f t="array" ref="H76">E76+D76</f>
        <v/>
      </c>
      <c r="I76" s="79">
        <f t="array" ref="I76">G76+F76</f>
        <v/>
      </c>
      <c r="J76" s="79">
        <f t="array" ref="J76">D76+F76</f>
        <v/>
      </c>
      <c r="K76" s="79">
        <f t="array" ref="K76">E76+G76</f>
        <v/>
      </c>
      <c r="L76" s="81" t="n"/>
    </row>
    <row r="77" ht="20.05" customHeight="1" s="215">
      <c r="A77" s="56" t="inlineStr">
        <is>
          <t>m66</t>
        </is>
      </c>
      <c r="B77" s="34" t="inlineStr">
        <is>
          <t>66 years</t>
        </is>
      </c>
      <c r="C77" s="79">
        <f t="array" ref="C77">H77+I77</f>
        <v/>
      </c>
      <c r="D77" s="79">
        <f t="array" ref="D77">D$9*$L77</f>
        <v/>
      </c>
      <c r="E77" s="79">
        <f t="array" ref="E77">E$9*$L77</f>
        <v/>
      </c>
      <c r="F77" s="79">
        <f t="array" ref="F77">F$9*$L77</f>
        <v/>
      </c>
      <c r="G77" s="79">
        <f t="array" ref="G77">G$9*$L77</f>
        <v/>
      </c>
      <c r="H77" s="79">
        <f t="array" ref="H77">E77+D77</f>
        <v/>
      </c>
      <c r="I77" s="79">
        <f t="array" ref="I77">G77+F77</f>
        <v/>
      </c>
      <c r="J77" s="79">
        <f t="array" ref="J77">D77+F77</f>
        <v/>
      </c>
      <c r="K77" s="79">
        <f t="array" ref="K77">E77+G77</f>
        <v/>
      </c>
      <c r="L77" s="81" t="n"/>
    </row>
    <row r="78" ht="20.05" customHeight="1" s="215">
      <c r="A78" s="56" t="inlineStr">
        <is>
          <t>m67</t>
        </is>
      </c>
      <c r="B78" s="34" t="inlineStr">
        <is>
          <t>67 years</t>
        </is>
      </c>
      <c r="C78" s="79">
        <f t="array" ref="C78">H78+I78</f>
        <v/>
      </c>
      <c r="D78" s="79">
        <f t="array" ref="D78">D$9*$L78</f>
        <v/>
      </c>
      <c r="E78" s="79">
        <f t="array" ref="E78">E$9*$L78</f>
        <v/>
      </c>
      <c r="F78" s="79">
        <f t="array" ref="F78">F$9*$L78</f>
        <v/>
      </c>
      <c r="G78" s="79">
        <f t="array" ref="G78">G$9*$L78</f>
        <v/>
      </c>
      <c r="H78" s="79">
        <f t="array" ref="H78">E78+D78</f>
        <v/>
      </c>
      <c r="I78" s="79">
        <f t="array" ref="I78">G78+F78</f>
        <v/>
      </c>
      <c r="J78" s="79">
        <f t="array" ref="J78">D78+F78</f>
        <v/>
      </c>
      <c r="K78" s="79">
        <f t="array" ref="K78">E78+G78</f>
        <v/>
      </c>
      <c r="L78" s="81" t="n"/>
    </row>
    <row r="79" ht="20.05" customHeight="1" s="215">
      <c r="A79" s="56" t="inlineStr">
        <is>
          <t>m68</t>
        </is>
      </c>
      <c r="B79" s="34" t="inlineStr">
        <is>
          <t>68 years</t>
        </is>
      </c>
      <c r="C79" s="79">
        <f t="array" ref="C79">H79+I79</f>
        <v/>
      </c>
      <c r="D79" s="79">
        <f t="array" ref="D79">D$9*$L79</f>
        <v/>
      </c>
      <c r="E79" s="79">
        <f t="array" ref="E79">E$9*$L79</f>
        <v/>
      </c>
      <c r="F79" s="79">
        <f t="array" ref="F79">F$9*$L79</f>
        <v/>
      </c>
      <c r="G79" s="79">
        <f t="array" ref="G79">G$9*$L79</f>
        <v/>
      </c>
      <c r="H79" s="79">
        <f t="array" ref="H79">E79+D79</f>
        <v/>
      </c>
      <c r="I79" s="79">
        <f t="array" ref="I79">G79+F79</f>
        <v/>
      </c>
      <c r="J79" s="79">
        <f t="array" ref="J79">D79+F79</f>
        <v/>
      </c>
      <c r="K79" s="79">
        <f t="array" ref="K79">E79+G79</f>
        <v/>
      </c>
      <c r="L79" s="81" t="n"/>
    </row>
    <row r="80" ht="20.05" customHeight="1" s="215">
      <c r="A80" s="56" t="inlineStr">
        <is>
          <t>m69</t>
        </is>
      </c>
      <c r="B80" s="34" t="inlineStr">
        <is>
          <t>69 years</t>
        </is>
      </c>
      <c r="C80" s="79">
        <f t="array" ref="C80">H80+I80</f>
        <v/>
      </c>
      <c r="D80" s="79">
        <f t="array" ref="D80">D$9*$L80</f>
        <v/>
      </c>
      <c r="E80" s="79">
        <f t="array" ref="E80">E$9*$L80</f>
        <v/>
      </c>
      <c r="F80" s="79">
        <f t="array" ref="F80">F$9*$L80</f>
        <v/>
      </c>
      <c r="G80" s="79">
        <f t="array" ref="G80">G$9*$L80</f>
        <v/>
      </c>
      <c r="H80" s="79">
        <f t="array" ref="H80">E80+D80</f>
        <v/>
      </c>
      <c r="I80" s="79">
        <f t="array" ref="I80">G80+F80</f>
        <v/>
      </c>
      <c r="J80" s="79">
        <f t="array" ref="J80">D80+F80</f>
        <v/>
      </c>
      <c r="K80" s="79">
        <f t="array" ref="K80">E80+G80</f>
        <v/>
      </c>
      <c r="L80" s="81" t="n"/>
    </row>
    <row r="81" ht="20.05" customHeight="1" s="215">
      <c r="A81" s="56" t="inlineStr">
        <is>
          <t>m70</t>
        </is>
      </c>
      <c r="B81" s="34" t="inlineStr">
        <is>
          <t>70 years</t>
        </is>
      </c>
      <c r="C81" s="79">
        <f t="array" ref="C81">H81+I81</f>
        <v/>
      </c>
      <c r="D81" s="79">
        <f t="array" ref="D81">D$9*$L81</f>
        <v/>
      </c>
      <c r="E81" s="79">
        <f t="array" ref="E81">E$9*$L81</f>
        <v/>
      </c>
      <c r="F81" s="79">
        <f t="array" ref="F81">F$9*$L81</f>
        <v/>
      </c>
      <c r="G81" s="79">
        <f t="array" ref="G81">G$9*$L81</f>
        <v/>
      </c>
      <c r="H81" s="79">
        <f t="array" ref="H81">E81+D81</f>
        <v/>
      </c>
      <c r="I81" s="79">
        <f t="array" ref="I81">G81+F81</f>
        <v/>
      </c>
      <c r="J81" s="79">
        <f t="array" ref="J81">D81+F81</f>
        <v/>
      </c>
      <c r="K81" s="79">
        <f t="array" ref="K81">E81+G81</f>
        <v/>
      </c>
      <c r="L81" s="81" t="n"/>
    </row>
    <row r="82" ht="20.05" customHeight="1" s="215">
      <c r="A82" s="56" t="inlineStr">
        <is>
          <t>m71</t>
        </is>
      </c>
      <c r="B82" s="34" t="inlineStr">
        <is>
          <t>71 years</t>
        </is>
      </c>
      <c r="C82" s="79">
        <f t="array" ref="C82">H82+I82</f>
        <v/>
      </c>
      <c r="D82" s="79">
        <f t="array" ref="D82">D$9*$L82</f>
        <v/>
      </c>
      <c r="E82" s="79">
        <f t="array" ref="E82">E$9*$L82</f>
        <v/>
      </c>
      <c r="F82" s="79">
        <f t="array" ref="F82">F$9*$L82</f>
        <v/>
      </c>
      <c r="G82" s="79">
        <f t="array" ref="G82">G$9*$L82</f>
        <v/>
      </c>
      <c r="H82" s="79">
        <f t="array" ref="H82">E82+D82</f>
        <v/>
      </c>
      <c r="I82" s="79">
        <f t="array" ref="I82">G82+F82</f>
        <v/>
      </c>
      <c r="J82" s="79">
        <f t="array" ref="J82">D82+F82</f>
        <v/>
      </c>
      <c r="K82" s="79">
        <f t="array" ref="K82">E82+G82</f>
        <v/>
      </c>
      <c r="L82" s="81" t="n"/>
    </row>
    <row r="83" ht="20.05" customHeight="1" s="215">
      <c r="A83" s="56" t="inlineStr">
        <is>
          <t>m72</t>
        </is>
      </c>
      <c r="B83" s="34" t="inlineStr">
        <is>
          <t>72 years</t>
        </is>
      </c>
      <c r="C83" s="79">
        <f t="array" ref="C83">H83+I83</f>
        <v/>
      </c>
      <c r="D83" s="79">
        <f t="array" ref="D83">D$9*$L83</f>
        <v/>
      </c>
      <c r="E83" s="79">
        <f t="array" ref="E83">E$9*$L83</f>
        <v/>
      </c>
      <c r="F83" s="79">
        <f t="array" ref="F83">F$9*$L83</f>
        <v/>
      </c>
      <c r="G83" s="79">
        <f t="array" ref="G83">G$9*$L83</f>
        <v/>
      </c>
      <c r="H83" s="79">
        <f t="array" ref="H83">E83+D83</f>
        <v/>
      </c>
      <c r="I83" s="79">
        <f t="array" ref="I83">G83+F83</f>
        <v/>
      </c>
      <c r="J83" s="79">
        <f t="array" ref="J83">D83+F83</f>
        <v/>
      </c>
      <c r="K83" s="79">
        <f t="array" ref="K83">E83+G83</f>
        <v/>
      </c>
      <c r="L83" s="81" t="n"/>
    </row>
    <row r="84" ht="20.05" customHeight="1" s="215">
      <c r="A84" s="56" t="inlineStr">
        <is>
          <t>m73</t>
        </is>
      </c>
      <c r="B84" s="34" t="inlineStr">
        <is>
          <t>73 years</t>
        </is>
      </c>
      <c r="C84" s="79">
        <f t="array" ref="C84">H84+I84</f>
        <v/>
      </c>
      <c r="D84" s="79">
        <f t="array" ref="D84">D$9*$L84</f>
        <v/>
      </c>
      <c r="E84" s="79">
        <f t="array" ref="E84">E$9*$L84</f>
        <v/>
      </c>
      <c r="F84" s="79">
        <f t="array" ref="F84">F$9*$L84</f>
        <v/>
      </c>
      <c r="G84" s="79">
        <f t="array" ref="G84">G$9*$L84</f>
        <v/>
      </c>
      <c r="H84" s="79">
        <f t="array" ref="H84">E84+D84</f>
        <v/>
      </c>
      <c r="I84" s="79">
        <f t="array" ref="I84">G84+F84</f>
        <v/>
      </c>
      <c r="J84" s="79">
        <f t="array" ref="J84">D84+F84</f>
        <v/>
      </c>
      <c r="K84" s="79">
        <f t="array" ref="K84">E84+G84</f>
        <v/>
      </c>
      <c r="L84" s="81" t="n"/>
    </row>
    <row r="85" ht="20.05" customHeight="1" s="215">
      <c r="A85" s="56" t="inlineStr">
        <is>
          <t>m74</t>
        </is>
      </c>
      <c r="B85" s="34" t="inlineStr">
        <is>
          <t>74 years</t>
        </is>
      </c>
      <c r="C85" s="79">
        <f t="array" ref="C85">H85+I85</f>
        <v/>
      </c>
      <c r="D85" s="79">
        <f t="array" ref="D85">D$9*$L85</f>
        <v/>
      </c>
      <c r="E85" s="79">
        <f t="array" ref="E85">E$9*$L85</f>
        <v/>
      </c>
      <c r="F85" s="79">
        <f t="array" ref="F85">F$9*$L85</f>
        <v/>
      </c>
      <c r="G85" s="79">
        <f t="array" ref="G85">G$9*$L85</f>
        <v/>
      </c>
      <c r="H85" s="79">
        <f t="array" ref="H85">E85+D85</f>
        <v/>
      </c>
      <c r="I85" s="79">
        <f t="array" ref="I85">G85+F85</f>
        <v/>
      </c>
      <c r="J85" s="79">
        <f t="array" ref="J85">D85+F85</f>
        <v/>
      </c>
      <c r="K85" s="79">
        <f t="array" ref="K85">E85+G85</f>
        <v/>
      </c>
      <c r="L85" s="81" t="n"/>
    </row>
    <row r="86" ht="20.05" customHeight="1" s="215">
      <c r="A86" s="56" t="inlineStr">
        <is>
          <t>m75</t>
        </is>
      </c>
      <c r="B86" s="34" t="inlineStr">
        <is>
          <t>75 years</t>
        </is>
      </c>
      <c r="C86" s="79">
        <f t="array" ref="C86">H86+I86</f>
        <v/>
      </c>
      <c r="D86" s="79">
        <f t="array" ref="D86">D$9*$L86</f>
        <v/>
      </c>
      <c r="E86" s="79">
        <f t="array" ref="E86">E$9*$L86</f>
        <v/>
      </c>
      <c r="F86" s="79">
        <f t="array" ref="F86">F$9*$L86</f>
        <v/>
      </c>
      <c r="G86" s="79">
        <f t="array" ref="G86">G$9*$L86</f>
        <v/>
      </c>
      <c r="H86" s="79">
        <f t="array" ref="H86">E86+D86</f>
        <v/>
      </c>
      <c r="I86" s="79">
        <f t="array" ref="I86">G86+F86</f>
        <v/>
      </c>
      <c r="J86" s="79">
        <f t="array" ref="J86">D86+F86</f>
        <v/>
      </c>
      <c r="K86" s="79">
        <f t="array" ref="K86">E86+G86</f>
        <v/>
      </c>
      <c r="L86" s="81" t="n"/>
    </row>
    <row r="87" ht="20.05" customHeight="1" s="215">
      <c r="A87" s="56" t="inlineStr">
        <is>
          <t>m76</t>
        </is>
      </c>
      <c r="B87" s="34" t="inlineStr">
        <is>
          <t>76 years</t>
        </is>
      </c>
      <c r="C87" s="79">
        <f t="array" ref="C87">H87+I87</f>
        <v/>
      </c>
      <c r="D87" s="79">
        <f t="array" ref="D87">D$9*$L87</f>
        <v/>
      </c>
      <c r="E87" s="79">
        <f t="array" ref="E87">E$9*$L87</f>
        <v/>
      </c>
      <c r="F87" s="79">
        <f t="array" ref="F87">F$9*$L87</f>
        <v/>
      </c>
      <c r="G87" s="79">
        <f t="array" ref="G87">G$9*$L87</f>
        <v/>
      </c>
      <c r="H87" s="79">
        <f t="array" ref="H87">E87+D87</f>
        <v/>
      </c>
      <c r="I87" s="79">
        <f t="array" ref="I87">G87+F87</f>
        <v/>
      </c>
      <c r="J87" s="79">
        <f t="array" ref="J87">D87+F87</f>
        <v/>
      </c>
      <c r="K87" s="79">
        <f t="array" ref="K87">E87+G87</f>
        <v/>
      </c>
      <c r="L87" s="81" t="n"/>
    </row>
    <row r="88" ht="20.05" customHeight="1" s="215">
      <c r="A88" s="56" t="inlineStr">
        <is>
          <t>m77</t>
        </is>
      </c>
      <c r="B88" s="34" t="inlineStr">
        <is>
          <t>77 years</t>
        </is>
      </c>
      <c r="C88" s="79">
        <f t="array" ref="C88">H88+I88</f>
        <v/>
      </c>
      <c r="D88" s="79">
        <f t="array" ref="D88">D$9*$L88</f>
        <v/>
      </c>
      <c r="E88" s="79">
        <f t="array" ref="E88">E$9*$L88</f>
        <v/>
      </c>
      <c r="F88" s="79">
        <f t="array" ref="F88">F$9*$L88</f>
        <v/>
      </c>
      <c r="G88" s="79">
        <f t="array" ref="G88">G$9*$L88</f>
        <v/>
      </c>
      <c r="H88" s="79">
        <f t="array" ref="H88">E88+D88</f>
        <v/>
      </c>
      <c r="I88" s="79">
        <f t="array" ref="I88">G88+F88</f>
        <v/>
      </c>
      <c r="J88" s="79">
        <f t="array" ref="J88">D88+F88</f>
        <v/>
      </c>
      <c r="K88" s="79">
        <f t="array" ref="K88">E88+G88</f>
        <v/>
      </c>
      <c r="L88" s="81" t="n"/>
    </row>
    <row r="89" ht="20.05" customHeight="1" s="215">
      <c r="A89" s="56" t="inlineStr">
        <is>
          <t>m78</t>
        </is>
      </c>
      <c r="B89" s="34" t="inlineStr">
        <is>
          <t>78 years</t>
        </is>
      </c>
      <c r="C89" s="79">
        <f t="array" ref="C89">H89+I89</f>
        <v/>
      </c>
      <c r="D89" s="79">
        <f t="array" ref="D89">D$9*$L89</f>
        <v/>
      </c>
      <c r="E89" s="79">
        <f t="array" ref="E89">E$9*$L89</f>
        <v/>
      </c>
      <c r="F89" s="79">
        <f t="array" ref="F89">F$9*$L89</f>
        <v/>
      </c>
      <c r="G89" s="79">
        <f t="array" ref="G89">G$9*$L89</f>
        <v/>
      </c>
      <c r="H89" s="79">
        <f t="array" ref="H89">E89+D89</f>
        <v/>
      </c>
      <c r="I89" s="79">
        <f t="array" ref="I89">G89+F89</f>
        <v/>
      </c>
      <c r="J89" s="79">
        <f t="array" ref="J89">D89+F89</f>
        <v/>
      </c>
      <c r="K89" s="79">
        <f t="array" ref="K89">E89+G89</f>
        <v/>
      </c>
      <c r="L89" s="81" t="n"/>
    </row>
    <row r="90" ht="20.05" customHeight="1" s="215">
      <c r="A90" s="56" t="inlineStr">
        <is>
          <t>m79</t>
        </is>
      </c>
      <c r="B90" s="34" t="inlineStr">
        <is>
          <t>79 years</t>
        </is>
      </c>
      <c r="C90" s="79">
        <f t="array" ref="C90">H90+I90</f>
        <v/>
      </c>
      <c r="D90" s="79">
        <f t="array" ref="D90">D$9*$L90</f>
        <v/>
      </c>
      <c r="E90" s="79">
        <f t="array" ref="E90">E$9*$L90</f>
        <v/>
      </c>
      <c r="F90" s="79">
        <f t="array" ref="F90">F$9*$L90</f>
        <v/>
      </c>
      <c r="G90" s="79">
        <f t="array" ref="G90">G$9*$L90</f>
        <v/>
      </c>
      <c r="H90" s="79">
        <f t="array" ref="H90">E90+D90</f>
        <v/>
      </c>
      <c r="I90" s="79">
        <f t="array" ref="I90">G90+F90</f>
        <v/>
      </c>
      <c r="J90" s="79">
        <f t="array" ref="J90">D90+F90</f>
        <v/>
      </c>
      <c r="K90" s="79">
        <f t="array" ref="K90">E90+G90</f>
        <v/>
      </c>
      <c r="L90" s="81" t="n"/>
    </row>
    <row r="91" ht="20.05" customHeight="1" s="215">
      <c r="A91" s="56" t="inlineStr">
        <is>
          <t>m80</t>
        </is>
      </c>
      <c r="B91" s="34" t="inlineStr">
        <is>
          <t>80 years</t>
        </is>
      </c>
      <c r="C91" s="79">
        <f t="array" ref="C91">H91+I91</f>
        <v/>
      </c>
      <c r="D91" s="79">
        <f t="array" ref="D91">D$9*$L91</f>
        <v/>
      </c>
      <c r="E91" s="79">
        <f t="array" ref="E91">E$9*$L91</f>
        <v/>
      </c>
      <c r="F91" s="79">
        <f t="array" ref="F91">F$9*$L91</f>
        <v/>
      </c>
      <c r="G91" s="79">
        <f t="array" ref="G91">G$9*$L91</f>
        <v/>
      </c>
      <c r="H91" s="79">
        <f t="array" ref="H91">E91+D91</f>
        <v/>
      </c>
      <c r="I91" s="79">
        <f t="array" ref="I91">G91+F91</f>
        <v/>
      </c>
      <c r="J91" s="79">
        <f t="array" ref="J91">D91+F91</f>
        <v/>
      </c>
      <c r="K91" s="79">
        <f t="array" ref="K91">E91+G91</f>
        <v/>
      </c>
      <c r="L91" s="81" t="n"/>
    </row>
    <row r="92" ht="20.05" customHeight="1" s="215">
      <c r="A92" s="56" t="inlineStr">
        <is>
          <t>m81</t>
        </is>
      </c>
      <c r="B92" s="34" t="inlineStr">
        <is>
          <t>81 years</t>
        </is>
      </c>
      <c r="C92" s="79">
        <f t="array" ref="C92">H92+I92</f>
        <v/>
      </c>
      <c r="D92" s="79">
        <f t="array" ref="D92">D$9*$L92</f>
        <v/>
      </c>
      <c r="E92" s="79">
        <f t="array" ref="E92">E$9*$L92</f>
        <v/>
      </c>
      <c r="F92" s="79">
        <f t="array" ref="F92">F$9*$L92</f>
        <v/>
      </c>
      <c r="G92" s="79">
        <f t="array" ref="G92">G$9*$L92</f>
        <v/>
      </c>
      <c r="H92" s="79">
        <f t="array" ref="H92">E92+D92</f>
        <v/>
      </c>
      <c r="I92" s="79">
        <f t="array" ref="I92">G92+F92</f>
        <v/>
      </c>
      <c r="J92" s="79">
        <f t="array" ref="J92">D92+F92</f>
        <v/>
      </c>
      <c r="K92" s="79">
        <f t="array" ref="K92">E92+G92</f>
        <v/>
      </c>
      <c r="L92" s="81" t="n"/>
    </row>
    <row r="93" ht="20.05" customHeight="1" s="215">
      <c r="A93" s="56" t="inlineStr">
        <is>
          <t>m82</t>
        </is>
      </c>
      <c r="B93" s="34" t="inlineStr">
        <is>
          <t>82 years</t>
        </is>
      </c>
      <c r="C93" s="79">
        <f t="array" ref="C93">H93+I93</f>
        <v/>
      </c>
      <c r="D93" s="79">
        <f t="array" ref="D93">D$9*$L93</f>
        <v/>
      </c>
      <c r="E93" s="79">
        <f t="array" ref="E93">E$9*$L93</f>
        <v/>
      </c>
      <c r="F93" s="79">
        <f t="array" ref="F93">F$9*$L93</f>
        <v/>
      </c>
      <c r="G93" s="79">
        <f t="array" ref="G93">G$9*$L93</f>
        <v/>
      </c>
      <c r="H93" s="79">
        <f t="array" ref="H93">E93+D93</f>
        <v/>
      </c>
      <c r="I93" s="79">
        <f t="array" ref="I93">G93+F93</f>
        <v/>
      </c>
      <c r="J93" s="79">
        <f t="array" ref="J93">D93+F93</f>
        <v/>
      </c>
      <c r="K93" s="79">
        <f t="array" ref="K93">E93+G93</f>
        <v/>
      </c>
      <c r="L93" s="81" t="n"/>
    </row>
    <row r="94" ht="20.05" customHeight="1" s="215">
      <c r="A94" s="56" t="inlineStr">
        <is>
          <t>m83</t>
        </is>
      </c>
      <c r="B94" s="34" t="inlineStr">
        <is>
          <t>83 years</t>
        </is>
      </c>
      <c r="C94" s="79">
        <f t="array" ref="C94">H94+I94</f>
        <v/>
      </c>
      <c r="D94" s="79">
        <f t="array" ref="D94">D$9*$L94</f>
        <v/>
      </c>
      <c r="E94" s="79">
        <f t="array" ref="E94">E$9*$L94</f>
        <v/>
      </c>
      <c r="F94" s="79">
        <f t="array" ref="F94">F$9*$L94</f>
        <v/>
      </c>
      <c r="G94" s="79">
        <f t="array" ref="G94">G$9*$L94</f>
        <v/>
      </c>
      <c r="H94" s="79">
        <f t="array" ref="H94">E94+D94</f>
        <v/>
      </c>
      <c r="I94" s="79">
        <f t="array" ref="I94">G94+F94</f>
        <v/>
      </c>
      <c r="J94" s="79">
        <f t="array" ref="J94">D94+F94</f>
        <v/>
      </c>
      <c r="K94" s="79">
        <f t="array" ref="K94">E94+G94</f>
        <v/>
      </c>
      <c r="L94" s="81" t="n"/>
    </row>
    <row r="95" ht="20.05" customHeight="1" s="215">
      <c r="A95" s="56" t="inlineStr">
        <is>
          <t>m84</t>
        </is>
      </c>
      <c r="B95" s="34" t="inlineStr">
        <is>
          <t>84 years</t>
        </is>
      </c>
      <c r="C95" s="79">
        <f t="array" ref="C95">H95+I95</f>
        <v/>
      </c>
      <c r="D95" s="79">
        <f t="array" ref="D95">D$9*$L95</f>
        <v/>
      </c>
      <c r="E95" s="79">
        <f t="array" ref="E95">E$9*$L95</f>
        <v/>
      </c>
      <c r="F95" s="79">
        <f t="array" ref="F95">F$9*$L95</f>
        <v/>
      </c>
      <c r="G95" s="79">
        <f t="array" ref="G95">G$9*$L95</f>
        <v/>
      </c>
      <c r="H95" s="79">
        <f t="array" ref="H95">E95+D95</f>
        <v/>
      </c>
      <c r="I95" s="79">
        <f t="array" ref="I95">G95+F95</f>
        <v/>
      </c>
      <c r="J95" s="79">
        <f t="array" ref="J95">D95+F95</f>
        <v/>
      </c>
      <c r="K95" s="79">
        <f t="array" ref="K95">E95+G95</f>
        <v/>
      </c>
      <c r="L95" s="81" t="n"/>
    </row>
    <row r="96" ht="20.05" customHeight="1" s="215">
      <c r="A96" s="56" t="inlineStr">
        <is>
          <t>m85</t>
        </is>
      </c>
      <c r="B96" s="34" t="inlineStr">
        <is>
          <t>85 years</t>
        </is>
      </c>
      <c r="C96" s="79">
        <f t="array" ref="C96">H96+I96</f>
        <v/>
      </c>
      <c r="D96" s="79">
        <f t="array" ref="D96">D$9*$L96</f>
        <v/>
      </c>
      <c r="E96" s="79">
        <f t="array" ref="E96">E$9*$L96</f>
        <v/>
      </c>
      <c r="F96" s="79">
        <f t="array" ref="F96">F$9*$L96</f>
        <v/>
      </c>
      <c r="G96" s="79">
        <f t="array" ref="G96">G$9*$L96</f>
        <v/>
      </c>
      <c r="H96" s="79">
        <f t="array" ref="H96">E96+D96</f>
        <v/>
      </c>
      <c r="I96" s="79">
        <f t="array" ref="I96">G96+F96</f>
        <v/>
      </c>
      <c r="J96" s="79">
        <f t="array" ref="J96">D96+F96</f>
        <v/>
      </c>
      <c r="K96" s="79">
        <f t="array" ref="K96">E96+G96</f>
        <v/>
      </c>
      <c r="L96" s="81" t="n"/>
    </row>
    <row r="97" ht="20.05" customHeight="1" s="215">
      <c r="A97" s="56" t="inlineStr">
        <is>
          <t>m86</t>
        </is>
      </c>
      <c r="B97" s="34" t="inlineStr">
        <is>
          <t>86 years</t>
        </is>
      </c>
      <c r="C97" s="79">
        <f t="array" ref="C97">H97+I97</f>
        <v/>
      </c>
      <c r="D97" s="79">
        <f t="array" ref="D97">D$9*$L97</f>
        <v/>
      </c>
      <c r="E97" s="79">
        <f t="array" ref="E97">E$9*$L97</f>
        <v/>
      </c>
      <c r="F97" s="79">
        <f t="array" ref="F97">F$9*$L97</f>
        <v/>
      </c>
      <c r="G97" s="79">
        <f t="array" ref="G97">G$9*$L97</f>
        <v/>
      </c>
      <c r="H97" s="79">
        <f t="array" ref="H97">E97+D97</f>
        <v/>
      </c>
      <c r="I97" s="79">
        <f t="array" ref="I97">G97+F97</f>
        <v/>
      </c>
      <c r="J97" s="79">
        <f t="array" ref="J97">D97+F97</f>
        <v/>
      </c>
      <c r="K97" s="79">
        <f t="array" ref="K97">E97+G97</f>
        <v/>
      </c>
      <c r="L97" s="81" t="n"/>
    </row>
    <row r="98" ht="20.05" customHeight="1" s="215">
      <c r="A98" s="56" t="inlineStr">
        <is>
          <t>m87</t>
        </is>
      </c>
      <c r="B98" s="34" t="inlineStr">
        <is>
          <t>87 years</t>
        </is>
      </c>
      <c r="C98" s="79">
        <f t="array" ref="C98">H98+I98</f>
        <v/>
      </c>
      <c r="D98" s="79">
        <f t="array" ref="D98">D$9*$L98</f>
        <v/>
      </c>
      <c r="E98" s="79">
        <f t="array" ref="E98">E$9*$L98</f>
        <v/>
      </c>
      <c r="F98" s="79">
        <f t="array" ref="F98">F$9*$L98</f>
        <v/>
      </c>
      <c r="G98" s="79">
        <f t="array" ref="G98">G$9*$L98</f>
        <v/>
      </c>
      <c r="H98" s="79">
        <f t="array" ref="H98">E98+D98</f>
        <v/>
      </c>
      <c r="I98" s="79">
        <f t="array" ref="I98">G98+F98</f>
        <v/>
      </c>
      <c r="J98" s="79">
        <f t="array" ref="J98">D98+F98</f>
        <v/>
      </c>
      <c r="K98" s="79">
        <f t="array" ref="K98">E98+G98</f>
        <v/>
      </c>
      <c r="L98" s="81" t="n"/>
    </row>
    <row r="99" ht="20.05" customHeight="1" s="215">
      <c r="A99" s="56" t="inlineStr">
        <is>
          <t>m88</t>
        </is>
      </c>
      <c r="B99" s="34" t="inlineStr">
        <is>
          <t>88 years</t>
        </is>
      </c>
      <c r="C99" s="79">
        <f t="array" ref="C99">H99+I99</f>
        <v/>
      </c>
      <c r="D99" s="79">
        <f t="array" ref="D99">D$9*$L99</f>
        <v/>
      </c>
      <c r="E99" s="79">
        <f t="array" ref="E99">E$9*$L99</f>
        <v/>
      </c>
      <c r="F99" s="79">
        <f t="array" ref="F99">F$9*$L99</f>
        <v/>
      </c>
      <c r="G99" s="79">
        <f t="array" ref="G99">G$9*$L99</f>
        <v/>
      </c>
      <c r="H99" s="79">
        <f t="array" ref="H99">E99+D99</f>
        <v/>
      </c>
      <c r="I99" s="79">
        <f t="array" ref="I99">G99+F99</f>
        <v/>
      </c>
      <c r="J99" s="79">
        <f t="array" ref="J99">D99+F99</f>
        <v/>
      </c>
      <c r="K99" s="79">
        <f t="array" ref="K99">E99+G99</f>
        <v/>
      </c>
      <c r="L99" s="81" t="n"/>
    </row>
    <row r="100" ht="20.05" customHeight="1" s="215">
      <c r="A100" s="56" t="inlineStr">
        <is>
          <t>m89</t>
        </is>
      </c>
      <c r="B100" s="34" t="inlineStr">
        <is>
          <t>89 years</t>
        </is>
      </c>
      <c r="C100" s="79">
        <f t="array" ref="C100">H100+I100</f>
        <v/>
      </c>
      <c r="D100" s="79">
        <f t="array" ref="D100">D$9*$L100</f>
        <v/>
      </c>
      <c r="E100" s="79">
        <f t="array" ref="E100">E$9*$L100</f>
        <v/>
      </c>
      <c r="F100" s="79">
        <f t="array" ref="F100">F$9*$L100</f>
        <v/>
      </c>
      <c r="G100" s="79">
        <f t="array" ref="G100">G$9*$L100</f>
        <v/>
      </c>
      <c r="H100" s="79">
        <f t="array" ref="H100">E100+D100</f>
        <v/>
      </c>
      <c r="I100" s="79">
        <f t="array" ref="I100">G100+F100</f>
        <v/>
      </c>
      <c r="J100" s="79">
        <f t="array" ref="J100">D100+F100</f>
        <v/>
      </c>
      <c r="K100" s="79">
        <f t="array" ref="K100">E100+G100</f>
        <v/>
      </c>
      <c r="L100" s="81" t="n"/>
    </row>
    <row r="101" ht="20.05" customHeight="1" s="215">
      <c r="A101" s="56" t="inlineStr">
        <is>
          <t>m90</t>
        </is>
      </c>
      <c r="B101" s="34" t="inlineStr">
        <is>
          <t>90 years</t>
        </is>
      </c>
      <c r="C101" s="79">
        <f t="array" ref="C101">H101+I101</f>
        <v/>
      </c>
      <c r="D101" s="79">
        <f t="array" ref="D101">D$9*$L101</f>
        <v/>
      </c>
      <c r="E101" s="79">
        <f t="array" ref="E101">E$9*$L101</f>
        <v/>
      </c>
      <c r="F101" s="79">
        <f t="array" ref="F101">F$9*$L101</f>
        <v/>
      </c>
      <c r="G101" s="79">
        <f t="array" ref="G101">G$9*$L101</f>
        <v/>
      </c>
      <c r="H101" s="79">
        <f t="array" ref="H101">E101+D101</f>
        <v/>
      </c>
      <c r="I101" s="79">
        <f t="array" ref="I101">G101+F101</f>
        <v/>
      </c>
      <c r="J101" s="79">
        <f t="array" ref="J101">D101+F101</f>
        <v/>
      </c>
      <c r="K101" s="79">
        <f t="array" ref="K101">E101+G101</f>
        <v/>
      </c>
      <c r="L101" s="81" t="n"/>
    </row>
    <row r="102" ht="20.05" customHeight="1" s="215">
      <c r="A102" s="56" t="inlineStr">
        <is>
          <t>m91</t>
        </is>
      </c>
      <c r="B102" s="34" t="inlineStr">
        <is>
          <t>91 years</t>
        </is>
      </c>
      <c r="C102" s="79">
        <f t="array" ref="C102">H102+I102</f>
        <v/>
      </c>
      <c r="D102" s="79">
        <f t="array" ref="D102">D$9*$L102</f>
        <v/>
      </c>
      <c r="E102" s="79">
        <f t="array" ref="E102">E$9*$L102</f>
        <v/>
      </c>
      <c r="F102" s="79">
        <f t="array" ref="F102">F$9*$L102</f>
        <v/>
      </c>
      <c r="G102" s="79">
        <f t="array" ref="G102">G$9*$L102</f>
        <v/>
      </c>
      <c r="H102" s="79">
        <f t="array" ref="H102">E102+D102</f>
        <v/>
      </c>
      <c r="I102" s="79">
        <f t="array" ref="I102">G102+F102</f>
        <v/>
      </c>
      <c r="J102" s="79">
        <f t="array" ref="J102">D102+F102</f>
        <v/>
      </c>
      <c r="K102" s="79">
        <f t="array" ref="K102">E102+G102</f>
        <v/>
      </c>
      <c r="L102" s="81" t="n"/>
    </row>
    <row r="103" ht="20.05" customHeight="1" s="215">
      <c r="A103" s="56" t="inlineStr">
        <is>
          <t>m92</t>
        </is>
      </c>
      <c r="B103" s="34" t="inlineStr">
        <is>
          <t>92 years</t>
        </is>
      </c>
      <c r="C103" s="79">
        <f t="array" ref="C103">H103+I103</f>
        <v/>
      </c>
      <c r="D103" s="79">
        <f t="array" ref="D103">D$9*$L103</f>
        <v/>
      </c>
      <c r="E103" s="79">
        <f t="array" ref="E103">E$9*$L103</f>
        <v/>
      </c>
      <c r="F103" s="79">
        <f t="array" ref="F103">F$9*$L103</f>
        <v/>
      </c>
      <c r="G103" s="79">
        <f t="array" ref="G103">G$9*$L103</f>
        <v/>
      </c>
      <c r="H103" s="79">
        <f t="array" ref="H103">E103+D103</f>
        <v/>
      </c>
      <c r="I103" s="79">
        <f t="array" ref="I103">G103+F103</f>
        <v/>
      </c>
      <c r="J103" s="79">
        <f t="array" ref="J103">D103+F103</f>
        <v/>
      </c>
      <c r="K103" s="79">
        <f t="array" ref="K103">E103+G103</f>
        <v/>
      </c>
      <c r="L103" s="81" t="n"/>
    </row>
    <row r="104" ht="20.05" customHeight="1" s="215">
      <c r="A104" s="56" t="inlineStr">
        <is>
          <t>m93</t>
        </is>
      </c>
      <c r="B104" s="34" t="inlineStr">
        <is>
          <t>93 years</t>
        </is>
      </c>
      <c r="C104" s="79">
        <f t="array" ref="C104">H104+I104</f>
        <v/>
      </c>
      <c r="D104" s="79">
        <f t="array" ref="D104">D$9*$L104</f>
        <v/>
      </c>
      <c r="E104" s="79">
        <f t="array" ref="E104">E$9*$L104</f>
        <v/>
      </c>
      <c r="F104" s="79">
        <f t="array" ref="F104">F$9*$L104</f>
        <v/>
      </c>
      <c r="G104" s="79">
        <f t="array" ref="G104">G$9*$L104</f>
        <v/>
      </c>
      <c r="H104" s="79">
        <f t="array" ref="H104">E104+D104</f>
        <v/>
      </c>
      <c r="I104" s="79">
        <f t="array" ref="I104">G104+F104</f>
        <v/>
      </c>
      <c r="J104" s="79">
        <f t="array" ref="J104">D104+F104</f>
        <v/>
      </c>
      <c r="K104" s="79">
        <f t="array" ref="K104">E104+G104</f>
        <v/>
      </c>
      <c r="L104" s="81" t="n"/>
    </row>
    <row r="105" ht="20.05" customHeight="1" s="215">
      <c r="A105" s="56" t="inlineStr">
        <is>
          <t>m94</t>
        </is>
      </c>
      <c r="B105" s="34" t="inlineStr">
        <is>
          <t>94 years</t>
        </is>
      </c>
      <c r="C105" s="79">
        <f t="array" ref="C105">H105+I105</f>
        <v/>
      </c>
      <c r="D105" s="79">
        <f t="array" ref="D105">D$9*$L105</f>
        <v/>
      </c>
      <c r="E105" s="79">
        <f t="array" ref="E105">E$9*$L105</f>
        <v/>
      </c>
      <c r="F105" s="79">
        <f t="array" ref="F105">F$9*$L105</f>
        <v/>
      </c>
      <c r="G105" s="79">
        <f t="array" ref="G105">G$9*$L105</f>
        <v/>
      </c>
      <c r="H105" s="79">
        <f t="array" ref="H105">E105+D105</f>
        <v/>
      </c>
      <c r="I105" s="79">
        <f t="array" ref="I105">G105+F105</f>
        <v/>
      </c>
      <c r="J105" s="79">
        <f t="array" ref="J105">D105+F105</f>
        <v/>
      </c>
      <c r="K105" s="79">
        <f t="array" ref="K105">E105+G105</f>
        <v/>
      </c>
      <c r="L105" s="81" t="n"/>
    </row>
    <row r="106" ht="20.05" customHeight="1" s="215">
      <c r="A106" s="56" t="inlineStr">
        <is>
          <t>m95</t>
        </is>
      </c>
      <c r="B106" s="34" t="inlineStr">
        <is>
          <t>95 years</t>
        </is>
      </c>
      <c r="C106" s="79">
        <f t="array" ref="C106">H106+I106</f>
        <v/>
      </c>
      <c r="D106" s="79">
        <f t="array" ref="D106">D$9*$L106</f>
        <v/>
      </c>
      <c r="E106" s="79">
        <f t="array" ref="E106">E$9*$L106</f>
        <v/>
      </c>
      <c r="F106" s="79">
        <f t="array" ref="F106">F$9*$L106</f>
        <v/>
      </c>
      <c r="G106" s="79">
        <f t="array" ref="G106">G$9*$L106</f>
        <v/>
      </c>
      <c r="H106" s="79">
        <f t="array" ref="H106">E106+D106</f>
        <v/>
      </c>
      <c r="I106" s="79">
        <f t="array" ref="I106">G106+F106</f>
        <v/>
      </c>
      <c r="J106" s="79">
        <f t="array" ref="J106">D106+F106</f>
        <v/>
      </c>
      <c r="K106" s="79">
        <f t="array" ref="K106">E106+G106</f>
        <v/>
      </c>
      <c r="L106" s="81" t="n"/>
    </row>
    <row r="107" ht="20.05" customHeight="1" s="215">
      <c r="A107" s="56" t="inlineStr">
        <is>
          <t>m96</t>
        </is>
      </c>
      <c r="B107" s="34" t="inlineStr">
        <is>
          <t>96 years</t>
        </is>
      </c>
      <c r="C107" s="79">
        <f t="array" ref="C107">H107+I107</f>
        <v/>
      </c>
      <c r="D107" s="79">
        <f t="array" ref="D107">D$9*$L107</f>
        <v/>
      </c>
      <c r="E107" s="79">
        <f t="array" ref="E107">E$9*$L107</f>
        <v/>
      </c>
      <c r="F107" s="79">
        <f t="array" ref="F107">F$9*$L107</f>
        <v/>
      </c>
      <c r="G107" s="79">
        <f t="array" ref="G107">G$9*$L107</f>
        <v/>
      </c>
      <c r="H107" s="79">
        <f t="array" ref="H107">E107+D107</f>
        <v/>
      </c>
      <c r="I107" s="79">
        <f t="array" ref="I107">G107+F107</f>
        <v/>
      </c>
      <c r="J107" s="79">
        <f t="array" ref="J107">D107+F107</f>
        <v/>
      </c>
      <c r="K107" s="79">
        <f t="array" ref="K107">E107+G107</f>
        <v/>
      </c>
      <c r="L107" s="81" t="n"/>
    </row>
    <row r="108" ht="20.05" customHeight="1" s="215">
      <c r="A108" s="56" t="inlineStr">
        <is>
          <t>m97</t>
        </is>
      </c>
      <c r="B108" s="34" t="inlineStr">
        <is>
          <t>97 years</t>
        </is>
      </c>
      <c r="C108" s="79">
        <f t="array" ref="C108">H108+I108</f>
        <v/>
      </c>
      <c r="D108" s="79">
        <f t="array" ref="D108">D$9*$L108</f>
        <v/>
      </c>
      <c r="E108" s="79">
        <f t="array" ref="E108">E$9*$L108</f>
        <v/>
      </c>
      <c r="F108" s="79">
        <f t="array" ref="F108">F$9*$L108</f>
        <v/>
      </c>
      <c r="G108" s="79">
        <f t="array" ref="G108">G$9*$L108</f>
        <v/>
      </c>
      <c r="H108" s="79">
        <f t="array" ref="H108">E108+D108</f>
        <v/>
      </c>
      <c r="I108" s="79">
        <f t="array" ref="I108">G108+F108</f>
        <v/>
      </c>
      <c r="J108" s="79">
        <f t="array" ref="J108">D108+F108</f>
        <v/>
      </c>
      <c r="K108" s="79">
        <f t="array" ref="K108">E108+G108</f>
        <v/>
      </c>
      <c r="L108" s="81" t="n"/>
    </row>
    <row r="109" ht="20.05" customHeight="1" s="215">
      <c r="A109" s="56" t="inlineStr">
        <is>
          <t>m98</t>
        </is>
      </c>
      <c r="B109" s="34" t="inlineStr">
        <is>
          <t>98 years</t>
        </is>
      </c>
      <c r="C109" s="79">
        <f t="array" ref="C109">H109+I109</f>
        <v/>
      </c>
      <c r="D109" s="79">
        <f t="array" ref="D109">D$9*$L109</f>
        <v/>
      </c>
      <c r="E109" s="79">
        <f t="array" ref="E109">E$9*$L109</f>
        <v/>
      </c>
      <c r="F109" s="79">
        <f t="array" ref="F109">F$9*$L109</f>
        <v/>
      </c>
      <c r="G109" s="79">
        <f t="array" ref="G109">G$9*$L109</f>
        <v/>
      </c>
      <c r="H109" s="79">
        <f t="array" ref="H109">E109+D109</f>
        <v/>
      </c>
      <c r="I109" s="79">
        <f t="array" ref="I109">G109+F109</f>
        <v/>
      </c>
      <c r="J109" s="79">
        <f t="array" ref="J109">D109+F109</f>
        <v/>
      </c>
      <c r="K109" s="79">
        <f t="array" ref="K109">E109+G109</f>
        <v/>
      </c>
      <c r="L109" s="81" t="n"/>
    </row>
    <row r="110" ht="20.05" customHeight="1" s="215">
      <c r="A110" s="56" t="inlineStr">
        <is>
          <t>m99</t>
        </is>
      </c>
      <c r="B110" s="34" t="inlineStr">
        <is>
          <t>99 years and older</t>
        </is>
      </c>
      <c r="C110" s="79">
        <f t="array" ref="C110">H110+I110</f>
        <v/>
      </c>
      <c r="D110" s="79">
        <f t="array" ref="D110">D$9*$L110</f>
        <v/>
      </c>
      <c r="E110" s="79">
        <f t="array" ref="E110">E$9*$L110</f>
        <v/>
      </c>
      <c r="F110" s="79">
        <f t="array" ref="F110">F$9*$L110</f>
        <v/>
      </c>
      <c r="G110" s="79">
        <f t="array" ref="G110">G$9*$L110</f>
        <v/>
      </c>
      <c r="H110" s="79">
        <f t="array" ref="H110">E110+D110</f>
        <v/>
      </c>
      <c r="I110" s="79">
        <f t="array" ref="I110">G110+F110</f>
        <v/>
      </c>
      <c r="J110" s="79">
        <f t="array" ref="J110">D110+F110</f>
        <v/>
      </c>
      <c r="K110" s="79">
        <f t="array" ref="K110">E110+G110</f>
        <v/>
      </c>
      <c r="L110" s="81" t="n"/>
    </row>
    <row r="111" ht="20.05" customHeight="1" s="215">
      <c r="A111" s="56" t="inlineStr">
        <is>
          <t>mt</t>
        </is>
      </c>
      <c r="B111" s="34" t="inlineStr">
        <is>
          <t>Total</t>
        </is>
      </c>
      <c r="C111" s="79">
        <f t="array" ref="C111">SUM(C11:C110)</f>
        <v/>
      </c>
      <c r="D111" s="79">
        <f t="array" ref="D111">SUM(D11:D110)</f>
        <v/>
      </c>
      <c r="E111" s="79">
        <f t="array" ref="E111">SUM(E11:E110)</f>
        <v/>
      </c>
      <c r="F111" s="79">
        <f t="array" ref="F111">SUM(F11:F110)</f>
        <v/>
      </c>
      <c r="G111" s="79">
        <f t="array" ref="G111">SUM(G11:G110)</f>
        <v/>
      </c>
      <c r="H111" s="79">
        <f t="array" ref="H111">SUM(H11:H110)</f>
        <v/>
      </c>
      <c r="I111" s="79">
        <f t="array" ref="I111">SUM(I11:I110)</f>
        <v/>
      </c>
      <c r="J111" s="79">
        <f t="array" ref="J111">D111+F111</f>
        <v/>
      </c>
      <c r="K111" s="79">
        <f t="array" ref="K111">E111+G111</f>
        <v/>
      </c>
      <c r="L111" s="81" t="n"/>
    </row>
    <row r="112" ht="20.05" customHeight="1" s="215">
      <c r="A112" s="12" t="n"/>
      <c r="B112" s="28" t="n"/>
      <c r="C112" s="17" t="n"/>
      <c r="D112" s="17" t="n"/>
      <c r="E112" s="17" t="n"/>
      <c r="F112" s="17" t="n"/>
      <c r="G112" s="17" t="n"/>
      <c r="H112" s="17" t="n"/>
      <c r="I112" s="17" t="n"/>
      <c r="J112" s="17" t="n"/>
      <c r="K112" s="17" t="n"/>
      <c r="L112" s="17" t="n"/>
    </row>
    <row r="113" ht="32.05" customHeight="1" s="215">
      <c r="A113" s="56" t="inlineStr">
        <is>
          <t>ms</t>
        </is>
      </c>
      <c r="B113" s="34" t="inlineStr">
        <is>
          <t>Source of the data (verbal)</t>
        </is>
      </c>
      <c r="C113" s="58">
        <f t="array" ref="C113">IF(C114="","?",C114)&amp;IF(C115="","","; downloaded "&amp;C115)&amp;IF(C116="","","; "&amp;C116)</f>
        <v/>
      </c>
      <c r="D113" s="218" t="n"/>
      <c r="E113" s="218" t="n"/>
      <c r="F113" s="218" t="n"/>
      <c r="G113" s="218" t="n"/>
      <c r="H113" s="218" t="n"/>
      <c r="I113" s="218" t="n"/>
      <c r="J113" s="218" t="n"/>
      <c r="K113" s="218" t="n"/>
      <c r="L113" s="17" t="n"/>
    </row>
    <row r="114" ht="20.05" customHeight="1" s="215">
      <c r="A114" s="23" t="n"/>
      <c r="B114" s="34" t="inlineStr">
        <is>
          <t>URLs, where the data was found</t>
        </is>
      </c>
      <c r="C114" s="59" t="inlineStr">
        <is>
          <t>Enter URLs here, if you have multiple URLs seperate them with a comma</t>
        </is>
      </c>
      <c r="D114" s="218" t="n"/>
      <c r="E114" s="218" t="n"/>
      <c r="F114" s="218" t="n"/>
      <c r="G114" s="218" t="n"/>
      <c r="H114" s="218" t="n"/>
      <c r="I114" s="218" t="n"/>
      <c r="J114" s="218" t="n"/>
      <c r="K114" s="218" t="n"/>
      <c r="L114" s="17" t="n"/>
    </row>
    <row r="115" ht="20.05" customHeight="1" s="215">
      <c r="A115" s="37" t="n"/>
      <c r="B115" s="47" t="inlineStr">
        <is>
          <t>Date, when the data was downloaded</t>
        </is>
      </c>
      <c r="C115" s="155" t="inlineStr">
        <is>
          <t>yyyy-MM-dd</t>
        </is>
      </c>
      <c r="D115" s="219" t="n"/>
      <c r="E115" s="219" t="n"/>
      <c r="F115" s="219" t="n"/>
      <c r="G115" s="219" t="n"/>
      <c r="H115" s="219" t="n"/>
      <c r="I115" s="219" t="n"/>
      <c r="J115" s="219" t="n"/>
      <c r="K115" s="219" t="n"/>
      <c r="L115" s="17" t="n"/>
    </row>
    <row r="116" ht="20.05" customHeight="1" s="215">
      <c r="A116" s="12" t="n"/>
      <c r="B116" s="13" t="inlineStr">
        <is>
          <t>Manual remarks (not for AI!)</t>
        </is>
      </c>
      <c r="C116" s="156" t="inlineStr">
        <is>
          <t>we used the 10-year average number of the migration balance (2015-2024); the numbers are binomially distributed between the age of 5 and 54</t>
        </is>
      </c>
      <c r="L116" s="17" t="n"/>
    </row>
    <row r="117" ht="20.05" customHeight="1" s="215">
      <c r="A117" s="12" t="n"/>
      <c r="B117" s="13" t="inlineStr">
        <is>
          <t>Remarks of the AI (e.g. calculation)</t>
        </is>
      </c>
      <c r="C117" s="158" t="n"/>
      <c r="D117" s="217" t="n"/>
      <c r="E117" s="217" t="n"/>
      <c r="F117" s="217" t="n"/>
      <c r="G117" s="217" t="n"/>
      <c r="H117" s="217" t="n"/>
      <c r="I117" s="217" t="n"/>
      <c r="J117" s="217" t="n"/>
      <c r="K117" s="217" t="n"/>
      <c r="L117" s="17" t="n"/>
    </row>
    <row r="118" ht="20.05" customHeight="1" s="215">
      <c r="A118" s="12" t="n"/>
      <c r="B118" s="13" t="inlineStr">
        <is>
          <t>Internal remarks</t>
        </is>
      </c>
      <c r="C118" s="57" t="n"/>
      <c r="D118" s="218" t="n"/>
      <c r="E118" s="218" t="n"/>
      <c r="F118" s="218" t="n"/>
      <c r="G118" s="218" t="n"/>
      <c r="H118" s="218" t="n"/>
      <c r="I118" s="218" t="n"/>
      <c r="J118" s="218" t="n"/>
      <c r="K118" s="218" t="n"/>
      <c r="L118" s="17" t="n"/>
    </row>
    <row r="119" ht="20.05" customHeight="1" s="215">
      <c r="A119" s="23" t="n"/>
      <c r="B119" s="24" t="n"/>
      <c r="C119" s="17" t="n"/>
      <c r="D119" s="17" t="n"/>
      <c r="E119" s="17" t="n"/>
      <c r="F119" s="17" t="n"/>
      <c r="G119" s="17" t="n"/>
      <c r="H119" s="17" t="n"/>
      <c r="I119" s="17" t="n"/>
      <c r="J119" s="17" t="n"/>
      <c r="K119" s="17" t="n"/>
      <c r="L119" s="17" t="n"/>
    </row>
    <row r="120" ht="33.35" customHeight="1" s="215">
      <c r="A120" s="130" t="n"/>
      <c r="B120" s="131" t="inlineStr">
        <is>
          <t>✏️</t>
        </is>
      </c>
      <c r="C120" s="132" t="inlineStr">
        <is>
          <t>Enter your data below and make sure that you adjust the formulas above, if necessary.  If calculations are necessary, use the fields below for it and use formulas in the area above, to fill in the fields above exactly as intended.</t>
        </is>
      </c>
      <c r="D120" s="218" t="n"/>
      <c r="E120" s="218" t="n"/>
      <c r="F120" s="218" t="n"/>
      <c r="G120" s="218" t="n"/>
      <c r="H120" s="218" t="n"/>
      <c r="I120" s="218" t="n"/>
      <c r="J120" s="218" t="n"/>
      <c r="K120" s="218" t="n"/>
      <c r="L120" s="83" t="n"/>
    </row>
    <row r="121" ht="32.05" customHeight="1" s="215">
      <c r="A121" s="159" t="n"/>
      <c r="B121" s="160" t="inlineStr">
        <is>
          <t>Immigration</t>
        </is>
      </c>
      <c r="C121" s="99" t="inlineStr">
        <is>
          <t>Fill in the numbers of people immigrating into this country here.  For the calculation only the last 10 years are relevant. But we need the older values for later so we can calculate the numbers more correctly.</t>
        </is>
      </c>
      <c r="D121" s="218" t="n"/>
      <c r="E121" s="218" t="n"/>
      <c r="F121" s="218" t="n"/>
      <c r="G121" s="218" t="n"/>
      <c r="H121" s="218" t="n"/>
      <c r="I121" s="218" t="n"/>
      <c r="J121" s="218" t="n"/>
      <c r="K121" s="218" t="n"/>
      <c r="L121" s="33" t="n"/>
    </row>
    <row r="122" ht="20.05" customHeight="1" s="215">
      <c r="A122" s="23" t="n"/>
      <c r="B122" s="24" t="n"/>
      <c r="C122" s="81" t="n"/>
      <c r="D122" s="81" t="n"/>
      <c r="E122" s="81" t="n"/>
      <c r="F122" s="81" t="n"/>
      <c r="G122" s="81" t="n"/>
      <c r="H122" s="81" t="n"/>
      <c r="I122" s="81" t="n"/>
      <c r="J122" s="81" t="n"/>
      <c r="K122" s="81" t="n"/>
      <c r="L122" s="81" t="n"/>
    </row>
    <row r="123" ht="20.05" customHeight="1" s="215">
      <c r="A123" s="3" t="n"/>
      <c r="B123" s="161">
        <f t="array" ref="B123">$B124-1</f>
        <v/>
      </c>
      <c r="C123" s="225" t="n">
        <v>36000</v>
      </c>
      <c r="D123" s="102" t="n"/>
      <c r="E123" s="102" t="n"/>
      <c r="F123" s="80">
        <f t="array" ref="F123">J123-D123</f>
        <v/>
      </c>
      <c r="G123" s="80">
        <f t="array" ref="G123">K123-E123</f>
        <v/>
      </c>
      <c r="H123" s="79">
        <f t="array" ref="H123">E123+D123</f>
        <v/>
      </c>
      <c r="I123" s="79">
        <f t="array" ref="I123">G123+F123</f>
        <v/>
      </c>
      <c r="J123" s="102" t="n"/>
      <c r="K123" s="102" t="n"/>
      <c r="L123" s="226" t="n">
        <v>0.0418706094</v>
      </c>
    </row>
    <row r="124" ht="20.05" customHeight="1" s="215">
      <c r="A124" s="3" t="n"/>
      <c r="B124" s="161">
        <f t="array" ref="B124">$B125-1</f>
        <v/>
      </c>
      <c r="C124" s="225" t="n">
        <v>71000</v>
      </c>
      <c r="D124" s="102" t="n"/>
      <c r="E124" s="102" t="n"/>
      <c r="F124" s="80">
        <f t="array" ref="F124">J124-D124</f>
        <v/>
      </c>
      <c r="G124" s="80">
        <f t="array" ref="G124">K124-E124</f>
        <v/>
      </c>
      <c r="H124" s="79">
        <f t="array" ref="H124">E124+D124</f>
        <v/>
      </c>
      <c r="I124" s="79">
        <f t="array" ref="I124">G124+F124</f>
        <v/>
      </c>
      <c r="J124" s="102" t="n"/>
      <c r="K124" s="102" t="n"/>
      <c r="L124" s="226" t="n">
        <v>0.0463687134</v>
      </c>
    </row>
    <row r="125" ht="20.05" customHeight="1" s="215">
      <c r="A125" s="3" t="n"/>
      <c r="B125" s="161">
        <f t="array" ref="B125">$B126-1</f>
        <v/>
      </c>
      <c r="C125" s="225" t="n">
        <v>45000</v>
      </c>
      <c r="D125" s="102" t="n"/>
      <c r="E125" s="102" t="n"/>
      <c r="F125" s="80">
        <f t="array" ref="F125">J125-D125</f>
        <v/>
      </c>
      <c r="G125" s="80">
        <f t="array" ref="G125">K125-E125</f>
        <v/>
      </c>
      <c r="H125" s="79">
        <f t="array" ref="H125">E125+D125</f>
        <v/>
      </c>
      <c r="I125" s="79">
        <f t="array" ref="I125">G125+F125</f>
        <v/>
      </c>
      <c r="J125" s="102" t="n"/>
      <c r="K125" s="102" t="n"/>
      <c r="L125" s="226" t="n">
        <v>0.0503127037</v>
      </c>
    </row>
    <row r="126" ht="20.05" customHeight="1" s="215">
      <c r="A126" s="3" t="n"/>
      <c r="B126" s="161">
        <f t="array" ref="B126">$B127-1</f>
        <v/>
      </c>
      <c r="C126" s="225" t="n">
        <v>34000</v>
      </c>
      <c r="D126" s="102" t="n"/>
      <c r="E126" s="102" t="n"/>
      <c r="F126" s="80">
        <f t="array" ref="F126">J126-D126</f>
        <v/>
      </c>
      <c r="G126" s="80">
        <f t="array" ref="G126">K126-E126</f>
        <v/>
      </c>
      <c r="H126" s="79">
        <f t="array" ref="H126">E126+D126</f>
        <v/>
      </c>
      <c r="I126" s="79">
        <f t="array" ref="I126">G126+F126</f>
        <v/>
      </c>
      <c r="J126" s="102" t="n"/>
      <c r="K126" s="102" t="n"/>
      <c r="L126" s="226" t="n">
        <v>0.0534893246</v>
      </c>
    </row>
    <row r="127" ht="20.05" customHeight="1" s="215">
      <c r="A127" s="3" t="n"/>
      <c r="B127" s="161">
        <f t="array" ref="B127">$B128-1</f>
        <v/>
      </c>
      <c r="C127" s="225" t="n">
        <v>35000</v>
      </c>
      <c r="D127" s="102" t="n"/>
      <c r="E127" s="102" t="n"/>
      <c r="F127" s="80">
        <f t="array" ref="F127">J127-D127</f>
        <v/>
      </c>
      <c r="G127" s="80">
        <f t="array" ref="G127">K127-E127</f>
        <v/>
      </c>
      <c r="H127" s="79">
        <f t="array" ref="H127">E127+D127</f>
        <v/>
      </c>
      <c r="I127" s="79">
        <f t="array" ref="I127">G127+F127</f>
        <v/>
      </c>
      <c r="J127" s="102" t="n"/>
      <c r="K127" s="102" t="n"/>
      <c r="L127" s="226" t="n">
        <v>0.0557177306</v>
      </c>
    </row>
    <row r="128" ht="20.05" customHeight="1" s="215">
      <c r="A128" s="3" t="n"/>
      <c r="B128" s="161">
        <f t="array" ref="B128">$B129-1</f>
        <v/>
      </c>
      <c r="C128" s="225" t="n">
        <v>42000</v>
      </c>
      <c r="D128" s="102" t="n"/>
      <c r="E128" s="102" t="n"/>
      <c r="F128" s="80">
        <f t="array" ref="F128">J128-D128</f>
        <v/>
      </c>
      <c r="G128" s="80">
        <f t="array" ref="G128">K128-E128</f>
        <v/>
      </c>
      <c r="H128" s="79">
        <f t="array" ref="H128">E128+D128</f>
        <v/>
      </c>
      <c r="I128" s="79">
        <f t="array" ref="I128">G128+F128</f>
        <v/>
      </c>
      <c r="J128" s="102" t="n"/>
      <c r="K128" s="102" t="n"/>
      <c r="L128" s="226" t="n">
        <v>0.0568665096</v>
      </c>
    </row>
    <row r="129" ht="20.05" customHeight="1" s="215">
      <c r="A129" s="3" t="n"/>
      <c r="B129" s="161">
        <f t="array" ref="B129">$B130-1</f>
        <v/>
      </c>
      <c r="C129" s="225" t="n">
        <v>52000</v>
      </c>
      <c r="D129" s="102" t="n"/>
      <c r="E129" s="102" t="n"/>
      <c r="F129" s="80">
        <f t="array" ref="F129">J129-D129</f>
        <v/>
      </c>
      <c r="G129" s="80">
        <f t="array" ref="G129">K129-E129</f>
        <v/>
      </c>
      <c r="H129" s="79">
        <f t="array" ref="H129">E129+D129</f>
        <v/>
      </c>
      <c r="I129" s="79">
        <f t="array" ref="I129">G129+F129</f>
        <v/>
      </c>
      <c r="J129" s="102" t="n"/>
      <c r="K129" s="102" t="n"/>
      <c r="L129" s="226" t="n">
        <v>0.0568665096</v>
      </c>
    </row>
    <row r="130" ht="20.05" customHeight="1" s="215">
      <c r="A130" s="3" t="n"/>
      <c r="B130" s="161">
        <f t="array" ref="B130">$B131-1</f>
        <v/>
      </c>
      <c r="C130" s="225" t="n">
        <v>52000</v>
      </c>
      <c r="D130" s="102" t="n"/>
      <c r="E130" s="102" t="n"/>
      <c r="F130" s="80">
        <f t="array" ref="F130">J130-D130</f>
        <v/>
      </c>
      <c r="G130" s="80">
        <f t="array" ref="G130">K130-E130</f>
        <v/>
      </c>
      <c r="H130" s="79">
        <f t="array" ref="H130">E130+D130</f>
        <v/>
      </c>
      <c r="I130" s="79">
        <f t="array" ref="I130">G130+F130</f>
        <v/>
      </c>
      <c r="J130" s="102" t="n"/>
      <c r="K130" s="102" t="n"/>
      <c r="L130" s="226" t="n">
        <v>0.0557177306</v>
      </c>
    </row>
    <row r="131" ht="20.05" customHeight="1" s="215">
      <c r="A131" s="3" t="n"/>
      <c r="B131" s="161">
        <f t="array" ref="B131">$B132-1</f>
        <v/>
      </c>
      <c r="C131" s="225" t="n">
        <v>50000</v>
      </c>
      <c r="D131" s="102" t="n"/>
      <c r="E131" s="102" t="n"/>
      <c r="F131" s="80">
        <f t="array" ref="F131">J131-D131</f>
        <v/>
      </c>
      <c r="G131" s="80">
        <f t="array" ref="G131">K131-E131</f>
        <v/>
      </c>
      <c r="H131" s="79">
        <f t="array" ref="H131">E131+D131</f>
        <v/>
      </c>
      <c r="I131" s="79">
        <f t="array" ref="I131">G131+F131</f>
        <v/>
      </c>
      <c r="J131" s="102" t="n"/>
      <c r="K131" s="102" t="n"/>
      <c r="L131" s="226" t="n">
        <v>0.0534893246</v>
      </c>
    </row>
    <row r="132" ht="20.05" customHeight="1" s="215">
      <c r="A132" s="3" t="n"/>
      <c r="B132" s="161">
        <f t="array" ref="B132">$B133-1</f>
        <v/>
      </c>
      <c r="C132" s="225" t="n">
        <v>68000</v>
      </c>
      <c r="D132" s="102" t="n"/>
      <c r="E132" s="102" t="n"/>
      <c r="F132" s="80">
        <f t="array" ref="F132">J132-D132</f>
        <v/>
      </c>
      <c r="G132" s="80">
        <f t="array" ref="G132">K132-E132</f>
        <v/>
      </c>
      <c r="H132" s="79">
        <f t="array" ref="H132">E132+D132</f>
        <v/>
      </c>
      <c r="I132" s="79">
        <f t="array" ref="I132">G132+F132</f>
        <v/>
      </c>
      <c r="J132" s="102" t="n"/>
      <c r="K132" s="102" t="n"/>
      <c r="L132" s="226" t="n">
        <v>0.0503127037</v>
      </c>
    </row>
    <row r="133" ht="20.05" customHeight="1" s="215">
      <c r="A133" s="3" t="n"/>
      <c r="B133" s="161">
        <f t="array" ref="B133">$B134-1</f>
        <v/>
      </c>
      <c r="C133" s="225" t="n">
        <v>37000</v>
      </c>
      <c r="D133" s="102" t="n"/>
      <c r="E133" s="102" t="n"/>
      <c r="F133" s="80">
        <f t="array" ref="F133">J133-D133</f>
        <v/>
      </c>
      <c r="G133" s="80">
        <f t="array" ref="G133">K133-E133</f>
        <v/>
      </c>
      <c r="H133" s="79">
        <f t="array" ref="H133">E133+D133</f>
        <v/>
      </c>
      <c r="I133" s="79">
        <f t="array" ref="I133">G133+F133</f>
        <v/>
      </c>
      <c r="J133" s="102" t="n"/>
      <c r="K133" s="102" t="n"/>
      <c r="L133" s="226" t="n">
        <v>0.0463687134</v>
      </c>
    </row>
    <row r="134" ht="20.05" customHeight="1" s="215">
      <c r="A134" s="3" t="n"/>
      <c r="B134" s="161">
        <f t="array" ref="B134">$B135-1</f>
        <v/>
      </c>
      <c r="C134" s="225" t="n">
        <v>45000</v>
      </c>
      <c r="D134" s="102" t="n"/>
      <c r="E134" s="102" t="n"/>
      <c r="F134" s="80">
        <f t="array" ref="F134">J134-D134</f>
        <v/>
      </c>
      <c r="G134" s="80">
        <f t="array" ref="G134">K134-E134</f>
        <v/>
      </c>
      <c r="H134" s="79">
        <f t="array" ref="H134">E134+D134</f>
        <v/>
      </c>
      <c r="I134" s="79">
        <f t="array" ref="I134">G134+F134</f>
        <v/>
      </c>
      <c r="J134" s="102" t="n"/>
      <c r="K134" s="102" t="n"/>
      <c r="L134" s="226" t="n">
        <v>0.0418706094</v>
      </c>
    </row>
    <row r="135" ht="20.05" customHeight="1" s="215">
      <c r="A135" s="3" t="n"/>
      <c r="B135" s="161">
        <f t="array" ref="B135">$B136-1</f>
        <v/>
      </c>
      <c r="C135" s="225" t="n">
        <v>55000</v>
      </c>
      <c r="D135" s="102" t="n"/>
      <c r="E135" s="102" t="n"/>
      <c r="F135" s="80">
        <f t="array" ref="F135">J135-D135</f>
        <v/>
      </c>
      <c r="G135" s="80">
        <f t="array" ref="G135">K135-E135</f>
        <v/>
      </c>
      <c r="H135" s="79">
        <f t="array" ref="H135">E135+D135</f>
        <v/>
      </c>
      <c r="I135" s="79">
        <f t="array" ref="I135">G135+F135</f>
        <v/>
      </c>
      <c r="J135" s="102" t="n"/>
      <c r="K135" s="102" t="n"/>
      <c r="L135" s="226" t="n">
        <v>0.0370450654</v>
      </c>
    </row>
    <row r="136" ht="20.05" customHeight="1" s="215">
      <c r="A136" s="3" t="n"/>
      <c r="B136" s="161">
        <f t="array" ref="B136">$B137-1</f>
        <v/>
      </c>
      <c r="C136" s="225" t="n">
        <v>66000</v>
      </c>
      <c r="D136" s="102" t="n"/>
      <c r="E136" s="102" t="n"/>
      <c r="F136" s="80">
        <f t="array" ref="F136">J136-D136</f>
        <v/>
      </c>
      <c r="G136" s="80">
        <f t="array" ref="G136">K136-E136</f>
        <v/>
      </c>
      <c r="H136" s="79">
        <f t="array" ref="H136">E136+D136</f>
        <v/>
      </c>
      <c r="I136" s="79">
        <f t="array" ref="I136">G136+F136</f>
        <v/>
      </c>
      <c r="J136" s="102" t="n"/>
      <c r="K136" s="102" t="n"/>
      <c r="L136" s="226" t="n">
        <v>0.0321135485</v>
      </c>
    </row>
    <row r="137" ht="20.05" customHeight="1" s="215">
      <c r="A137" s="3" t="n"/>
      <c r="B137" s="161">
        <f t="array" ref="B137">$B138-1</f>
        <v/>
      </c>
      <c r="C137" s="225" t="n">
        <v>55000</v>
      </c>
      <c r="D137" s="102" t="n"/>
      <c r="E137" s="102" t="n"/>
      <c r="F137" s="80">
        <f t="array" ref="F137">J137-D137</f>
        <v/>
      </c>
      <c r="G137" s="80">
        <f t="array" ref="G137">K137-E137</f>
        <v/>
      </c>
      <c r="H137" s="79">
        <f t="array" ref="H137">E137+D137</f>
        <v/>
      </c>
      <c r="I137" s="79">
        <f t="array" ref="I137">G137+F137</f>
        <v/>
      </c>
      <c r="J137" s="102" t="n"/>
      <c r="K137" s="102" t="n"/>
      <c r="L137" s="226" t="n">
        <v>0.0272761503</v>
      </c>
    </row>
    <row r="138" ht="20.05" customHeight="1" s="215">
      <c r="A138" s="3" t="n"/>
      <c r="B138" s="161">
        <f t="array" ref="B138">$B139-1</f>
        <v/>
      </c>
      <c r="C138" s="225" t="n">
        <v>67000</v>
      </c>
      <c r="D138" s="102" t="n"/>
      <c r="E138" s="102" t="n"/>
      <c r="F138" s="80">
        <f t="array" ref="F138">J138-D138</f>
        <v/>
      </c>
      <c r="G138" s="80">
        <f t="array" ref="G138">K138-E138</f>
        <v/>
      </c>
      <c r="H138" s="79">
        <f t="array" ref="H138">E138+D138</f>
        <v/>
      </c>
      <c r="I138" s="79">
        <f t="array" ref="I138">G138+F138</f>
        <v/>
      </c>
      <c r="J138" s="102" t="n"/>
      <c r="K138" s="102" t="n"/>
      <c r="L138" s="226" t="n">
        <v>0.0226994169</v>
      </c>
    </row>
    <row r="139" ht="20.05" customHeight="1" s="215">
      <c r="A139" s="3" t="n"/>
      <c r="B139" s="161">
        <f t="array" ref="B139">$B140-1</f>
        <v/>
      </c>
      <c r="C139" s="225" t="n">
        <v>77000</v>
      </c>
      <c r="D139" s="102" t="n"/>
      <c r="E139" s="102" t="n"/>
      <c r="F139" s="80">
        <f t="array" ref="F139">J139-D139</f>
        <v/>
      </c>
      <c r="G139" s="80">
        <f t="array" ref="G139">K139-E139</f>
        <v/>
      </c>
      <c r="H139" s="79">
        <f t="array" ref="H139">E139+D139</f>
        <v/>
      </c>
      <c r="I139" s="79">
        <f t="array" ref="I139">G139+F139</f>
        <v/>
      </c>
      <c r="J139" s="102" t="n"/>
      <c r="K139" s="102" t="n"/>
      <c r="L139" s="226" t="n">
        <v>0.0185090093</v>
      </c>
    </row>
    <row r="140" ht="20.05" customHeight="1" s="215">
      <c r="A140" s="3" t="n"/>
      <c r="B140" s="161">
        <f t="array" ref="B140">$B141-1</f>
        <v/>
      </c>
      <c r="C140" s="225" t="n">
        <v>82000</v>
      </c>
      <c r="D140" s="102" t="n"/>
      <c r="E140" s="102" t="n"/>
      <c r="F140" s="80">
        <f t="array" ref="F140">J140-D140</f>
        <v/>
      </c>
      <c r="G140" s="80">
        <f t="array" ref="G140">K140-E140</f>
        <v/>
      </c>
      <c r="H140" s="79">
        <f t="array" ref="H140">E140+D140</f>
        <v/>
      </c>
      <c r="I140" s="79">
        <f t="array" ref="I140">G140+F140</f>
        <v/>
      </c>
      <c r="J140" s="102" t="n"/>
      <c r="K140" s="102" t="n"/>
      <c r="L140" s="226" t="n">
        <v>0.0147872867</v>
      </c>
    </row>
    <row r="141" ht="20.05" customHeight="1" s="215">
      <c r="A141" s="3" t="n"/>
      <c r="B141" s="161">
        <f t="array" ref="B141">$B142-1</f>
        <v/>
      </c>
      <c r="C141" s="225" t="n">
        <v>56000</v>
      </c>
      <c r="D141" s="102" t="n"/>
      <c r="E141" s="102" t="n"/>
      <c r="F141" s="80">
        <f t="array" ref="F141">J141-D141</f>
        <v/>
      </c>
      <c r="G141" s="80">
        <f t="array" ref="G141">K141-E141</f>
        <v/>
      </c>
      <c r="H141" s="79">
        <f t="array" ref="H141">E141+D141</f>
        <v/>
      </c>
      <c r="I141" s="79">
        <f t="array" ref="I141">G141+F141</f>
        <v/>
      </c>
      <c r="J141" s="102" t="n"/>
      <c r="K141" s="102" t="n"/>
      <c r="L141" s="226" t="n">
        <v>0.0115752575</v>
      </c>
    </row>
    <row r="142" ht="20.05" customHeight="1" s="215">
      <c r="A142" s="3" t="n"/>
      <c r="B142" s="161">
        <f t="array" ref="B142">$B143-1</f>
        <v/>
      </c>
      <c r="C142" s="225" t="n">
        <v>64000</v>
      </c>
      <c r="D142" s="102" t="n"/>
      <c r="E142" s="102" t="n"/>
      <c r="F142" s="80">
        <f t="array" ref="F142">J142-D142</f>
        <v/>
      </c>
      <c r="G142" s="80">
        <f t="array" ref="G142">K142-E142</f>
        <v/>
      </c>
      <c r="H142" s="79">
        <f t="array" ref="H142">E142+D142</f>
        <v/>
      </c>
      <c r="I142" s="79">
        <f t="array" ref="I142">G142+F142</f>
        <v/>
      </c>
      <c r="J142" s="102" t="n"/>
      <c r="K142" s="102" t="n"/>
      <c r="L142" s="226" t="n">
        <v>0.008877888299999999</v>
      </c>
    </row>
    <row r="143" ht="20.05" customHeight="1" s="215">
      <c r="A143" s="3" t="n"/>
      <c r="B143" s="161">
        <f t="array" ref="B143">$B144-1</f>
        <v/>
      </c>
      <c r="C143" s="225" t="n">
        <v>76000</v>
      </c>
      <c r="D143" s="102" t="n"/>
      <c r="E143" s="102" t="n"/>
      <c r="F143" s="80">
        <f t="array" ref="F143">J143-D143</f>
        <v/>
      </c>
      <c r="G143" s="80">
        <f t="array" ref="G143">K143-E143</f>
        <v/>
      </c>
      <c r="H143" s="79">
        <f t="array" ref="H143">E143+D143</f>
        <v/>
      </c>
      <c r="I143" s="79">
        <f t="array" ref="I143">G143+F143</f>
        <v/>
      </c>
      <c r="J143" s="102" t="n"/>
      <c r="K143" s="102" t="n"/>
      <c r="L143" s="226" t="n">
        <v>0.0066715315</v>
      </c>
    </row>
    <row r="144" ht="20.05" customHeight="1" s="215">
      <c r="A144" s="3" t="n"/>
      <c r="B144" s="161">
        <f t="array" ref="B144">$B145-1</f>
        <v/>
      </c>
      <c r="C144" s="225" t="n">
        <v>91000</v>
      </c>
      <c r="D144" s="102" t="n"/>
      <c r="E144" s="102" t="n"/>
      <c r="F144" s="80">
        <f t="array" ref="F144">J144-D144</f>
        <v/>
      </c>
      <c r="G144" s="80">
        <f t="array" ref="G144">K144-E144</f>
        <v/>
      </c>
      <c r="H144" s="79">
        <f t="array" ref="H144">E144+D144</f>
        <v/>
      </c>
      <c r="I144" s="79">
        <f t="array" ref="I144">G144+F144</f>
        <v/>
      </c>
      <c r="J144" s="102" t="n"/>
      <c r="K144" s="102" t="n"/>
      <c r="L144" s="226" t="n">
        <v>0.004912225</v>
      </c>
    </row>
    <row r="145" ht="20.05" customHeight="1" s="215">
      <c r="A145" s="3" t="n"/>
      <c r="B145" s="161">
        <f t="array" ref="B145">$B146-1</f>
        <v/>
      </c>
      <c r="C145" s="225" t="n">
        <v>95000</v>
      </c>
      <c r="D145" s="102" t="n"/>
      <c r="E145" s="102" t="n"/>
      <c r="F145" s="80">
        <f t="array" ref="F145">J145-D145</f>
        <v/>
      </c>
      <c r="G145" s="80">
        <f t="array" ref="G145">K145-E145</f>
        <v/>
      </c>
      <c r="H145" s="79">
        <f t="array" ref="H145">E145+D145</f>
        <v/>
      </c>
      <c r="I145" s="79">
        <f t="array" ref="I145">G145+F145</f>
        <v/>
      </c>
      <c r="J145" s="102" t="n"/>
      <c r="K145" s="102" t="n"/>
      <c r="L145" s="226" t="n">
        <v>0.0035437886</v>
      </c>
    </row>
    <row r="146" ht="20.05" customHeight="1" s="215">
      <c r="A146" s="3" t="n"/>
      <c r="B146" s="161">
        <f t="array" ref="B146">$B147-1</f>
        <v/>
      </c>
      <c r="C146" s="225" t="n">
        <v>81000</v>
      </c>
      <c r="D146" s="102" t="n"/>
      <c r="E146" s="102" t="n"/>
      <c r="F146" s="80">
        <f t="array" ref="F146">J146-D146</f>
        <v/>
      </c>
      <c r="G146" s="80">
        <f t="array" ref="G146">K146-E146</f>
        <v/>
      </c>
      <c r="H146" s="79">
        <f t="array" ref="H146">E146+D146</f>
        <v/>
      </c>
      <c r="I146" s="79">
        <f t="array" ref="I146">G146+F146</f>
        <v/>
      </c>
      <c r="J146" s="102" t="n"/>
      <c r="K146" s="102" t="n"/>
      <c r="L146" s="226" t="n">
        <v>0.002504922</v>
      </c>
    </row>
    <row r="147" ht="20.05" customHeight="1" s="215">
      <c r="A147" s="3" t="n"/>
      <c r="B147" s="161">
        <f t="array" ref="B147">$B148-1</f>
        <v/>
      </c>
      <c r="C147" s="225" t="n">
        <v>85000</v>
      </c>
      <c r="D147" s="102" t="n"/>
      <c r="E147" s="102" t="n"/>
      <c r="F147" s="80">
        <f t="array" ref="F147">J147-D147</f>
        <v/>
      </c>
      <c r="G147" s="80">
        <f t="array" ref="G147">K147-E147</f>
        <v/>
      </c>
      <c r="H147" s="79">
        <f t="array" ref="H147">E147+D147</f>
        <v/>
      </c>
      <c r="I147" s="79">
        <f t="array" ref="I147">G147+F147</f>
        <v/>
      </c>
      <c r="J147" s="102" t="n"/>
      <c r="K147" s="102" t="n"/>
      <c r="L147" s="226" t="n">
        <v>0.0017348322</v>
      </c>
    </row>
    <row r="148" ht="20.05" customHeight="1" s="215">
      <c r="A148" s="3" t="n"/>
      <c r="B148" s="161">
        <f t="array" ref="B148">$B149-1</f>
        <v/>
      </c>
      <c r="C148" s="225" t="n">
        <v>94000</v>
      </c>
      <c r="D148" s="102" t="n"/>
      <c r="E148" s="102" t="n"/>
      <c r="F148" s="80">
        <f t="array" ref="F148">J148-D148</f>
        <v/>
      </c>
      <c r="G148" s="80">
        <f t="array" ref="G148">K148-E148</f>
        <v/>
      </c>
      <c r="H148" s="79">
        <f t="array" ref="H148">E148+D148</f>
        <v/>
      </c>
      <c r="I148" s="79">
        <f t="array" ref="I148">G148+F148</f>
        <v/>
      </c>
      <c r="J148" s="102" t="n"/>
      <c r="K148" s="102" t="n"/>
      <c r="L148" s="226" t="n">
        <v>0.0011772198</v>
      </c>
    </row>
    <row r="149" ht="20.05" customHeight="1" s="215">
      <c r="A149" s="3" t="n"/>
      <c r="B149" s="161">
        <f t="array" ref="B149">$B150-1</f>
        <v/>
      </c>
      <c r="C149" s="225" t="n">
        <v>127000</v>
      </c>
      <c r="D149" s="102" t="n"/>
      <c r="E149" s="102" t="n"/>
      <c r="F149" s="80">
        <f t="array" ref="F149">J149-D149</f>
        <v/>
      </c>
      <c r="G149" s="80">
        <f t="array" ref="G149">K149-E149</f>
        <v/>
      </c>
      <c r="H149" s="79">
        <f t="array" ref="H149">E149+D149</f>
        <v/>
      </c>
      <c r="I149" s="79">
        <f t="array" ref="I149">G149+F149</f>
        <v/>
      </c>
      <c r="J149" s="102" t="n"/>
      <c r="K149" s="102" t="n"/>
      <c r="L149" s="226" t="n">
        <v>0.0007826985</v>
      </c>
    </row>
    <row r="150" ht="20.05" customHeight="1" s="215">
      <c r="A150" s="3" t="n"/>
      <c r="B150" s="161">
        <f t="array" ref="B150">$B151-1</f>
        <v/>
      </c>
      <c r="C150" s="225" t="n">
        <v>83000</v>
      </c>
      <c r="D150" s="102" t="n"/>
      <c r="E150" s="102" t="n"/>
      <c r="F150" s="80">
        <f t="array" ref="F150">J150-D150</f>
        <v/>
      </c>
      <c r="G150" s="80">
        <f t="array" ref="G150">K150-E150</f>
        <v/>
      </c>
      <c r="H150" s="79">
        <f t="array" ref="H150">E150+D150</f>
        <v/>
      </c>
      <c r="I150" s="79">
        <f t="array" ref="I150">G150+F150</f>
        <v/>
      </c>
      <c r="J150" s="102" t="n"/>
      <c r="K150" s="102" t="n"/>
      <c r="L150" s="226" t="n">
        <v>0.0005098804</v>
      </c>
    </row>
    <row r="151" ht="20.05" customHeight="1" s="215">
      <c r="A151" s="3" t="n"/>
      <c r="B151" s="161">
        <f t="array" ref="B151">$B152-1</f>
        <v/>
      </c>
      <c r="C151" s="225" t="n">
        <v>84000</v>
      </c>
      <c r="D151" s="102" t="n"/>
      <c r="E151" s="102" t="n"/>
      <c r="F151" s="80">
        <f t="array" ref="F151">J151-D151</f>
        <v/>
      </c>
      <c r="G151" s="80">
        <f t="array" ref="G151">K151-E151</f>
        <v/>
      </c>
      <c r="H151" s="79">
        <f t="array" ref="H151">E151+D151</f>
        <v/>
      </c>
      <c r="I151" s="79">
        <f t="array" ref="I151">G151+F151</f>
        <v/>
      </c>
      <c r="J151" s="102" t="n"/>
      <c r="K151" s="102" t="n"/>
      <c r="L151" s="226" t="n">
        <v>0.000325446</v>
      </c>
    </row>
    <row r="152" ht="20.05" customHeight="1" s="215">
      <c r="A152" s="3" t="n"/>
      <c r="B152" s="161">
        <f t="array" ref="B152">$B153-1</f>
        <v/>
      </c>
      <c r="C152" s="225" t="n">
        <v>89000</v>
      </c>
      <c r="D152" s="102" t="n"/>
      <c r="E152" s="102" t="n"/>
      <c r="F152" s="80">
        <f t="array" ref="F152">J152-D152</f>
        <v/>
      </c>
      <c r="G152" s="80">
        <f t="array" ref="G152">K152-E152</f>
        <v/>
      </c>
      <c r="H152" s="79">
        <f t="array" ref="H152">E152+D152</f>
        <v/>
      </c>
      <c r="I152" s="79">
        <f t="array" ref="I152">G152+F152</f>
        <v/>
      </c>
      <c r="J152" s="102" t="n"/>
      <c r="K152" s="102" t="n"/>
      <c r="L152" s="226" t="n">
        <v>0.0002035291</v>
      </c>
    </row>
    <row r="153" ht="20.05" customHeight="1" s="215">
      <c r="A153" s="3" t="n"/>
      <c r="B153" s="161">
        <f t="array" ref="B153">$B154-1</f>
        <v/>
      </c>
      <c r="C153" s="225" t="n">
        <v>105000</v>
      </c>
      <c r="D153" s="102" t="n"/>
      <c r="E153" s="102" t="n"/>
      <c r="F153" s="80">
        <f t="array" ref="F153">J153-D153</f>
        <v/>
      </c>
      <c r="G153" s="80">
        <f t="array" ref="G153">K153-E153</f>
        <v/>
      </c>
      <c r="H153" s="79">
        <f t="array" ref="H153">E153+D153</f>
        <v/>
      </c>
      <c r="I153" s="79">
        <f t="array" ref="I153">G153+F153</f>
        <v/>
      </c>
      <c r="J153" s="102" t="n"/>
      <c r="K153" s="102" t="n"/>
      <c r="L153" s="226" t="n">
        <v>0.0001247127</v>
      </c>
    </row>
    <row r="154" ht="20.05" customHeight="1" s="215">
      <c r="A154" s="3" t="n"/>
      <c r="B154" s="161">
        <f t="array" ref="B154">$B155-1</f>
        <v/>
      </c>
      <c r="C154" s="225" t="n">
        <v>113000</v>
      </c>
      <c r="D154" s="102" t="n"/>
      <c r="E154" s="102" t="n"/>
      <c r="F154" s="80">
        <f t="array" ref="F154">J154-D154</f>
        <v/>
      </c>
      <c r="G154" s="80">
        <f t="array" ref="G154">K154-E154</f>
        <v/>
      </c>
      <c r="H154" s="79">
        <f t="array" ref="H154">E154+D154</f>
        <v/>
      </c>
      <c r="I154" s="79">
        <f t="array" ref="I154">G154+F154</f>
        <v/>
      </c>
      <c r="J154" s="102" t="n"/>
      <c r="K154" s="102" t="n"/>
      <c r="L154" s="226" t="n"/>
    </row>
    <row r="155" ht="20.05" customHeight="1" s="215">
      <c r="A155" s="3" t="n"/>
      <c r="B155" s="161">
        <f t="array" ref="B155">$B156-1</f>
        <v/>
      </c>
      <c r="C155" s="225" t="n">
        <v>80000</v>
      </c>
      <c r="D155" s="102" t="n"/>
      <c r="E155" s="102" t="n"/>
      <c r="F155" s="80">
        <f t="array" ref="F155">J155-D155</f>
        <v/>
      </c>
      <c r="G155" s="80">
        <f t="array" ref="G155">K155-E155</f>
        <v/>
      </c>
      <c r="H155" s="79">
        <f t="array" ref="H155">E155+D155</f>
        <v/>
      </c>
      <c r="I155" s="79">
        <f t="array" ref="I155">G155+F155</f>
        <v/>
      </c>
      <c r="J155" s="102" t="n"/>
      <c r="K155" s="102" t="n"/>
      <c r="L155" s="226" t="n"/>
    </row>
    <row r="156" ht="20.05" customHeight="1" s="215">
      <c r="A156" s="3" t="n"/>
      <c r="B156" s="161">
        <f t="array" ref="B156">$B157-1</f>
        <v/>
      </c>
      <c r="C156" s="225" t="n">
        <v>71000</v>
      </c>
      <c r="D156" s="102" t="n"/>
      <c r="E156" s="102" t="n"/>
      <c r="F156" s="80">
        <f t="array" ref="F156">J156-D156</f>
        <v/>
      </c>
      <c r="G156" s="80">
        <f t="array" ref="G156">K156-E156</f>
        <v/>
      </c>
      <c r="H156" s="79">
        <f t="array" ref="H156">E156+D156</f>
        <v/>
      </c>
      <c r="I156" s="79">
        <f t="array" ref="I156">G156+F156</f>
        <v/>
      </c>
      <c r="J156" s="102" t="n"/>
      <c r="K156" s="102" t="n"/>
      <c r="L156" s="226" t="n"/>
    </row>
    <row r="157" ht="20.05" customHeight="1" s="215">
      <c r="A157" s="3" t="n"/>
      <c r="B157" s="161">
        <f t="array" ref="B157">$B158-1</f>
        <v/>
      </c>
      <c r="C157" s="225" t="n">
        <v>67000</v>
      </c>
      <c r="D157" s="102" t="n"/>
      <c r="E157" s="102" t="n"/>
      <c r="F157" s="80">
        <f t="array" ref="F157">J157-D157</f>
        <v/>
      </c>
      <c r="G157" s="80">
        <f t="array" ref="G157">K157-E157</f>
        <v/>
      </c>
      <c r="H157" s="79">
        <f t="array" ref="H157">E157+D157</f>
        <v/>
      </c>
      <c r="I157" s="79">
        <f t="array" ref="I157">G157+F157</f>
        <v/>
      </c>
      <c r="J157" s="102" t="n"/>
      <c r="K157" s="102" t="n"/>
      <c r="L157" s="226" t="n"/>
    </row>
    <row r="158" ht="20.05" customHeight="1" s="215">
      <c r="A158" s="3" t="n"/>
      <c r="B158" s="161">
        <f t="array" ref="B158">$B159-1</f>
        <v/>
      </c>
      <c r="C158" s="225" t="n">
        <v>67000</v>
      </c>
      <c r="D158" s="102" t="n"/>
      <c r="E158" s="102" t="n"/>
      <c r="F158" s="80">
        <f t="array" ref="F158">J158-D158</f>
        <v/>
      </c>
      <c r="G158" s="80">
        <f t="array" ref="G158">K158-E158</f>
        <v/>
      </c>
      <c r="H158" s="79">
        <f t="array" ref="H158">E158+D158</f>
        <v/>
      </c>
      <c r="I158" s="79">
        <f t="array" ref="I158">G158+F158</f>
        <v/>
      </c>
      <c r="J158" s="102" t="n"/>
      <c r="K158" s="102" t="n"/>
      <c r="L158" s="226" t="n"/>
    </row>
    <row r="159" ht="20.05" customHeight="1" s="215">
      <c r="A159" s="3" t="n"/>
      <c r="B159" s="161">
        <f t="array" ref="B159">$B160-1</f>
        <v/>
      </c>
      <c r="C159" s="225" t="n">
        <v>79000</v>
      </c>
      <c r="D159" s="102" t="n"/>
      <c r="E159" s="102" t="n"/>
      <c r="F159" s="80">
        <f t="array" ref="F159">J159-D159</f>
        <v/>
      </c>
      <c r="G159" s="80">
        <f t="array" ref="G159">K159-E159</f>
        <v/>
      </c>
      <c r="H159" s="79">
        <f t="array" ref="H159">E159+D159</f>
        <v/>
      </c>
      <c r="I159" s="79">
        <f t="array" ref="I159">G159+F159</f>
        <v/>
      </c>
      <c r="J159" s="102" t="n"/>
      <c r="K159" s="102" t="n"/>
      <c r="L159" s="226" t="n"/>
    </row>
    <row r="160" ht="20.05" customHeight="1" s="215">
      <c r="A160" s="3" t="n"/>
      <c r="B160" s="161">
        <f t="array" ref="B160">$B161-1</f>
        <v/>
      </c>
      <c r="C160" s="225" t="n">
        <v>87000</v>
      </c>
      <c r="D160" s="102" t="n"/>
      <c r="E160" s="102" t="n"/>
      <c r="F160" s="80">
        <f t="array" ref="F160">J160-D160</f>
        <v/>
      </c>
      <c r="G160" s="80">
        <f t="array" ref="G160">K160-E160</f>
        <v/>
      </c>
      <c r="H160" s="79">
        <f t="array" ref="H160">E160+D160</f>
        <v/>
      </c>
      <c r="I160" s="79">
        <f t="array" ref="I160">G160+F160</f>
        <v/>
      </c>
      <c r="J160" s="102" t="n"/>
      <c r="K160" s="102" t="n"/>
      <c r="L160" s="226" t="n"/>
    </row>
    <row r="161" ht="20.05" customHeight="1" s="215">
      <c r="A161" s="3" t="n"/>
      <c r="B161" s="161">
        <f t="array" ref="B161">$B162-1</f>
        <v/>
      </c>
      <c r="C161" s="225" t="n">
        <v>96000</v>
      </c>
      <c r="D161" s="102" t="n"/>
      <c r="E161" s="102" t="n"/>
      <c r="F161" s="80">
        <f t="array" ref="F161">J161-D161</f>
        <v/>
      </c>
      <c r="G161" s="80">
        <f t="array" ref="G161">K161-E161</f>
        <v/>
      </c>
      <c r="H161" s="79">
        <f t="array" ref="H161">E161+D161</f>
        <v/>
      </c>
      <c r="I161" s="79">
        <f t="array" ref="I161">G161+F161</f>
        <v/>
      </c>
      <c r="J161" s="102" t="n"/>
      <c r="K161" s="102" t="n"/>
      <c r="L161" s="226" t="n"/>
    </row>
    <row r="162" ht="20.05" customHeight="1" s="215">
      <c r="A162" s="3" t="n"/>
      <c r="B162" s="161">
        <f t="array" ref="B162">$B163-1</f>
        <v/>
      </c>
      <c r="C162" s="225" t="n">
        <v>91000</v>
      </c>
      <c r="D162" s="102" t="n"/>
      <c r="E162" s="102" t="n"/>
      <c r="F162" s="80">
        <f t="array" ref="F162">J162-D162</f>
        <v/>
      </c>
      <c r="G162" s="80">
        <f t="array" ref="G162">K162-E162</f>
        <v/>
      </c>
      <c r="H162" s="79">
        <f t="array" ref="H162">E162+D162</f>
        <v/>
      </c>
      <c r="I162" s="79">
        <f t="array" ref="I162">G162+F162</f>
        <v/>
      </c>
      <c r="J162" s="102" t="n"/>
      <c r="K162" s="102" t="n"/>
      <c r="L162" s="226" t="n"/>
    </row>
    <row r="163" ht="20.05" customHeight="1" s="215">
      <c r="A163" s="3" t="n"/>
      <c r="B163" s="161">
        <f t="array" ref="B163">$B164-1</f>
        <v/>
      </c>
      <c r="C163" s="225" t="n">
        <v>99000</v>
      </c>
      <c r="D163" s="102" t="n"/>
      <c r="E163" s="102" t="n"/>
      <c r="F163" s="80">
        <f t="array" ref="F163">J163-D163</f>
        <v/>
      </c>
      <c r="G163" s="80">
        <f t="array" ref="G163">K163-E163</f>
        <v/>
      </c>
      <c r="H163" s="79">
        <f t="array" ref="H163">E163+D163</f>
        <v/>
      </c>
      <c r="I163" s="79">
        <f t="array" ref="I163">G163+F163</f>
        <v/>
      </c>
      <c r="J163" s="102" t="n"/>
      <c r="K163" s="102" t="n"/>
      <c r="L163" s="226" t="n"/>
    </row>
    <row r="164" ht="20.05" customHeight="1" s="215">
      <c r="A164" s="3" t="n"/>
      <c r="B164" s="161">
        <f t="array" ref="B164">$B165-1</f>
        <v/>
      </c>
      <c r="C164" s="225" t="n">
        <v>117000</v>
      </c>
      <c r="D164" s="102" t="n"/>
      <c r="E164" s="102" t="n"/>
      <c r="F164" s="80">
        <f t="array" ref="F164">J164-D164</f>
        <v/>
      </c>
      <c r="G164" s="80">
        <f t="array" ref="G164">K164-E164</f>
        <v/>
      </c>
      <c r="H164" s="79">
        <f t="array" ref="H164">E164+D164</f>
        <v/>
      </c>
      <c r="I164" s="79">
        <f t="array" ref="I164">G164+F164</f>
        <v/>
      </c>
      <c r="J164" s="102" t="n"/>
      <c r="K164" s="102" t="n"/>
      <c r="L164" s="226" t="n"/>
    </row>
    <row r="165" ht="20.05" customHeight="1" s="215">
      <c r="A165" s="3" t="n"/>
      <c r="B165" s="161">
        <f t="array" ref="B165">$B166-1</f>
        <v/>
      </c>
      <c r="C165" s="225" t="n">
        <v>120000</v>
      </c>
      <c r="D165" s="102" t="n"/>
      <c r="E165" s="102" t="n"/>
      <c r="F165" s="80">
        <f t="array" ref="F165">J165-D165</f>
        <v/>
      </c>
      <c r="G165" s="80">
        <f t="array" ref="G165">K165-E165</f>
        <v/>
      </c>
      <c r="H165" s="79">
        <f t="array" ref="H165">E165+D165</f>
        <v/>
      </c>
      <c r="I165" s="79">
        <f t="array" ref="I165">G165+F165</f>
        <v/>
      </c>
      <c r="J165" s="102" t="n"/>
      <c r="K165" s="102" t="n"/>
      <c r="L165" s="226" t="n"/>
    </row>
    <row r="166" ht="20.05" customHeight="1" s="215">
      <c r="A166" s="3" t="n"/>
      <c r="B166" s="161">
        <f t="array" ref="B166">$B167-1</f>
        <v/>
      </c>
      <c r="C166" s="225" t="n">
        <v>117000</v>
      </c>
      <c r="D166" s="102" t="n"/>
      <c r="E166" s="102" t="n"/>
      <c r="F166" s="80">
        <f t="array" ref="F166">J166-D166</f>
        <v/>
      </c>
      <c r="G166" s="80">
        <f t="array" ref="G166">K166-E166</f>
        <v/>
      </c>
      <c r="H166" s="79">
        <f t="array" ref="H166">E166+D166</f>
        <v/>
      </c>
      <c r="I166" s="79">
        <f t="array" ref="I166">G166+F166</f>
        <v/>
      </c>
      <c r="J166" s="102" t="n"/>
      <c r="K166" s="102" t="n"/>
      <c r="L166" s="226" t="n"/>
    </row>
    <row r="167" ht="20.05" customHeight="1" s="215">
      <c r="A167" s="3" t="n"/>
      <c r="B167" s="161">
        <f t="array" ref="B167">$B168-1</f>
        <v/>
      </c>
      <c r="C167" s="225" t="n">
        <v>119000</v>
      </c>
      <c r="D167" s="102" t="n"/>
      <c r="E167" s="102" t="n"/>
      <c r="F167" s="80">
        <f t="array" ref="F167">J167-D167</f>
        <v/>
      </c>
      <c r="G167" s="80">
        <f t="array" ref="G167">K167-E167</f>
        <v/>
      </c>
      <c r="H167" s="79">
        <f t="array" ref="H167">E167+D167</f>
        <v/>
      </c>
      <c r="I167" s="79">
        <f t="array" ref="I167">G167+F167</f>
        <v/>
      </c>
      <c r="J167" s="102" t="n"/>
      <c r="K167" s="102" t="n"/>
      <c r="L167" s="226" t="n"/>
    </row>
    <row r="168" ht="20.05" customHeight="1" s="215">
      <c r="A168" s="3" t="n"/>
      <c r="B168" s="161">
        <f t="array" ref="B168">$B169-1</f>
        <v/>
      </c>
      <c r="C168" s="225" t="n">
        <v>99000</v>
      </c>
      <c r="D168" s="102" t="n"/>
      <c r="E168" s="102" t="n"/>
      <c r="F168" s="80">
        <f t="array" ref="F168">J168-D168</f>
        <v/>
      </c>
      <c r="G168" s="80">
        <f t="array" ref="G168">K168-E168</f>
        <v/>
      </c>
      <c r="H168" s="79">
        <f t="array" ref="H168">E168+D168</f>
        <v/>
      </c>
      <c r="I168" s="79">
        <f t="array" ref="I168">G168+F168</f>
        <v/>
      </c>
      <c r="J168" s="102" t="n"/>
      <c r="K168" s="102" t="n"/>
      <c r="L168" s="226" t="n"/>
    </row>
    <row r="169" ht="20.05" customHeight="1" s="215">
      <c r="A169" s="3" t="n"/>
      <c r="B169" s="161">
        <f t="array" ref="B169">$B170-1</f>
        <v/>
      </c>
      <c r="C169" s="79">
        <f t="array" ref="C169">H169+I169</f>
        <v/>
      </c>
      <c r="D169" s="225" t="n">
        <v>9433</v>
      </c>
      <c r="E169" s="225" t="n">
        <v>11963</v>
      </c>
      <c r="F169" s="80">
        <f t="array" ref="F169">J169-D169</f>
        <v/>
      </c>
      <c r="G169" s="80">
        <f t="array" ref="G169">K169-E169</f>
        <v/>
      </c>
      <c r="H169" s="79">
        <f t="array" ref="H169">E169+D169</f>
        <v/>
      </c>
      <c r="I169" s="79">
        <f t="array" ref="I169">G169+F169</f>
        <v/>
      </c>
      <c r="J169" s="225" t="n">
        <v>44618</v>
      </c>
      <c r="K169" s="225" t="n">
        <v>51481</v>
      </c>
      <c r="L169" s="226" t="n"/>
    </row>
    <row r="170" ht="20.05" customHeight="1" s="215">
      <c r="A170" s="3" t="n"/>
      <c r="B170" s="161">
        <f t="array" ref="B170">$B171-1</f>
        <v/>
      </c>
      <c r="C170" s="79">
        <f t="array" ref="C170">H170+I170</f>
        <v/>
      </c>
      <c r="D170" s="225" t="n">
        <v>10132</v>
      </c>
      <c r="E170" s="225" t="n">
        <v>12434</v>
      </c>
      <c r="F170" s="80">
        <f t="array" ref="F170">J170-D170</f>
        <v/>
      </c>
      <c r="G170" s="80">
        <f t="array" ref="G170">K170-E170</f>
        <v/>
      </c>
      <c r="H170" s="79">
        <f t="array" ref="H170">E170+D170</f>
        <v/>
      </c>
      <c r="I170" s="79">
        <f t="array" ref="I170">G170+F170</f>
        <v/>
      </c>
      <c r="J170" s="225" t="n">
        <v>52193</v>
      </c>
      <c r="K170" s="225" t="n">
        <v>56556</v>
      </c>
      <c r="L170" s="226" t="n"/>
    </row>
    <row r="171" ht="20.05" customHeight="1" s="215">
      <c r="A171" s="3" t="n"/>
      <c r="B171" s="161">
        <f t="array" ref="B171">$B172-1</f>
        <v/>
      </c>
      <c r="C171" s="79">
        <f t="array" ref="C171">H171+I171</f>
        <v/>
      </c>
      <c r="D171" s="225" t="n">
        <v>10311</v>
      </c>
      <c r="E171" s="225" t="n">
        <v>12404</v>
      </c>
      <c r="F171" s="80">
        <f t="array" ref="F171">J171-D171</f>
        <v/>
      </c>
      <c r="G171" s="80">
        <f t="array" ref="G171">K171-E171</f>
        <v/>
      </c>
      <c r="H171" s="79">
        <f t="array" ref="H171">E171+D171</f>
        <v/>
      </c>
      <c r="I171" s="79">
        <f t="array" ref="I171">G171+F171</f>
        <v/>
      </c>
      <c r="J171" s="225" t="n">
        <v>52936</v>
      </c>
      <c r="K171" s="225" t="n">
        <v>56924</v>
      </c>
      <c r="L171" s="226" t="n"/>
    </row>
    <row r="172" ht="20.05" customHeight="1" s="215">
      <c r="A172" s="3" t="n"/>
      <c r="B172" s="161">
        <f t="array" ref="B172">$B173-1</f>
        <v/>
      </c>
      <c r="C172" s="79">
        <f t="array" ref="C172">H172+I172</f>
        <v/>
      </c>
      <c r="D172" s="225" t="n">
        <v>11555</v>
      </c>
      <c r="E172" s="225" t="n">
        <v>14429</v>
      </c>
      <c r="F172" s="80">
        <f t="array" ref="F172">J172-D172</f>
        <v/>
      </c>
      <c r="G172" s="80">
        <f t="array" ref="G172">K172-E172</f>
        <v/>
      </c>
      <c r="H172" s="79">
        <f t="array" ref="H172">E172+D172</f>
        <v/>
      </c>
      <c r="I172" s="79">
        <f t="array" ref="I172">G172+F172</f>
        <v/>
      </c>
      <c r="J172" s="225" t="n">
        <v>58870</v>
      </c>
      <c r="K172" s="225" t="n">
        <v>63537</v>
      </c>
      <c r="L172" s="226" t="n"/>
    </row>
    <row r="173" ht="20.05" customHeight="1" s="215">
      <c r="A173" s="3" t="n"/>
      <c r="B173" s="161">
        <f t="array" ref="B173">$B174-1</f>
        <v/>
      </c>
      <c r="C173" s="79">
        <f t="array" ref="C173">H173+I173</f>
        <v/>
      </c>
      <c r="D173" s="225" t="n">
        <v>11389</v>
      </c>
      <c r="E173" s="225" t="n">
        <v>13585</v>
      </c>
      <c r="F173" s="80">
        <f t="array" ref="F173">J173-D173</f>
        <v/>
      </c>
      <c r="G173" s="80">
        <f t="array" ref="G173">K173-E173</f>
        <v/>
      </c>
      <c r="H173" s="79">
        <f t="array" ref="H173">E173+D173</f>
        <v/>
      </c>
      <c r="I173" s="79">
        <f t="array" ref="I173">G173+F173</f>
        <v/>
      </c>
      <c r="J173" s="225" t="n">
        <v>57756</v>
      </c>
      <c r="K173" s="225" t="n">
        <v>61395</v>
      </c>
      <c r="L173" s="226" t="n"/>
    </row>
    <row r="174" ht="20.05" customHeight="1" s="215">
      <c r="A174" s="3" t="n"/>
      <c r="B174" s="161">
        <f t="array" ref="B174">$B175-1</f>
        <v/>
      </c>
      <c r="C174" s="79">
        <f t="array" ref="C174">H174+I174</f>
        <v/>
      </c>
      <c r="D174" s="225" t="n">
        <v>10900</v>
      </c>
      <c r="E174" s="225" t="n">
        <v>12917</v>
      </c>
      <c r="F174" s="80">
        <f t="array" ref="F174">J174-D174</f>
        <v/>
      </c>
      <c r="G174" s="80">
        <f t="array" ref="G174">K174-E174</f>
        <v/>
      </c>
      <c r="H174" s="79">
        <f t="array" ref="H174">E174+D174</f>
        <v/>
      </c>
      <c r="I174" s="79">
        <f t="array" ref="I174">G174+F174</f>
        <v/>
      </c>
      <c r="J174" s="225" t="n">
        <v>63885</v>
      </c>
      <c r="K174" s="225" t="n">
        <v>68965</v>
      </c>
      <c r="L174" s="226" t="n"/>
    </row>
    <row r="175" ht="20.05" customHeight="1" s="215">
      <c r="A175" s="3" t="n"/>
      <c r="B175" s="161">
        <f t="array" ref="B175">$B176-1</f>
        <v/>
      </c>
      <c r="C175" s="79">
        <f t="array" ref="C175">H175+I175</f>
        <v/>
      </c>
      <c r="D175" s="225" t="n">
        <v>10568</v>
      </c>
      <c r="E175" s="225" t="n">
        <v>12582</v>
      </c>
      <c r="F175" s="80">
        <f t="array" ref="F175">J175-D175</f>
        <v/>
      </c>
      <c r="G175" s="80">
        <f t="array" ref="G175">K175-E175</f>
        <v/>
      </c>
      <c r="H175" s="79">
        <f t="array" ref="H175">E175+D175</f>
        <v/>
      </c>
      <c r="I175" s="79">
        <f t="array" ref="I175">G175+F175</f>
        <v/>
      </c>
      <c r="J175" s="225" t="n">
        <v>63640</v>
      </c>
      <c r="K175" s="225" t="n">
        <v>69764</v>
      </c>
      <c r="L175" s="226" t="n"/>
    </row>
    <row r="176" ht="20.05" customHeight="1" s="215">
      <c r="A176" s="3" t="n"/>
      <c r="B176" s="161">
        <f t="array" ref="B176">$B177-1</f>
        <v/>
      </c>
      <c r="C176" s="79">
        <f t="array" ref="C176">H176+I176</f>
        <v/>
      </c>
      <c r="D176" s="225" t="n">
        <v>9851</v>
      </c>
      <c r="E176" s="225" t="n">
        <v>11591</v>
      </c>
      <c r="F176" s="80">
        <f t="array" ref="F176">J176-D176</f>
        <v/>
      </c>
      <c r="G176" s="80">
        <f t="array" ref="G176">K176-E176</f>
        <v/>
      </c>
      <c r="H176" s="79">
        <f t="array" ref="H176">E176+D176</f>
        <v/>
      </c>
      <c r="I176" s="79">
        <f t="array" ref="I176">G176+F176</f>
        <v/>
      </c>
      <c r="J176" s="225" t="n">
        <v>59177</v>
      </c>
      <c r="K176" s="225" t="n">
        <v>62073</v>
      </c>
      <c r="L176" s="226" t="n"/>
    </row>
    <row r="177" ht="20.05" customHeight="1" s="215">
      <c r="A177" s="3" t="n"/>
      <c r="B177" s="161">
        <f t="array" ref="B177">$B178-1</f>
        <v/>
      </c>
      <c r="C177" s="79">
        <f t="array" ref="C177">H177+I177</f>
        <v/>
      </c>
      <c r="D177" s="225" t="n">
        <v>8903</v>
      </c>
      <c r="E177" s="225" t="n">
        <v>10925</v>
      </c>
      <c r="F177" s="80">
        <f t="array" ref="F177">J177-D177</f>
        <v/>
      </c>
      <c r="G177" s="80">
        <f t="array" ref="G177">K177-E177</f>
        <v/>
      </c>
      <c r="H177" s="79">
        <f t="array" ref="H177">E177+D177</f>
        <v/>
      </c>
      <c r="I177" s="79">
        <f t="array" ref="I177">G177+F177</f>
        <v/>
      </c>
      <c r="J177" s="225" t="n">
        <v>52022</v>
      </c>
      <c r="K177" s="225" t="n">
        <v>52492</v>
      </c>
      <c r="L177" s="226" t="n"/>
    </row>
    <row r="178" ht="20.05" customHeight="1" s="215">
      <c r="A178" s="3" t="n"/>
      <c r="B178" s="161">
        <f t="array" ref="B178">$B179-1</f>
        <v/>
      </c>
      <c r="C178" s="79">
        <f t="array" ref="C178">H178+I178</f>
        <v/>
      </c>
      <c r="D178" s="225" t="n">
        <v>8838</v>
      </c>
      <c r="E178" s="225" t="n">
        <v>10609</v>
      </c>
      <c r="F178" s="80">
        <f t="array" ref="F178">J178-D178</f>
        <v/>
      </c>
      <c r="G178" s="80">
        <f t="array" ref="G178">K178-E178</f>
        <v/>
      </c>
      <c r="H178" s="79">
        <f t="array" ref="H178">E178+D178</f>
        <v/>
      </c>
      <c r="I178" s="79">
        <f t="array" ref="I178">G178+F178</f>
        <v/>
      </c>
      <c r="J178" s="225" t="n">
        <v>47819</v>
      </c>
      <c r="K178" s="225" t="n">
        <v>46200</v>
      </c>
      <c r="L178" s="226" t="n"/>
    </row>
    <row r="179" ht="20.05" customHeight="1" s="215">
      <c r="A179" s="3" t="n"/>
      <c r="B179" s="161">
        <f t="array" ref="B179">$B180-1</f>
        <v/>
      </c>
      <c r="C179" s="79">
        <f t="array" ref="C179">H179+I179</f>
        <v/>
      </c>
      <c r="D179" s="225" t="n">
        <v>9015</v>
      </c>
      <c r="E179" s="225" t="n">
        <v>11172</v>
      </c>
      <c r="F179" s="80">
        <f t="array" ref="F179">J179-D179</f>
        <v/>
      </c>
      <c r="G179" s="80">
        <f t="array" ref="G179">K179-E179</f>
        <v/>
      </c>
      <c r="H179" s="79">
        <f t="array" ref="H179">E179+D179</f>
        <v/>
      </c>
      <c r="I179" s="79">
        <f t="array" ref="I179">G179+F179</f>
        <v/>
      </c>
      <c r="J179" s="225" t="n">
        <v>46160</v>
      </c>
      <c r="K179" s="225" t="n">
        <v>46137</v>
      </c>
      <c r="L179" s="226" t="n"/>
    </row>
    <row r="180" ht="20.05" customHeight="1" s="215">
      <c r="A180" s="3" t="n"/>
      <c r="B180" s="161">
        <f t="array" ref="B180">$B181-1</f>
        <v/>
      </c>
      <c r="C180" s="79">
        <f t="array" ref="C180">H180+I180</f>
        <v/>
      </c>
      <c r="D180" s="225" t="n">
        <v>10763</v>
      </c>
      <c r="E180" s="225" t="n">
        <v>12721</v>
      </c>
      <c r="F180" s="80">
        <f t="array" ref="F180">J180-D180</f>
        <v/>
      </c>
      <c r="G180" s="80">
        <f t="array" ref="G180">K180-E180</f>
        <v/>
      </c>
      <c r="H180" s="79">
        <f t="array" ref="H180">E180+D180</f>
        <v/>
      </c>
      <c r="I180" s="79">
        <f t="array" ref="I180">G180+F180</f>
        <v/>
      </c>
      <c r="J180" s="225" t="n">
        <v>49459</v>
      </c>
      <c r="K180" s="225" t="n">
        <v>51691</v>
      </c>
      <c r="L180" s="226" t="n"/>
    </row>
    <row r="181" ht="20.05" customHeight="1" s="215">
      <c r="A181" s="3" t="n"/>
      <c r="B181" s="161">
        <f t="array" ref="B181">$B182-1</f>
        <v/>
      </c>
      <c r="C181" s="79">
        <f t="array" ref="C181">H181+I181</f>
        <v/>
      </c>
      <c r="D181" s="225" t="n">
        <v>11517</v>
      </c>
      <c r="E181" s="225" t="n">
        <v>13467</v>
      </c>
      <c r="F181" s="80">
        <f t="array" ref="F181">J181-D181</f>
        <v/>
      </c>
      <c r="G181" s="80">
        <f t="array" ref="G181">K181-E181</f>
        <v/>
      </c>
      <c r="H181" s="79">
        <f t="array" ref="H181">E181+D181</f>
        <v/>
      </c>
      <c r="I181" s="79">
        <f t="array" ref="I181">G181+F181</f>
        <v/>
      </c>
      <c r="J181" s="225" t="n">
        <v>56021</v>
      </c>
      <c r="K181" s="225" t="n">
        <v>60798</v>
      </c>
      <c r="L181" s="226" t="n"/>
    </row>
    <row r="182" ht="20.05" customHeight="1" s="215">
      <c r="A182" s="3" t="n"/>
      <c r="B182" s="161">
        <f t="array" ref="B182">$B183-1</f>
        <v/>
      </c>
      <c r="C182" s="79">
        <f t="array" ref="C182">H182+I182</f>
        <v/>
      </c>
      <c r="D182" s="225" t="n">
        <v>12716</v>
      </c>
      <c r="E182" s="225" t="n">
        <v>14283</v>
      </c>
      <c r="F182" s="80">
        <f t="array" ref="F182">J182-D182</f>
        <v/>
      </c>
      <c r="G182" s="80">
        <f t="array" ref="G182">K182-E182</f>
        <v/>
      </c>
      <c r="H182" s="79">
        <f t="array" ref="H182">E182+D182</f>
        <v/>
      </c>
      <c r="I182" s="79">
        <f t="array" ref="I182">G182+F182</f>
        <v/>
      </c>
      <c r="J182" s="225" t="n">
        <v>67964</v>
      </c>
      <c r="K182" s="225" t="n">
        <v>75552</v>
      </c>
      <c r="L182" s="226" t="n"/>
    </row>
    <row r="183" ht="20.05" customHeight="1" s="215">
      <c r="A183" s="3" t="n"/>
      <c r="B183" s="161">
        <f t="array" ref="B183">$B184-1</f>
        <v/>
      </c>
      <c r="C183" s="79">
        <f t="array" ref="C183">H183+I183</f>
        <v/>
      </c>
      <c r="D183" s="225" t="n">
        <v>13005</v>
      </c>
      <c r="E183" s="225" t="n">
        <v>15243</v>
      </c>
      <c r="F183" s="80">
        <f t="array" ref="F183">J183-D183</f>
        <v/>
      </c>
      <c r="G183" s="80">
        <f t="array" ref="G183">K183-E183</f>
        <v/>
      </c>
      <c r="H183" s="79">
        <f t="array" ref="H183">E183+D183</f>
        <v/>
      </c>
      <c r="I183" s="79">
        <f t="array" ref="I183">G183+F183</f>
        <v/>
      </c>
      <c r="J183" s="225" t="n">
        <v>70144</v>
      </c>
      <c r="K183" s="225" t="n">
        <v>76234</v>
      </c>
      <c r="L183" s="226" t="n"/>
    </row>
    <row r="184" ht="20.05" customHeight="1" s="215">
      <c r="A184" s="3" t="n"/>
      <c r="B184" s="161">
        <f t="array" ref="B184">$B185-1</f>
        <v/>
      </c>
      <c r="C184" s="79">
        <f t="array" ref="C184">H184+I184</f>
        <v/>
      </c>
      <c r="D184" s="225" t="n">
        <v>13012</v>
      </c>
      <c r="E184" s="225" t="n">
        <v>15385</v>
      </c>
      <c r="F184" s="80">
        <f t="array" ref="F184">J184-D184</f>
        <v/>
      </c>
      <c r="G184" s="80">
        <f t="array" ref="G184">K184-E184</f>
        <v/>
      </c>
      <c r="H184" s="79">
        <f t="array" ref="H184">E184+D184</f>
        <v/>
      </c>
      <c r="I184" s="79">
        <f t="array" ref="I184">G184+F184</f>
        <v/>
      </c>
      <c r="J184" s="225" t="n">
        <v>75157</v>
      </c>
      <c r="K184" s="225" t="n">
        <v>79275</v>
      </c>
      <c r="L184" s="226" t="n"/>
    </row>
    <row r="185" ht="20.05" customHeight="1" s="215">
      <c r="A185" s="3" t="n"/>
      <c r="B185" s="161">
        <f t="array" ref="B185">$B186-1</f>
        <v/>
      </c>
      <c r="C185" s="79">
        <f t="array" ref="C185">H185+I185</f>
        <v/>
      </c>
      <c r="D185" s="225" t="n">
        <v>13143</v>
      </c>
      <c r="E185" s="225" t="n">
        <v>15319</v>
      </c>
      <c r="F185" s="80">
        <f t="array" ref="F185">J185-D185</f>
        <v/>
      </c>
      <c r="G185" s="80">
        <f t="array" ref="G185">K185-E185</f>
        <v/>
      </c>
      <c r="H185" s="79">
        <f t="array" ref="H185">E185+D185</f>
        <v/>
      </c>
      <c r="I185" s="79">
        <f t="array" ref="I185">G185+F185</f>
        <v/>
      </c>
      <c r="J185" s="225" t="n">
        <v>79198</v>
      </c>
      <c r="K185" s="225" t="n">
        <v>83764</v>
      </c>
      <c r="L185" s="226" t="n"/>
    </row>
    <row r="186" ht="20.35" customHeight="1" s="215">
      <c r="A186" s="37" t="n"/>
      <c r="B186" s="162">
        <f t="array" ref="B186">$B187-1</f>
        <v/>
      </c>
      <c r="C186" s="106">
        <f t="array" ref="C186">H186+I186</f>
        <v/>
      </c>
      <c r="D186" s="233" t="n">
        <v>12707</v>
      </c>
      <c r="E186" s="233" t="n">
        <v>14969</v>
      </c>
      <c r="F186" s="164">
        <f t="array" ref="F186">J186-D186</f>
        <v/>
      </c>
      <c r="G186" s="164">
        <f t="array" ref="G186">K186-E186</f>
        <v/>
      </c>
      <c r="H186" s="106">
        <f t="array" ref="H186">E186+D186</f>
        <v/>
      </c>
      <c r="I186" s="106">
        <f t="array" ref="I186">G186+F186</f>
        <v/>
      </c>
      <c r="J186" s="233" t="n">
        <v>77527</v>
      </c>
      <c r="K186" s="233" t="n">
        <v>80847</v>
      </c>
      <c r="L186" s="226" t="n"/>
    </row>
    <row r="187" ht="20.7" customHeight="1" s="215">
      <c r="A187" s="12" t="n"/>
      <c r="B187" s="165">
        <f t="array" ref="B187">$B188-1</f>
        <v/>
      </c>
      <c r="C187" s="166">
        <f t="array" ref="C187">H187+I187</f>
        <v/>
      </c>
      <c r="D187" s="232" t="n">
        <v>12664</v>
      </c>
      <c r="E187" s="232" t="n">
        <v>14948</v>
      </c>
      <c r="F187" s="167">
        <f t="array" ref="F187">J187-D187</f>
        <v/>
      </c>
      <c r="G187" s="152">
        <f t="array" ref="G187">K187-E187</f>
        <v/>
      </c>
      <c r="H187" s="110">
        <f t="array" ref="H187">E187+D187</f>
        <v/>
      </c>
      <c r="I187" s="166">
        <f t="array" ref="I187">G187+F187</f>
        <v/>
      </c>
      <c r="J187" s="232" t="n">
        <v>80708</v>
      </c>
      <c r="K187" s="232" t="n">
        <v>84064</v>
      </c>
      <c r="L187" s="234" t="n"/>
    </row>
    <row r="188" ht="20.7" customHeight="1" s="215">
      <c r="A188" s="12" t="n"/>
      <c r="B188" s="165">
        <f t="array" ref="B188">$B189-1</f>
        <v/>
      </c>
      <c r="C188" s="166">
        <f t="array" ref="C188">H188+I188</f>
        <v/>
      </c>
      <c r="D188" s="232" t="n">
        <v>13226</v>
      </c>
      <c r="E188" s="232" t="n">
        <v>15530</v>
      </c>
      <c r="F188" s="167">
        <f t="array" ref="F188">J188-D188</f>
        <v/>
      </c>
      <c r="G188" s="152">
        <f t="array" ref="G188">K188-E188</f>
        <v/>
      </c>
      <c r="H188" s="110">
        <f t="array" ref="H188">E188+D188</f>
        <v/>
      </c>
      <c r="I188" s="166">
        <f t="array" ref="I188">G188+F188</f>
        <v/>
      </c>
      <c r="J188" s="232" t="n">
        <v>87635</v>
      </c>
      <c r="K188" s="232" t="n">
        <v>95314</v>
      </c>
      <c r="L188" s="169" t="n"/>
    </row>
    <row r="189" ht="20.7" customHeight="1" s="215">
      <c r="A189" s="12" t="n"/>
      <c r="B189" s="165">
        <f t="array" ref="B189">$B190-1</f>
        <v/>
      </c>
      <c r="C189" s="166">
        <f t="array" ref="C189">H189+I189</f>
        <v/>
      </c>
      <c r="D189" s="232" t="n">
        <v>13659</v>
      </c>
      <c r="E189" s="232" t="n">
        <v>16223</v>
      </c>
      <c r="F189" s="167">
        <f t="array" ref="F189">J189-D189</f>
        <v/>
      </c>
      <c r="G189" s="152">
        <f t="array" ref="G189">K189-E189</f>
        <v/>
      </c>
      <c r="H189" s="110">
        <f t="array" ref="H189">E189+D189</f>
        <v/>
      </c>
      <c r="I189" s="166">
        <f t="array" ref="I189">G189+F189</f>
        <v/>
      </c>
      <c r="J189" s="232" t="n">
        <v>97064</v>
      </c>
      <c r="K189" s="232" t="n">
        <v>107551</v>
      </c>
      <c r="L189" s="169" t="n"/>
    </row>
    <row r="190" ht="20.7" customHeight="1" s="215">
      <c r="A190" s="12" t="n"/>
      <c r="B190" s="165">
        <f t="array" ref="B190">$B191-1</f>
        <v/>
      </c>
      <c r="C190" s="166">
        <f t="array" ref="C190">H190+I190</f>
        <v/>
      </c>
      <c r="D190" s="232" t="n">
        <v>14507</v>
      </c>
      <c r="E190" s="232" t="n">
        <v>17141</v>
      </c>
      <c r="F190" s="167">
        <f t="array" ref="F190">J190-D190</f>
        <v/>
      </c>
      <c r="G190" s="152">
        <f t="array" ref="G190">K190-E190</f>
        <v/>
      </c>
      <c r="H190" s="110">
        <f t="array" ref="H190">E190+D190</f>
        <v/>
      </c>
      <c r="I190" s="166">
        <f t="array" ref="I190">G190+F190</f>
        <v/>
      </c>
      <c r="J190" s="232" t="n">
        <v>108477</v>
      </c>
      <c r="K190" s="232" t="n">
        <v>122262</v>
      </c>
      <c r="L190" s="169" t="n"/>
    </row>
    <row r="191" ht="20.7" customHeight="1" s="215">
      <c r="A191" s="12" t="n"/>
      <c r="B191" s="165">
        <f t="array" ref="B191">$B192-1</f>
        <v/>
      </c>
      <c r="C191" s="166">
        <f t="array" ref="C191">H191+I191</f>
        <v/>
      </c>
      <c r="D191" s="232" t="n">
        <v>15123</v>
      </c>
      <c r="E191" s="232" t="n">
        <v>17708</v>
      </c>
      <c r="F191" s="167">
        <f t="array" ref="F191">J191-D191</f>
        <v/>
      </c>
      <c r="G191" s="152">
        <f t="array" ref="G191">K191-E191</f>
        <v/>
      </c>
      <c r="H191" s="110">
        <f t="array" ref="H191">E191+D191</f>
        <v/>
      </c>
      <c r="I191" s="166">
        <f t="array" ref="I191">G191+F191</f>
        <v/>
      </c>
      <c r="J191" s="232" t="n">
        <v>115083</v>
      </c>
      <c r="K191" s="232" t="n">
        <v>119874</v>
      </c>
      <c r="L191" s="169" t="n"/>
    </row>
    <row r="192" ht="20.7" customHeight="1" s="215">
      <c r="A192" s="12" t="n"/>
      <c r="B192" s="165">
        <f t="array" ref="B192">$B193-1</f>
        <v/>
      </c>
      <c r="C192" s="166">
        <f t="array" ref="C192">H192+I192</f>
        <v/>
      </c>
      <c r="D192" s="232" t="n">
        <v>15169</v>
      </c>
      <c r="E192" s="232" t="n">
        <v>17651</v>
      </c>
      <c r="F192" s="167">
        <f t="array" ref="F192">J192-D192</f>
        <v/>
      </c>
      <c r="G192" s="152">
        <f t="array" ref="G192">K192-E192</f>
        <v/>
      </c>
      <c r="H192" s="110">
        <f t="array" ref="H192">E192+D192</f>
        <v/>
      </c>
      <c r="I192" s="166">
        <f t="array" ref="I192">G192+F192</f>
        <v/>
      </c>
      <c r="J192" s="232" t="n">
        <v>118283</v>
      </c>
      <c r="K192" s="232" t="n">
        <v>125454</v>
      </c>
      <c r="L192" s="169" t="n"/>
    </row>
    <row r="193" ht="20.7" customHeight="1" s="215">
      <c r="A193" s="12" t="n"/>
      <c r="B193" s="165">
        <f t="array" ref="B193">$B194-1</f>
        <v/>
      </c>
      <c r="C193" s="166">
        <f t="array" ref="C193">H193+I193</f>
        <v/>
      </c>
      <c r="D193" s="232" t="n">
        <v>15364</v>
      </c>
      <c r="E193" s="232" t="n">
        <v>17746</v>
      </c>
      <c r="F193" s="167">
        <f t="array" ref="F193">J193-D193</f>
        <v/>
      </c>
      <c r="G193" s="152">
        <f t="array" ref="G193">K193-E193</f>
        <v/>
      </c>
      <c r="H193" s="110">
        <f t="array" ref="H193">E193+D193</f>
        <v/>
      </c>
      <c r="I193" s="166">
        <f t="array" ref="I193">G193+F193</f>
        <v/>
      </c>
      <c r="J193" s="232" t="n">
        <v>128968</v>
      </c>
      <c r="K193" s="232" t="n">
        <v>140096</v>
      </c>
      <c r="L193" s="169" t="n"/>
    </row>
    <row r="194" ht="20.7" customHeight="1" s="215">
      <c r="A194" s="12" t="n"/>
      <c r="B194" s="165">
        <f t="array" ref="B194">$B195-1</f>
        <v/>
      </c>
      <c r="C194" s="166">
        <f t="array" ref="C194">H194+I194</f>
        <v/>
      </c>
      <c r="D194" s="232" t="n">
        <v>14536</v>
      </c>
      <c r="E194" s="232" t="n">
        <v>17310</v>
      </c>
      <c r="F194" s="167">
        <f t="array" ref="F194">J194-D194</f>
        <v/>
      </c>
      <c r="G194" s="152">
        <f t="array" ref="G194">K194-E194</f>
        <v/>
      </c>
      <c r="H194" s="110">
        <f t="array" ref="H194">E194+D194</f>
        <v/>
      </c>
      <c r="I194" s="166">
        <f t="array" ref="I194">G194+F194</f>
        <v/>
      </c>
      <c r="J194" s="232" t="n">
        <v>104283</v>
      </c>
      <c r="K194" s="232" t="n">
        <v>116570</v>
      </c>
      <c r="L194" s="169" t="n"/>
    </row>
    <row r="195" ht="20.7" customHeight="1" s="215">
      <c r="A195" s="12" t="n"/>
      <c r="B195" s="165">
        <f t="array" ref="B195">$B196-1</f>
        <v/>
      </c>
      <c r="C195" s="166">
        <f t="array" ref="C195">H195+I195</f>
        <v/>
      </c>
      <c r="D195" s="232" t="n">
        <v>11904</v>
      </c>
      <c r="E195" s="232" t="n">
        <v>13976</v>
      </c>
      <c r="F195" s="167">
        <f t="array" ref="F195">J195-D195</f>
        <v/>
      </c>
      <c r="G195" s="152">
        <f t="array" ref="G195">K195-E195</f>
        <v/>
      </c>
      <c r="H195" s="110">
        <f t="array" ref="H195">E195+D195</f>
        <v/>
      </c>
      <c r="I195" s="166">
        <f t="array" ref="I195">G195+F195</f>
        <v/>
      </c>
      <c r="J195" s="232" t="n">
        <v>121559</v>
      </c>
      <c r="K195" s="232" t="n">
        <v>130969</v>
      </c>
      <c r="L195" s="169" t="n"/>
    </row>
    <row r="196" ht="20.7" customHeight="1" s="215">
      <c r="A196" s="12" t="n"/>
      <c r="B196" s="165">
        <f t="array" ref="B196">$B197-1</f>
        <v/>
      </c>
      <c r="C196" s="166">
        <f t="array" ref="C196">H196+I196</f>
        <v/>
      </c>
      <c r="D196" s="232" t="n">
        <v>11502</v>
      </c>
      <c r="E196" s="232" t="n">
        <v>13484</v>
      </c>
      <c r="F196" s="167">
        <f t="array" ref="F196">J196-D196</f>
        <v/>
      </c>
      <c r="G196" s="152">
        <f t="array" ref="G196">K196-E196</f>
        <v/>
      </c>
      <c r="H196" s="110">
        <f t="array" ref="H196">E196+D196</f>
        <v/>
      </c>
      <c r="I196" s="166">
        <f t="array" ref="I196">G196+F196</f>
        <v/>
      </c>
      <c r="J196" s="232" t="n">
        <v>208252</v>
      </c>
      <c r="K196" s="232" t="n">
        <v>194856</v>
      </c>
      <c r="L196" s="169" t="n"/>
    </row>
    <row r="197" ht="20.7" customHeight="1" s="215">
      <c r="A197" s="12" t="n"/>
      <c r="B197" s="165">
        <f t="array" ref="B197">$B198-1</f>
        <v/>
      </c>
      <c r="C197" s="166">
        <f t="array" ref="C197">H197+I197</f>
        <v/>
      </c>
      <c r="D197" s="232" t="n">
        <v>12024</v>
      </c>
      <c r="E197" s="232" t="n">
        <v>13631</v>
      </c>
      <c r="F197" s="167">
        <f t="array" ref="F197">J197-D197</f>
        <v/>
      </c>
      <c r="G197" s="152">
        <f t="array" ref="G197">K197-E197</f>
        <v/>
      </c>
      <c r="H197" s="110">
        <f t="array" ref="H197">E197+D197</f>
        <v/>
      </c>
      <c r="I197" s="166">
        <f t="array" ref="I197">G197+F197</f>
        <v/>
      </c>
      <c r="J197" s="232" t="n">
        <v>163057</v>
      </c>
      <c r="K197" s="232" t="n">
        <v>172611</v>
      </c>
      <c r="L197" s="169" t="n"/>
    </row>
    <row r="198" ht="20.35" customHeight="1" s="215">
      <c r="A198" s="12" t="n"/>
      <c r="B198" s="165">
        <f t="array" ref="B198">$C$7</f>
        <v/>
      </c>
      <c r="C198" s="166">
        <f t="array" ref="C198">H198+I198</f>
        <v/>
      </c>
      <c r="D198" s="235" t="n">
        <v>11889</v>
      </c>
      <c r="E198" s="236" t="n">
        <v>13871</v>
      </c>
      <c r="F198" s="152">
        <f t="array" ref="F198">J198-D198</f>
        <v/>
      </c>
      <c r="G198" s="152">
        <f t="array" ref="G198">K198-E198</f>
        <v/>
      </c>
      <c r="H198" s="110">
        <f t="array" ref="H198">E198+D198</f>
        <v/>
      </c>
      <c r="I198" s="166">
        <f t="array" ref="I198">G198+F198</f>
        <v/>
      </c>
      <c r="J198" s="235" t="n">
        <v>150517</v>
      </c>
      <c r="K198" s="235" t="n">
        <v>165788</v>
      </c>
      <c r="L198" s="169" t="n"/>
    </row>
    <row r="199" ht="20.05" customHeight="1" s="215">
      <c r="A199" s="12" t="n"/>
      <c r="B199" s="13" t="inlineStr">
        <is>
          <t>10 year Ø of immigration</t>
        </is>
      </c>
      <c r="C199" s="110">
        <f t="array" ref="C199">AVERAGE(C189:C198)</f>
        <v/>
      </c>
      <c r="D199" s="110">
        <f t="array" ref="D199">AVERAGE(D189:D198)</f>
        <v/>
      </c>
      <c r="E199" s="110">
        <f t="array" ref="E199">AVERAGE(E189:E198)</f>
        <v/>
      </c>
      <c r="F199" s="110">
        <f t="array" ref="F199">AVERAGE(F189:F198)</f>
        <v/>
      </c>
      <c r="G199" s="110">
        <f t="array" ref="G199">AVERAGE(G189:G198)</f>
        <v/>
      </c>
      <c r="H199" s="110">
        <f t="array" ref="H199">AVERAGE(H189:H198)</f>
        <v/>
      </c>
      <c r="I199" s="110">
        <f t="array" ref="I199">AVERAGE(I189:I198)</f>
        <v/>
      </c>
      <c r="J199" s="110">
        <f t="array" ref="J199">AVERAGE(J189:J198)</f>
        <v/>
      </c>
      <c r="K199" s="110">
        <f t="array" ref="K199">AVERAGE(K189:K198)</f>
        <v/>
      </c>
      <c r="L199" s="17" t="n"/>
    </row>
    <row r="200" ht="20.05" customHeight="1" s="215">
      <c r="A200" s="23" t="n"/>
      <c r="B200" s="24" t="n"/>
      <c r="C200" s="26" t="n"/>
      <c r="D200" s="26" t="n"/>
      <c r="E200" s="26" t="n"/>
      <c r="F200" s="26" t="n"/>
      <c r="G200" s="26" t="n"/>
      <c r="H200" s="26" t="n"/>
      <c r="I200" s="26" t="n"/>
      <c r="J200" s="26" t="n"/>
      <c r="K200" s="26" t="n"/>
      <c r="L200" s="17" t="n"/>
    </row>
    <row r="201" ht="20.05" customHeight="1" s="215">
      <c r="A201" s="37" t="n"/>
      <c r="B201" s="34" t="inlineStr">
        <is>
          <t>Source of the data (verbal)</t>
        </is>
      </c>
      <c r="C201" s="58">
        <f t="array" ref="C201">IF(C202="","?",C202)&amp;IF(C203="","","; downloaded "&amp;C203)&amp;IF(C204="","","; "&amp;C204)</f>
        <v/>
      </c>
      <c r="D201" s="218" t="n"/>
      <c r="E201" s="218" t="n"/>
      <c r="F201" s="218" t="n"/>
      <c r="G201" s="218" t="n"/>
      <c r="H201" s="218" t="n"/>
      <c r="I201" s="218" t="n"/>
      <c r="J201" s="218" t="n"/>
      <c r="K201" s="218" t="n"/>
      <c r="L201" s="17" t="n"/>
    </row>
    <row r="202" ht="20.05" customHeight="1" s="215">
      <c r="A202" s="23" t="n"/>
      <c r="B202" s="34" t="inlineStr">
        <is>
          <t>URLs, where the data was found</t>
        </is>
      </c>
      <c r="C202" s="59" t="inlineStr">
        <is>
          <t>https://opendata.cbs.nl/ODataApi/odata/85468NED/TypedDataSet (2010-2024); https://opendata.cbs.nl/ODataApi/odata/03742/TypedDataSet (1995-2022)</t>
        </is>
      </c>
      <c r="D202" s="218" t="n"/>
      <c r="E202" s="218" t="n"/>
      <c r="F202" s="218" t="n"/>
      <c r="G202" s="218" t="n"/>
      <c r="H202" s="218" t="n"/>
      <c r="I202" s="218" t="n"/>
      <c r="J202" s="218" t="n"/>
      <c r="K202" s="218" t="n"/>
      <c r="L202" s="17" t="n"/>
    </row>
    <row r="203" ht="20.05" customHeight="1" s="215">
      <c r="A203" s="37" t="n"/>
      <c r="B203" s="47" t="inlineStr">
        <is>
          <t>Date, when the data was downloaded</t>
        </is>
      </c>
      <c r="C203" s="59" t="inlineStr">
        <is>
          <t>2026-05-26</t>
        </is>
      </c>
      <c r="D203" s="218" t="n"/>
      <c r="E203" s="218" t="n"/>
      <c r="F203" s="218" t="n"/>
      <c r="G203" s="218" t="n"/>
      <c r="H203" s="218" t="n"/>
      <c r="I203" s="218" t="n"/>
      <c r="J203" s="218" t="n"/>
      <c r="K203" s="218" t="n"/>
      <c r="L203" s="17" t="n"/>
    </row>
    <row r="204" ht="20.05" customHeight="1" s="215">
      <c r="A204" s="12" t="n"/>
      <c r="B204" s="13" t="inlineStr">
        <is>
          <t>Manual remarks (not for AI!)</t>
        </is>
      </c>
      <c r="C204" s="155" t="n"/>
      <c r="D204" s="219" t="n"/>
      <c r="E204" s="219" t="n"/>
      <c r="F204" s="219" t="n"/>
      <c r="G204" s="219" t="n"/>
      <c r="H204" s="219" t="n"/>
      <c r="I204" s="219" t="n"/>
      <c r="J204" s="219" t="n"/>
      <c r="K204" s="219" t="n"/>
      <c r="L204" s="17" t="n"/>
    </row>
    <row r="205" ht="20.05" customHeight="1" s="215">
      <c r="A205" s="12" t="n"/>
      <c r="B205" s="13" t="inlineStr">
        <is>
          <t>Remarks of the AI (e.g. calculation)</t>
        </is>
      </c>
      <c r="C205" s="157" t="inlineStr">
        <is>
          <t>Einwanderung der Bevölkerung NL. Quellen: 2010-2024 = CBS-Würfel 85468NED (Imm/Emi nach Sex × Leeftijd × Geboorteland × RegioS). 1995-2009 = CBS 03742 historisch. Native = Geboorteland Nederland (NL-Geborene-Rückkehrer); Total = Geboorteland Total. F/G via Vorlagen-Residual-Formel (= Migrant). **CBS als Primärquelle gewählt** (User-Entscheidung 2026-05-26): nationale Quelle ist konsistent zur BRP-basierten Pop-Definition; Leslie-Bilanz (Pop + Geburten − Sterbe + Zu − Weg) geht nur dann auf, wenn Pop, Vital und Migration aus derselben Registerbasis stammen. **Eurostat-Cross-Check Sanity-Pflicht (CLAUDE.md)**: Brutto-Diff CBS vs. Eurostat = Imm ~18%, Emi ~30% (CBS höher). Ursache = BRP-~4-Mo-Schwelle vs. Eurostat-Long-term-≥12-Mo-Filter; Asymmetrie durch hohen Kurzfrist-Wegzug-Anteil. Saldo-Diff hingegen klein (max ±17%, mittel ~3% — 2015-2024-Werte ±10k auf Saldo von ~100k+): die Kurzfrist-Aufenthalter erscheinen symmetrisch in Imm und Emi und heben sich im Netto-Saldo auf. **STOP aufgelöst**: Diff vollständig durch bekannten Definitions-Unterschied erklärt, kein Datenfehler, modellrelevant (Saldo) klein. Eurostat nur als Cross-Check, keine eigene Sensitivitätsvariante nötig. **Historische NL-Wellen**: 1949-1968 Indonesien-Repatriation (~300k, Geburtsland Indonesien = 1. Gen Migrant nach CBS-Definition), 1973-1975 Suriname-Welle (~200k), 1960er Marokko-/Türkei-Gastarbeiter, 2022 Ukraine-Welle. Pre-2015 außerhalb 10-J-Ø-Kipppunkt-Fenster, dokumentation nur. Pre-1995 in CBS nicht direkt publiziert (V1.x-Thema). — V1.1-NACHTRAG (2026-05-26): Historische Imm/Emi-Reihe 1949-1994 aus CBS 85524NED Topics 'Immigratie_76' und 'EmigratieInclusiefAdministratieveC_77' (Werte in Tausend, umgerechnet auf Personen). Coverage publiziert ab 1950 (1949 zT None). **Lücken-Konvention C-Spalte** (=H+I überschrieben): kein Sex-Split, kein Geburtsland-Split publiziert in 85524NED-kerncijfers. Display-Formel `=H+I` durch Total-Wert ersetzt; D/E/J/K bleiben leer (= keine Native/Migrant-Aufschlüsselung möglich). **Methodenbruch 1994/1995**: ab 1995 Geburtsland-basierte Reihe (CBS 03742, 85468NED) mit Native (NL-geboren) / Total-Split. Vor 1995 nur Total ohne Sex/Geburtsland. Pre-1995-Werte liegen außerhalb des 10-J-Ø-Kipppunkt-Fensters 2015-2024 — sie beeinflussen die Kipppunkt-Berechnung nicht. CLAUDE.md-V1-Pflicht zur publizistischen Tiefe.</t>
        </is>
      </c>
      <c r="L205" s="17" t="n"/>
    </row>
    <row r="206" ht="20.05" customHeight="1" s="215">
      <c r="A206" s="12" t="n"/>
      <c r="B206" s="13" t="inlineStr">
        <is>
          <t>Internal remarks</t>
        </is>
      </c>
      <c r="C206" s="158" t="n"/>
      <c r="D206" s="217" t="n"/>
      <c r="E206" s="217" t="n"/>
      <c r="F206" s="217" t="n"/>
      <c r="G206" s="217" t="n"/>
      <c r="H206" s="217" t="n"/>
      <c r="I206" s="217" t="n"/>
      <c r="J206" s="217" t="n"/>
      <c r="K206" s="217" t="n"/>
      <c r="L206" s="17" t="n"/>
    </row>
    <row r="207" ht="20.05" customHeight="1" s="215">
      <c r="A207" s="23" t="n"/>
      <c r="B207" s="24" t="n"/>
      <c r="C207" s="17" t="n"/>
      <c r="D207" s="17" t="n"/>
      <c r="E207" s="17" t="n"/>
      <c r="F207" s="17" t="n"/>
      <c r="G207" s="17" t="n"/>
      <c r="H207" s="17" t="n"/>
      <c r="I207" s="17" t="n"/>
      <c r="J207" s="17" t="n"/>
      <c r="K207" s="17" t="n"/>
      <c r="L207" s="17" t="n"/>
    </row>
    <row r="208" ht="32.05" customHeight="1" s="215">
      <c r="A208" s="30" t="n"/>
      <c r="B208" s="31" t="inlineStr">
        <is>
          <t>Emigration</t>
        </is>
      </c>
      <c r="C208" s="99" t="inlineStr">
        <is>
          <t>Fill in the numbers of people emigrating from this country here.  For the calculation only the last 10 years are relevant. But we need the older values for later so we can calculate the numbers more correctly.</t>
        </is>
      </c>
      <c r="D208" s="218" t="n"/>
      <c r="E208" s="218" t="n"/>
      <c r="F208" s="218" t="n"/>
      <c r="G208" s="218" t="n"/>
      <c r="H208" s="218" t="n"/>
      <c r="I208" s="218" t="n"/>
      <c r="J208" s="218" t="n"/>
      <c r="K208" s="218" t="n"/>
      <c r="L208" s="33" t="n"/>
    </row>
    <row r="209" ht="20.05" customHeight="1" s="215">
      <c r="A209" s="3" t="n"/>
      <c r="B209" s="28" t="n"/>
      <c r="C209" s="81" t="n"/>
      <c r="D209" s="81" t="n"/>
      <c r="E209" s="81" t="n"/>
      <c r="F209" s="81" t="n"/>
      <c r="G209" s="81" t="n"/>
      <c r="H209" s="81" t="n"/>
      <c r="I209" s="81" t="n"/>
      <c r="J209" s="81" t="n"/>
      <c r="K209" s="81" t="n"/>
      <c r="L209" s="81" t="n"/>
    </row>
    <row r="210" ht="20.05" customHeight="1" s="215">
      <c r="A210" s="3" t="n"/>
      <c r="B210" s="161">
        <f t="array" ref="B210">$B211-1</f>
        <v/>
      </c>
      <c r="C210" s="225" t="n">
        <v>58000</v>
      </c>
      <c r="D210" s="102" t="n"/>
      <c r="E210" s="102" t="n"/>
      <c r="F210" s="80">
        <f t="array" ref="F210">J210-D210</f>
        <v/>
      </c>
      <c r="G210" s="80">
        <f t="array" ref="G210">K210-E210</f>
        <v/>
      </c>
      <c r="H210" s="79">
        <f t="array" ref="H210">E210+D210</f>
        <v/>
      </c>
      <c r="I210" s="79">
        <f t="array" ref="I210">G210+F210</f>
        <v/>
      </c>
      <c r="J210" s="102" t="n"/>
      <c r="K210" s="102" t="n"/>
      <c r="L210" s="226" t="n">
        <v>0.0418706094</v>
      </c>
    </row>
    <row r="211" ht="20.05" customHeight="1" s="215">
      <c r="A211" s="3" t="n"/>
      <c r="B211" s="161">
        <f t="array" ref="B211">$B212-1</f>
        <v/>
      </c>
      <c r="C211" s="225" t="n">
        <v>51000</v>
      </c>
      <c r="D211" s="102" t="n"/>
      <c r="E211" s="102" t="n"/>
      <c r="F211" s="80">
        <f t="array" ref="F211">J211-D211</f>
        <v/>
      </c>
      <c r="G211" s="80">
        <f t="array" ref="G211">K211-E211</f>
        <v/>
      </c>
      <c r="H211" s="79">
        <f t="array" ref="H211">E211+D211</f>
        <v/>
      </c>
      <c r="I211" s="79">
        <f t="array" ref="I211">G211+F211</f>
        <v/>
      </c>
      <c r="J211" s="102" t="n"/>
      <c r="K211" s="102" t="n"/>
      <c r="L211" s="226" t="n">
        <v>0.0463687134</v>
      </c>
    </row>
    <row r="212" ht="20.05" customHeight="1" s="215">
      <c r="A212" s="3" t="n"/>
      <c r="B212" s="161">
        <f t="array" ref="B212">$B213-1</f>
        <v/>
      </c>
      <c r="C212" s="225" t="n">
        <v>67000</v>
      </c>
      <c r="D212" s="102" t="n"/>
      <c r="E212" s="102" t="n"/>
      <c r="F212" s="80">
        <f t="array" ref="F212">J212-D212</f>
        <v/>
      </c>
      <c r="G212" s="80">
        <f t="array" ref="G212">K212-E212</f>
        <v/>
      </c>
      <c r="H212" s="79">
        <f t="array" ref="H212">E212+D212</f>
        <v/>
      </c>
      <c r="I212" s="79">
        <f t="array" ref="I212">G212+F212</f>
        <v/>
      </c>
      <c r="J212" s="102" t="n"/>
      <c r="K212" s="102" t="n"/>
      <c r="L212" s="226" t="n">
        <v>0.0503127037</v>
      </c>
    </row>
    <row r="213" ht="20.05" customHeight="1" s="215">
      <c r="A213" s="3" t="n"/>
      <c r="B213" s="161">
        <f t="array" ref="B213">$B214-1</f>
        <v/>
      </c>
      <c r="C213" s="225" t="n">
        <v>81000</v>
      </c>
      <c r="D213" s="102" t="n"/>
      <c r="E213" s="102" t="n"/>
      <c r="F213" s="80">
        <f t="array" ref="F213">J213-D213</f>
        <v/>
      </c>
      <c r="G213" s="80">
        <f t="array" ref="G213">K213-E213</f>
        <v/>
      </c>
      <c r="H213" s="79">
        <f t="array" ref="H213">E213+D213</f>
        <v/>
      </c>
      <c r="I213" s="79">
        <f t="array" ref="I213">G213+F213</f>
        <v/>
      </c>
      <c r="J213" s="102" t="n"/>
      <c r="K213" s="102" t="n"/>
      <c r="L213" s="226" t="n">
        <v>0.0534893246</v>
      </c>
    </row>
    <row r="214" ht="20.05" customHeight="1" s="215">
      <c r="A214" s="3" t="n"/>
      <c r="B214" s="161">
        <f t="array" ref="B214">$B215-1</f>
        <v/>
      </c>
      <c r="C214" s="225" t="n">
        <v>67000</v>
      </c>
      <c r="D214" s="102" t="n"/>
      <c r="E214" s="102" t="n"/>
      <c r="F214" s="80">
        <f t="array" ref="F214">J214-D214</f>
        <v/>
      </c>
      <c r="G214" s="80">
        <f t="array" ref="G214">K214-E214</f>
        <v/>
      </c>
      <c r="H214" s="79">
        <f t="array" ref="H214">E214+D214</f>
        <v/>
      </c>
      <c r="I214" s="79">
        <f t="array" ref="I214">G214+F214</f>
        <v/>
      </c>
      <c r="J214" s="102" t="n"/>
      <c r="K214" s="102" t="n"/>
      <c r="L214" s="226" t="n">
        <v>0.0557177306</v>
      </c>
    </row>
    <row r="215" ht="20.05" customHeight="1" s="215">
      <c r="A215" s="3" t="n"/>
      <c r="B215" s="161">
        <f t="array" ref="B215">$B216-1</f>
        <v/>
      </c>
      <c r="C215" s="225" t="n">
        <v>61000</v>
      </c>
      <c r="D215" s="102" t="n"/>
      <c r="E215" s="102" t="n"/>
      <c r="F215" s="80">
        <f t="array" ref="F215">J215-D215</f>
        <v/>
      </c>
      <c r="G215" s="80">
        <f t="array" ref="G215">K215-E215</f>
        <v/>
      </c>
      <c r="H215" s="79">
        <f t="array" ref="H215">E215+D215</f>
        <v/>
      </c>
      <c r="I215" s="79">
        <f t="array" ref="I215">G215+F215</f>
        <v/>
      </c>
      <c r="J215" s="102" t="n"/>
      <c r="K215" s="102" t="n"/>
      <c r="L215" s="226" t="n">
        <v>0.0568665096</v>
      </c>
    </row>
    <row r="216" ht="20.05" customHeight="1" s="215">
      <c r="A216" s="3" t="n"/>
      <c r="B216" s="161">
        <f t="array" ref="B216">$B217-1</f>
        <v/>
      </c>
      <c r="C216" s="225" t="n">
        <v>57000</v>
      </c>
      <c r="D216" s="102" t="n"/>
      <c r="E216" s="102" t="n"/>
      <c r="F216" s="80">
        <f t="array" ref="F216">J216-D216</f>
        <v/>
      </c>
      <c r="G216" s="80">
        <f t="array" ref="G216">K216-E216</f>
        <v/>
      </c>
      <c r="H216" s="79">
        <f t="array" ref="H216">E216+D216</f>
        <v/>
      </c>
      <c r="I216" s="79">
        <f t="array" ref="I216">G216+F216</f>
        <v/>
      </c>
      <c r="J216" s="102" t="n"/>
      <c r="K216" s="102" t="n"/>
      <c r="L216" s="226" t="n">
        <v>0.0568665096</v>
      </c>
    </row>
    <row r="217" ht="20.05" customHeight="1" s="215">
      <c r="A217" s="3" t="n"/>
      <c r="B217" s="161">
        <f t="array" ref="B217">$B218-1</f>
        <v/>
      </c>
      <c r="C217" s="225" t="n">
        <v>63000</v>
      </c>
      <c r="D217" s="102" t="n"/>
      <c r="E217" s="102" t="n"/>
      <c r="F217" s="80">
        <f t="array" ref="F217">J217-D217</f>
        <v/>
      </c>
      <c r="G217" s="80">
        <f t="array" ref="G217">K217-E217</f>
        <v/>
      </c>
      <c r="H217" s="79">
        <f t="array" ref="H217">E217+D217</f>
        <v/>
      </c>
      <c r="I217" s="79">
        <f t="array" ref="I217">G217+F217</f>
        <v/>
      </c>
      <c r="J217" s="102" t="n"/>
      <c r="K217" s="102" t="n"/>
      <c r="L217" s="226" t="n">
        <v>0.0557177306</v>
      </c>
    </row>
    <row r="218" ht="20.05" customHeight="1" s="215">
      <c r="A218" s="3" t="n"/>
      <c r="B218" s="161">
        <f t="array" ref="B218">$B219-1</f>
        <v/>
      </c>
      <c r="C218" s="225" t="n">
        <v>63000</v>
      </c>
      <c r="D218" s="102" t="n"/>
      <c r="E218" s="102" t="n"/>
      <c r="F218" s="80">
        <f t="array" ref="F218">J218-D218</f>
        <v/>
      </c>
      <c r="G218" s="80">
        <f t="array" ref="G218">K218-E218</f>
        <v/>
      </c>
      <c r="H218" s="79">
        <f t="array" ref="H218">E218+D218</f>
        <v/>
      </c>
      <c r="I218" s="79">
        <f t="array" ref="I218">G218+F218</f>
        <v/>
      </c>
      <c r="J218" s="102" t="n"/>
      <c r="K218" s="102" t="n"/>
      <c r="L218" s="226" t="n">
        <v>0.0534893246</v>
      </c>
    </row>
    <row r="219" ht="20.05" customHeight="1" s="215">
      <c r="A219" s="3" t="n"/>
      <c r="B219" s="161">
        <f t="array" ref="B219">$B220-1</f>
        <v/>
      </c>
      <c r="C219" s="225" t="n">
        <v>56000</v>
      </c>
      <c r="D219" s="102" t="n"/>
      <c r="E219" s="102" t="n"/>
      <c r="F219" s="80">
        <f t="array" ref="F219">J219-D219</f>
        <v/>
      </c>
      <c r="G219" s="80">
        <f t="array" ref="G219">K219-E219</f>
        <v/>
      </c>
      <c r="H219" s="79">
        <f t="array" ref="H219">E219+D219</f>
        <v/>
      </c>
      <c r="I219" s="79">
        <f t="array" ref="I219">G219+F219</f>
        <v/>
      </c>
      <c r="J219" s="102" t="n"/>
      <c r="K219" s="102" t="n"/>
      <c r="L219" s="226" t="n">
        <v>0.0503127037</v>
      </c>
    </row>
    <row r="220" ht="20.05" customHeight="1" s="215">
      <c r="A220" s="3" t="n"/>
      <c r="B220" s="161">
        <f t="array" ref="B220">$B221-1</f>
        <v/>
      </c>
      <c r="C220" s="225" t="n">
        <v>54000</v>
      </c>
      <c r="D220" s="102" t="n"/>
      <c r="E220" s="102" t="n"/>
      <c r="F220" s="80">
        <f t="array" ref="F220">J220-D220</f>
        <v/>
      </c>
      <c r="G220" s="80">
        <f t="array" ref="G220">K220-E220</f>
        <v/>
      </c>
      <c r="H220" s="79">
        <f t="array" ref="H220">E220+D220</f>
        <v/>
      </c>
      <c r="I220" s="79">
        <f t="array" ref="I220">G220+F220</f>
        <v/>
      </c>
      <c r="J220" s="102" t="n"/>
      <c r="K220" s="102" t="n"/>
      <c r="L220" s="226" t="n">
        <v>0.0463687134</v>
      </c>
    </row>
    <row r="221" ht="20.05" customHeight="1" s="215">
      <c r="A221" s="3" t="n"/>
      <c r="B221" s="161">
        <f t="array" ref="B221">$B222-1</f>
        <v/>
      </c>
      <c r="C221" s="225" t="n">
        <v>58000</v>
      </c>
      <c r="D221" s="102" t="n"/>
      <c r="E221" s="102" t="n"/>
      <c r="F221" s="80">
        <f t="array" ref="F221">J221-D221</f>
        <v/>
      </c>
      <c r="G221" s="80">
        <f t="array" ref="G221">K221-E221</f>
        <v/>
      </c>
      <c r="H221" s="79">
        <f t="array" ref="H221">E221+D221</f>
        <v/>
      </c>
      <c r="I221" s="79">
        <f t="array" ref="I221">G221+F221</f>
        <v/>
      </c>
      <c r="J221" s="102" t="n"/>
      <c r="K221" s="102" t="n"/>
      <c r="L221" s="226" t="n">
        <v>0.0418706094</v>
      </c>
    </row>
    <row r="222" ht="20.05" customHeight="1" s="215">
      <c r="A222" s="3" t="n"/>
      <c r="B222" s="161">
        <f t="array" ref="B222">$B223-1</f>
        <v/>
      </c>
      <c r="C222" s="225" t="n">
        <v>49000</v>
      </c>
      <c r="D222" s="102" t="n"/>
      <c r="E222" s="102" t="n"/>
      <c r="F222" s="80">
        <f t="array" ref="F222">J222-D222</f>
        <v/>
      </c>
      <c r="G222" s="80">
        <f t="array" ref="G222">K222-E222</f>
        <v/>
      </c>
      <c r="H222" s="79">
        <f t="array" ref="H222">E222+D222</f>
        <v/>
      </c>
      <c r="I222" s="79">
        <f t="array" ref="I222">G222+F222</f>
        <v/>
      </c>
      <c r="J222" s="102" t="n"/>
      <c r="K222" s="102" t="n"/>
      <c r="L222" s="226" t="n">
        <v>0.0370450654</v>
      </c>
    </row>
    <row r="223" ht="20.05" customHeight="1" s="215">
      <c r="A223" s="3" t="n"/>
      <c r="B223" s="161">
        <f t="array" ref="B223">$B224-1</f>
        <v/>
      </c>
      <c r="C223" s="225" t="n">
        <v>49000</v>
      </c>
      <c r="D223" s="102" t="n"/>
      <c r="E223" s="102" t="n"/>
      <c r="F223" s="80">
        <f t="array" ref="F223">J223-D223</f>
        <v/>
      </c>
      <c r="G223" s="80">
        <f t="array" ref="G223">K223-E223</f>
        <v/>
      </c>
      <c r="H223" s="79">
        <f t="array" ref="H223">E223+D223</f>
        <v/>
      </c>
      <c r="I223" s="79">
        <f t="array" ref="I223">G223+F223</f>
        <v/>
      </c>
      <c r="J223" s="102" t="n"/>
      <c r="K223" s="102" t="n"/>
      <c r="L223" s="226" t="n">
        <v>0.0321135485</v>
      </c>
    </row>
    <row r="224" ht="20.05" customHeight="1" s="215">
      <c r="A224" s="3" t="n"/>
      <c r="B224" s="161">
        <f t="array" ref="B224">$B225-1</f>
        <v/>
      </c>
      <c r="C224" s="225" t="n">
        <v>47000</v>
      </c>
      <c r="D224" s="102" t="n"/>
      <c r="E224" s="102" t="n"/>
      <c r="F224" s="80">
        <f t="array" ref="F224">J224-D224</f>
        <v/>
      </c>
      <c r="G224" s="80">
        <f t="array" ref="G224">K224-E224</f>
        <v/>
      </c>
      <c r="H224" s="79">
        <f t="array" ref="H224">E224+D224</f>
        <v/>
      </c>
      <c r="I224" s="79">
        <f t="array" ref="I224">G224+F224</f>
        <v/>
      </c>
      <c r="J224" s="102" t="n"/>
      <c r="K224" s="102" t="n"/>
      <c r="L224" s="226" t="n">
        <v>0.0272761503</v>
      </c>
    </row>
    <row r="225" ht="20.05" customHeight="1" s="215">
      <c r="A225" s="3" t="n"/>
      <c r="B225" s="161">
        <f t="array" ref="B225">$B226-1</f>
        <v/>
      </c>
      <c r="C225" s="225" t="n">
        <v>53000</v>
      </c>
      <c r="D225" s="102" t="n"/>
      <c r="E225" s="102" t="n"/>
      <c r="F225" s="80">
        <f t="array" ref="F225">J225-D225</f>
        <v/>
      </c>
      <c r="G225" s="80">
        <f t="array" ref="G225">K225-E225</f>
        <v/>
      </c>
      <c r="H225" s="79">
        <f t="array" ref="H225">E225+D225</f>
        <v/>
      </c>
      <c r="I225" s="79">
        <f t="array" ref="I225">G225+F225</f>
        <v/>
      </c>
      <c r="J225" s="102" t="n"/>
      <c r="K225" s="102" t="n"/>
      <c r="L225" s="226" t="n">
        <v>0.0226994169</v>
      </c>
    </row>
    <row r="226" ht="20.05" customHeight="1" s="215">
      <c r="A226" s="3" t="n"/>
      <c r="B226" s="161">
        <f t="array" ref="B226">$B227-1</f>
        <v/>
      </c>
      <c r="C226" s="225" t="n">
        <v>58000</v>
      </c>
      <c r="D226" s="102" t="n"/>
      <c r="E226" s="102" t="n"/>
      <c r="F226" s="80">
        <f t="array" ref="F226">J226-D226</f>
        <v/>
      </c>
      <c r="G226" s="80">
        <f t="array" ref="G226">K226-E226</f>
        <v/>
      </c>
      <c r="H226" s="79">
        <f t="array" ref="H226">E226+D226</f>
        <v/>
      </c>
      <c r="I226" s="79">
        <f t="array" ref="I226">G226+F226</f>
        <v/>
      </c>
      <c r="J226" s="102" t="n"/>
      <c r="K226" s="102" t="n"/>
      <c r="L226" s="226" t="n">
        <v>0.0185090093</v>
      </c>
    </row>
    <row r="227" ht="20.05" customHeight="1" s="215">
      <c r="A227" s="3" t="n"/>
      <c r="B227" s="161">
        <f t="array" ref="B227">$B228-1</f>
        <v/>
      </c>
      <c r="C227" s="225" t="n">
        <v>62000</v>
      </c>
      <c r="D227" s="102" t="n"/>
      <c r="E227" s="102" t="n"/>
      <c r="F227" s="80">
        <f t="array" ref="F227">J227-D227</f>
        <v/>
      </c>
      <c r="G227" s="80">
        <f t="array" ref="G227">K227-E227</f>
        <v/>
      </c>
      <c r="H227" s="79">
        <f t="array" ref="H227">E227+D227</f>
        <v/>
      </c>
      <c r="I227" s="79">
        <f t="array" ref="I227">G227+F227</f>
        <v/>
      </c>
      <c r="J227" s="102" t="n"/>
      <c r="K227" s="102" t="n"/>
      <c r="L227" s="226" t="n">
        <v>0.0147872867</v>
      </c>
    </row>
    <row r="228" ht="20.05" customHeight="1" s="215">
      <c r="A228" s="3" t="n"/>
      <c r="B228" s="161">
        <f t="array" ref="B228">$B229-1</f>
        <v/>
      </c>
      <c r="C228" s="225" t="n">
        <v>67000</v>
      </c>
      <c r="D228" s="102" t="n"/>
      <c r="E228" s="102" t="n"/>
      <c r="F228" s="80">
        <f t="array" ref="F228">J228-D228</f>
        <v/>
      </c>
      <c r="G228" s="80">
        <f t="array" ref="G228">K228-E228</f>
        <v/>
      </c>
      <c r="H228" s="79">
        <f t="array" ref="H228">E228+D228</f>
        <v/>
      </c>
      <c r="I228" s="79">
        <f t="array" ref="I228">G228+F228</f>
        <v/>
      </c>
      <c r="J228" s="102" t="n"/>
      <c r="K228" s="102" t="n"/>
      <c r="L228" s="226" t="n">
        <v>0.0115752575</v>
      </c>
    </row>
    <row r="229" ht="20.05" customHeight="1" s="215">
      <c r="A229" s="3" t="n"/>
      <c r="B229" s="161">
        <f t="array" ref="B229">$B230-1</f>
        <v/>
      </c>
      <c r="C229" s="225" t="n">
        <v>58000</v>
      </c>
      <c r="D229" s="102" t="n"/>
      <c r="E229" s="102" t="n"/>
      <c r="F229" s="80">
        <f t="array" ref="F229">J229-D229</f>
        <v/>
      </c>
      <c r="G229" s="80">
        <f t="array" ref="G229">K229-E229</f>
        <v/>
      </c>
      <c r="H229" s="79">
        <f t="array" ref="H229">E229+D229</f>
        <v/>
      </c>
      <c r="I229" s="79">
        <f t="array" ref="I229">G229+F229</f>
        <v/>
      </c>
      <c r="J229" s="102" t="n"/>
      <c r="K229" s="102" t="n"/>
      <c r="L229" s="226" t="n">
        <v>0.008877888299999999</v>
      </c>
    </row>
    <row r="230" ht="20.05" customHeight="1" s="215">
      <c r="A230" s="3" t="n"/>
      <c r="B230" s="161">
        <f t="array" ref="B230">$B231-1</f>
        <v/>
      </c>
      <c r="C230" s="225" t="n">
        <v>56000</v>
      </c>
      <c r="D230" s="102" t="n"/>
      <c r="E230" s="102" t="n"/>
      <c r="F230" s="80">
        <f t="array" ref="F230">J230-D230</f>
        <v/>
      </c>
      <c r="G230" s="80">
        <f t="array" ref="G230">K230-E230</f>
        <v/>
      </c>
      <c r="H230" s="79">
        <f t="array" ref="H230">E230+D230</f>
        <v/>
      </c>
      <c r="I230" s="79">
        <f t="array" ref="I230">G230+F230</f>
        <v/>
      </c>
      <c r="J230" s="102" t="n"/>
      <c r="K230" s="102" t="n"/>
      <c r="L230" s="226" t="n">
        <v>0.0066715315</v>
      </c>
    </row>
    <row r="231" ht="20.05" customHeight="1" s="215">
      <c r="A231" s="3" t="n"/>
      <c r="B231" s="161">
        <f t="array" ref="B231">$B232-1</f>
        <v/>
      </c>
      <c r="C231" s="225" t="n">
        <v>57000</v>
      </c>
      <c r="D231" s="102" t="n"/>
      <c r="E231" s="102" t="n"/>
      <c r="F231" s="80">
        <f t="array" ref="F231">J231-D231</f>
        <v/>
      </c>
      <c r="G231" s="80">
        <f t="array" ref="G231">K231-E231</f>
        <v/>
      </c>
      <c r="H231" s="79">
        <f t="array" ref="H231">E231+D231</f>
        <v/>
      </c>
      <c r="I231" s="79">
        <f t="array" ref="I231">G231+F231</f>
        <v/>
      </c>
      <c r="J231" s="102" t="n"/>
      <c r="K231" s="102" t="n"/>
      <c r="L231" s="226" t="n">
        <v>0.004912225</v>
      </c>
    </row>
    <row r="232" ht="20.05" customHeight="1" s="215">
      <c r="A232" s="3" t="n"/>
      <c r="B232" s="161">
        <f t="array" ref="B232">$B233-1</f>
        <v/>
      </c>
      <c r="C232" s="225" t="n">
        <v>62000</v>
      </c>
      <c r="D232" s="102" t="n"/>
      <c r="E232" s="102" t="n"/>
      <c r="F232" s="80">
        <f t="array" ref="F232">J232-D232</f>
        <v/>
      </c>
      <c r="G232" s="80">
        <f t="array" ref="G232">K232-E232</f>
        <v/>
      </c>
      <c r="H232" s="79">
        <f t="array" ref="H232">E232+D232</f>
        <v/>
      </c>
      <c r="I232" s="79">
        <f t="array" ref="I232">G232+F232</f>
        <v/>
      </c>
      <c r="J232" s="102" t="n"/>
      <c r="K232" s="102" t="n"/>
      <c r="L232" s="226" t="n">
        <v>0.0035437886</v>
      </c>
    </row>
    <row r="233" ht="20.05" customHeight="1" s="215">
      <c r="A233" s="3" t="n"/>
      <c r="B233" s="161">
        <f t="array" ref="B233">$B234-1</f>
        <v/>
      </c>
      <c r="C233" s="225" t="n">
        <v>62000</v>
      </c>
      <c r="D233" s="102" t="n"/>
      <c r="E233" s="102" t="n"/>
      <c r="F233" s="80">
        <f t="array" ref="F233">J233-D233</f>
        <v/>
      </c>
      <c r="G233" s="80">
        <f t="array" ref="G233">K233-E233</f>
        <v/>
      </c>
      <c r="H233" s="79">
        <f t="array" ref="H233">E233+D233</f>
        <v/>
      </c>
      <c r="I233" s="79">
        <f t="array" ref="I233">G233+F233</f>
        <v/>
      </c>
      <c r="J233" s="102" t="n"/>
      <c r="K233" s="102" t="n"/>
      <c r="L233" s="226" t="n">
        <v>0.002504922</v>
      </c>
    </row>
    <row r="234" ht="20.05" customHeight="1" s="215">
      <c r="A234" s="3" t="n"/>
      <c r="B234" s="161">
        <f t="array" ref="B234">$B235-1</f>
        <v/>
      </c>
      <c r="C234" s="225" t="n">
        <v>64000</v>
      </c>
      <c r="D234" s="102" t="n"/>
      <c r="E234" s="102" t="n"/>
      <c r="F234" s="80">
        <f t="array" ref="F234">J234-D234</f>
        <v/>
      </c>
      <c r="G234" s="80">
        <f t="array" ref="G234">K234-E234</f>
        <v/>
      </c>
      <c r="H234" s="79">
        <f t="array" ref="H234">E234+D234</f>
        <v/>
      </c>
      <c r="I234" s="79">
        <f t="array" ref="I234">G234+F234</f>
        <v/>
      </c>
      <c r="J234" s="102" t="n"/>
      <c r="K234" s="102" t="n"/>
      <c r="L234" s="226" t="n">
        <v>0.0017348322</v>
      </c>
    </row>
    <row r="235" ht="20.05" customHeight="1" s="215">
      <c r="A235" s="3" t="n"/>
      <c r="B235" s="161">
        <f t="array" ref="B235">$B236-1</f>
        <v/>
      </c>
      <c r="C235" s="225" t="n">
        <v>61000</v>
      </c>
      <c r="D235" s="102" t="n"/>
      <c r="E235" s="102" t="n"/>
      <c r="F235" s="80">
        <f t="array" ref="F235">J235-D235</f>
        <v/>
      </c>
      <c r="G235" s="80">
        <f t="array" ref="G235">K235-E235</f>
        <v/>
      </c>
      <c r="H235" s="79">
        <f t="array" ref="H235">E235+D235</f>
        <v/>
      </c>
      <c r="I235" s="79">
        <f t="array" ref="I235">G235+F235</f>
        <v/>
      </c>
      <c r="J235" s="102" t="n"/>
      <c r="K235" s="102" t="n"/>
      <c r="L235" s="226" t="n">
        <v>0.0011772198</v>
      </c>
    </row>
    <row r="236" ht="20.05" customHeight="1" s="215">
      <c r="A236" s="3" t="n"/>
      <c r="B236" s="161">
        <f t="array" ref="B236">$B237-1</f>
        <v/>
      </c>
      <c r="C236" s="225" t="n">
        <v>55000</v>
      </c>
      <c r="D236" s="102" t="n"/>
      <c r="E236" s="102" t="n"/>
      <c r="F236" s="80">
        <f t="array" ref="F236">J236-D236</f>
        <v/>
      </c>
      <c r="G236" s="80">
        <f t="array" ref="G236">K236-E236</f>
        <v/>
      </c>
      <c r="H236" s="79">
        <f t="array" ref="H236">E236+D236</f>
        <v/>
      </c>
      <c r="I236" s="79">
        <f t="array" ref="I236">G236+F236</f>
        <v/>
      </c>
      <c r="J236" s="102" t="n"/>
      <c r="K236" s="102" t="n"/>
      <c r="L236" s="226" t="n">
        <v>0.0007826985</v>
      </c>
    </row>
    <row r="237" ht="20.05" customHeight="1" s="215">
      <c r="A237" s="3" t="n"/>
      <c r="B237" s="161">
        <f t="array" ref="B237">$B238-1</f>
        <v/>
      </c>
      <c r="C237" s="225" t="n">
        <v>62000</v>
      </c>
      <c r="D237" s="102" t="n"/>
      <c r="E237" s="102" t="n"/>
      <c r="F237" s="80">
        <f t="array" ref="F237">J237-D237</f>
        <v/>
      </c>
      <c r="G237" s="80">
        <f t="array" ref="G237">K237-E237</f>
        <v/>
      </c>
      <c r="H237" s="79">
        <f t="array" ref="H237">E237+D237</f>
        <v/>
      </c>
      <c r="I237" s="79">
        <f t="array" ref="I237">G237+F237</f>
        <v/>
      </c>
      <c r="J237" s="102" t="n"/>
      <c r="K237" s="102" t="n"/>
      <c r="L237" s="226" t="n">
        <v>0.0005098804</v>
      </c>
    </row>
    <row r="238" ht="20.05" customHeight="1" s="215">
      <c r="A238" s="3" t="n"/>
      <c r="B238" s="161">
        <f t="array" ref="B238">$B239-1</f>
        <v/>
      </c>
      <c r="C238" s="225" t="n">
        <v>64000</v>
      </c>
      <c r="D238" s="102" t="n"/>
      <c r="E238" s="102" t="n"/>
      <c r="F238" s="80">
        <f t="array" ref="F238">J238-D238</f>
        <v/>
      </c>
      <c r="G238" s="80">
        <f t="array" ref="G238">K238-E238</f>
        <v/>
      </c>
      <c r="H238" s="79">
        <f t="array" ref="H238">E238+D238</f>
        <v/>
      </c>
      <c r="I238" s="79">
        <f t="array" ref="I238">G238+F238</f>
        <v/>
      </c>
      <c r="J238" s="102" t="n"/>
      <c r="K238" s="102" t="n"/>
      <c r="L238" s="226" t="n">
        <v>0.000325446</v>
      </c>
    </row>
    <row r="239" ht="20.05" customHeight="1" s="215">
      <c r="A239" s="3" t="n"/>
      <c r="B239" s="161">
        <f t="array" ref="B239">$B240-1</f>
        <v/>
      </c>
      <c r="C239" s="225" t="n">
        <v>63000</v>
      </c>
      <c r="D239" s="102" t="n"/>
      <c r="E239" s="102" t="n"/>
      <c r="F239" s="80">
        <f t="array" ref="F239">J239-D239</f>
        <v/>
      </c>
      <c r="G239" s="80">
        <f t="array" ref="G239">K239-E239</f>
        <v/>
      </c>
      <c r="H239" s="79">
        <f t="array" ref="H239">E239+D239</f>
        <v/>
      </c>
      <c r="I239" s="79">
        <f t="array" ref="I239">G239+F239</f>
        <v/>
      </c>
      <c r="J239" s="102" t="n"/>
      <c r="K239" s="102" t="n"/>
      <c r="L239" s="226" t="n">
        <v>0.0002035291</v>
      </c>
    </row>
    <row r="240" ht="20.05" customHeight="1" s="215">
      <c r="A240" s="3" t="n"/>
      <c r="B240" s="161">
        <f t="array" ref="B240">$B241-1</f>
        <v/>
      </c>
      <c r="C240" s="225" t="n">
        <v>62000</v>
      </c>
      <c r="D240" s="102" t="n"/>
      <c r="E240" s="102" t="n"/>
      <c r="F240" s="80">
        <f t="array" ref="F240">J240-D240</f>
        <v/>
      </c>
      <c r="G240" s="80">
        <f t="array" ref="G240">K240-E240</f>
        <v/>
      </c>
      <c r="H240" s="79">
        <f t="array" ref="H240">E240+D240</f>
        <v/>
      </c>
      <c r="I240" s="79">
        <f t="array" ref="I240">G240+F240</f>
        <v/>
      </c>
      <c r="J240" s="102" t="n"/>
      <c r="K240" s="102" t="n"/>
      <c r="L240" s="226" t="n">
        <v>0.0001247127</v>
      </c>
    </row>
    <row r="241" ht="20.05" customHeight="1" s="215">
      <c r="A241" s="3" t="n"/>
      <c r="B241" s="161">
        <f t="array" ref="B241">$B242-1</f>
        <v/>
      </c>
      <c r="C241" s="225" t="n">
        <v>62000</v>
      </c>
      <c r="D241" s="102" t="n"/>
      <c r="E241" s="102" t="n"/>
      <c r="F241" s="80">
        <f t="array" ref="F241">J241-D241</f>
        <v/>
      </c>
      <c r="G241" s="80">
        <f t="array" ref="G241">K241-E241</f>
        <v/>
      </c>
      <c r="H241" s="79">
        <f t="array" ref="H241">E241+D241</f>
        <v/>
      </c>
      <c r="I241" s="79">
        <f t="array" ref="I241">G241+F241</f>
        <v/>
      </c>
      <c r="J241" s="102" t="n"/>
      <c r="K241" s="102" t="n"/>
      <c r="L241" s="226" t="n"/>
    </row>
    <row r="242" ht="20.05" customHeight="1" s="215">
      <c r="A242" s="3" t="n"/>
      <c r="B242" s="161">
        <f t="array" ref="B242">$B243-1</f>
        <v/>
      </c>
      <c r="C242" s="225" t="n">
        <v>66000</v>
      </c>
      <c r="D242" s="102" t="n"/>
      <c r="E242" s="102" t="n"/>
      <c r="F242" s="80">
        <f t="array" ref="F242">J242-D242</f>
        <v/>
      </c>
      <c r="G242" s="80">
        <f t="array" ref="G242">K242-E242</f>
        <v/>
      </c>
      <c r="H242" s="79">
        <f t="array" ref="H242">E242+D242</f>
        <v/>
      </c>
      <c r="I242" s="79">
        <f t="array" ref="I242">G242+F242</f>
        <v/>
      </c>
      <c r="J242" s="102" t="n"/>
      <c r="K242" s="102" t="n"/>
      <c r="L242" s="226" t="n"/>
    </row>
    <row r="243" ht="20.05" customHeight="1" s="215">
      <c r="A243" s="3" t="n"/>
      <c r="B243" s="161">
        <f t="array" ref="B243">$B244-1</f>
        <v/>
      </c>
      <c r="C243" s="225" t="n">
        <v>72000</v>
      </c>
      <c r="D243" s="102" t="n"/>
      <c r="E243" s="102" t="n"/>
      <c r="F243" s="80">
        <f t="array" ref="F243">J243-D243</f>
        <v/>
      </c>
      <c r="G243" s="80">
        <f t="array" ref="G243">K243-E243</f>
        <v/>
      </c>
      <c r="H243" s="79">
        <f t="array" ref="H243">E243+D243</f>
        <v/>
      </c>
      <c r="I243" s="79">
        <f t="array" ref="I243">G243+F243</f>
        <v/>
      </c>
      <c r="J243" s="102" t="n"/>
      <c r="K243" s="102" t="n"/>
      <c r="L243" s="226" t="n"/>
    </row>
    <row r="244" ht="20.05" customHeight="1" s="215">
      <c r="A244" s="3" t="n"/>
      <c r="B244" s="161">
        <f t="array" ref="B244">$B245-1</f>
        <v/>
      </c>
      <c r="C244" s="225" t="n">
        <v>64000</v>
      </c>
      <c r="D244" s="102" t="n"/>
      <c r="E244" s="102" t="n"/>
      <c r="F244" s="80">
        <f t="array" ref="F244">J244-D244</f>
        <v/>
      </c>
      <c r="G244" s="80">
        <f t="array" ref="G244">K244-E244</f>
        <v/>
      </c>
      <c r="H244" s="79">
        <f t="array" ref="H244">E244+D244</f>
        <v/>
      </c>
      <c r="I244" s="79">
        <f t="array" ref="I244">G244+F244</f>
        <v/>
      </c>
      <c r="J244" s="102" t="n"/>
      <c r="K244" s="102" t="n"/>
      <c r="L244" s="226" t="n"/>
    </row>
    <row r="245" ht="20.05" customHeight="1" s="215">
      <c r="A245" s="3" t="n"/>
      <c r="B245" s="161">
        <f t="array" ref="B245">$B246-1</f>
        <v/>
      </c>
      <c r="C245" s="225" t="n">
        <v>62000</v>
      </c>
      <c r="D245" s="102" t="n"/>
      <c r="E245" s="102" t="n"/>
      <c r="F245" s="80">
        <f t="array" ref="F245">J245-D245</f>
        <v/>
      </c>
      <c r="G245" s="80">
        <f t="array" ref="G245">K245-E245</f>
        <v/>
      </c>
      <c r="H245" s="79">
        <f t="array" ref="H245">E245+D245</f>
        <v/>
      </c>
      <c r="I245" s="79">
        <f t="array" ref="I245">G245+F245</f>
        <v/>
      </c>
      <c r="J245" s="102" t="n"/>
      <c r="K245" s="102" t="n"/>
      <c r="L245" s="226" t="n"/>
    </row>
    <row r="246" ht="20.05" customHeight="1" s="215">
      <c r="A246" s="3" t="n"/>
      <c r="B246" s="161">
        <f t="array" ref="B246">$B247-1</f>
        <v/>
      </c>
      <c r="C246" s="225" t="n">
        <v>59000</v>
      </c>
      <c r="D246" s="102" t="n"/>
      <c r="E246" s="102" t="n"/>
      <c r="F246" s="80">
        <f t="array" ref="F246">J246-D246</f>
        <v/>
      </c>
      <c r="G246" s="80">
        <f t="array" ref="G246">K246-E246</f>
        <v/>
      </c>
      <c r="H246" s="79">
        <f t="array" ref="H246">E246+D246</f>
        <v/>
      </c>
      <c r="I246" s="79">
        <f t="array" ref="I246">G246+F246</f>
        <v/>
      </c>
      <c r="J246" s="102" t="n"/>
      <c r="K246" s="102" t="n"/>
      <c r="L246" s="226" t="n"/>
    </row>
    <row r="247" ht="20.05" customHeight="1" s="215">
      <c r="A247" s="3" t="n"/>
      <c r="B247" s="161">
        <f t="array" ref="B247">$B248-1</f>
        <v/>
      </c>
      <c r="C247" s="225" t="n">
        <v>61000</v>
      </c>
      <c r="D247" s="102" t="n"/>
      <c r="E247" s="102" t="n"/>
      <c r="F247" s="80">
        <f t="array" ref="F247">J247-D247</f>
        <v/>
      </c>
      <c r="G247" s="80">
        <f t="array" ref="G247">K247-E247</f>
        <v/>
      </c>
      <c r="H247" s="79">
        <f t="array" ref="H247">E247+D247</f>
        <v/>
      </c>
      <c r="I247" s="79">
        <f t="array" ref="I247">G247+F247</f>
        <v/>
      </c>
      <c r="J247" s="102" t="n"/>
      <c r="K247" s="102" t="n"/>
      <c r="L247" s="226" t="n"/>
    </row>
    <row r="248" ht="20.05" customHeight="1" s="215">
      <c r="A248" s="3" t="n"/>
      <c r="B248" s="161">
        <f t="array" ref="B248">$B249-1</f>
        <v/>
      </c>
      <c r="C248" s="225" t="n">
        <v>61000</v>
      </c>
      <c r="D248" s="102" t="n"/>
      <c r="E248" s="102" t="n"/>
      <c r="F248" s="80">
        <f t="array" ref="F248">J248-D248</f>
        <v/>
      </c>
      <c r="G248" s="80">
        <f t="array" ref="G248">K248-E248</f>
        <v/>
      </c>
      <c r="H248" s="79">
        <f t="array" ref="H248">E248+D248</f>
        <v/>
      </c>
      <c r="I248" s="79">
        <f t="array" ref="I248">G248+F248</f>
        <v/>
      </c>
      <c r="J248" s="102" t="n"/>
      <c r="K248" s="102" t="n"/>
      <c r="L248" s="226" t="n"/>
    </row>
    <row r="249" ht="20.05" customHeight="1" s="215">
      <c r="A249" s="3" t="n"/>
      <c r="B249" s="161">
        <f t="array" ref="B249">$B250-1</f>
        <v/>
      </c>
      <c r="C249" s="225" t="n">
        <v>64000</v>
      </c>
      <c r="D249" s="102" t="n"/>
      <c r="E249" s="102" t="n"/>
      <c r="F249" s="80">
        <f t="array" ref="F249">J249-D249</f>
        <v/>
      </c>
      <c r="G249" s="80">
        <f t="array" ref="G249">K249-E249</f>
        <v/>
      </c>
      <c r="H249" s="79">
        <f t="array" ref="H249">E249+D249</f>
        <v/>
      </c>
      <c r="I249" s="79">
        <f t="array" ref="I249">G249+F249</f>
        <v/>
      </c>
      <c r="J249" s="102" t="n"/>
      <c r="K249" s="102" t="n"/>
      <c r="L249" s="226" t="n"/>
    </row>
    <row r="250" ht="20.05" customHeight="1" s="215">
      <c r="A250" s="3" t="n"/>
      <c r="B250" s="161">
        <f t="array" ref="B250">$B251-1</f>
        <v/>
      </c>
      <c r="C250" s="225" t="n">
        <v>72000</v>
      </c>
      <c r="D250" s="102" t="n"/>
      <c r="E250" s="102" t="n"/>
      <c r="F250" s="80">
        <f t="array" ref="F250">J250-D250</f>
        <v/>
      </c>
      <c r="G250" s="80">
        <f t="array" ref="G250">K250-E250</f>
        <v/>
      </c>
      <c r="H250" s="79">
        <f t="array" ref="H250">E250+D250</f>
        <v/>
      </c>
      <c r="I250" s="79">
        <f t="array" ref="I250">G250+F250</f>
        <v/>
      </c>
      <c r="J250" s="102" t="n"/>
      <c r="K250" s="102" t="n"/>
      <c r="L250" s="226" t="n"/>
    </row>
    <row r="251" ht="20.05" customHeight="1" s="215">
      <c r="A251" s="3" t="n"/>
      <c r="B251" s="161">
        <f t="array" ref="B251">$B252-1</f>
        <v/>
      </c>
      <c r="C251" s="225" t="n">
        <v>69000</v>
      </c>
      <c r="D251" s="102" t="n"/>
      <c r="E251" s="102" t="n"/>
      <c r="F251" s="80">
        <f t="array" ref="F251">J251-D251</f>
        <v/>
      </c>
      <c r="G251" s="80">
        <f t="array" ref="G251">K251-E251</f>
        <v/>
      </c>
      <c r="H251" s="79">
        <f t="array" ref="H251">E251+D251</f>
        <v/>
      </c>
      <c r="I251" s="79">
        <f t="array" ref="I251">G251+F251</f>
        <v/>
      </c>
      <c r="J251" s="102" t="n"/>
      <c r="K251" s="102" t="n"/>
      <c r="L251" s="226" t="n"/>
    </row>
    <row r="252" ht="20.05" customHeight="1" s="215">
      <c r="A252" s="3" t="n"/>
      <c r="B252" s="161">
        <f t="array" ref="B252">$B253-1</f>
        <v/>
      </c>
      <c r="C252" s="225" t="n">
        <v>71000</v>
      </c>
      <c r="D252" s="102" t="n"/>
      <c r="E252" s="102" t="n"/>
      <c r="F252" s="80">
        <f t="array" ref="F252">J252-D252</f>
        <v/>
      </c>
      <c r="G252" s="80">
        <f t="array" ref="G252">K252-E252</f>
        <v/>
      </c>
      <c r="H252" s="79">
        <f t="array" ref="H252">E252+D252</f>
        <v/>
      </c>
      <c r="I252" s="79">
        <f t="array" ref="I252">G252+F252</f>
        <v/>
      </c>
      <c r="J252" s="102" t="n"/>
      <c r="K252" s="102" t="n"/>
      <c r="L252" s="226" t="n"/>
    </row>
    <row r="253" ht="20.05" customHeight="1" s="215">
      <c r="A253" s="3" t="n"/>
      <c r="B253" s="161">
        <f t="array" ref="B253">$B254-1</f>
        <v/>
      </c>
      <c r="C253" s="225" t="n">
        <v>74000</v>
      </c>
      <c r="D253" s="102" t="n"/>
      <c r="E253" s="102" t="n"/>
      <c r="F253" s="80">
        <f t="array" ref="F253">J253-D253</f>
        <v/>
      </c>
      <c r="G253" s="80">
        <f t="array" ref="G253">K253-E253</f>
        <v/>
      </c>
      <c r="H253" s="79">
        <f t="array" ref="H253">E253+D253</f>
        <v/>
      </c>
      <c r="I253" s="79">
        <f t="array" ref="I253">G253+F253</f>
        <v/>
      </c>
      <c r="J253" s="102" t="n"/>
      <c r="K253" s="102" t="n"/>
      <c r="L253" s="226" t="n"/>
    </row>
    <row r="254" ht="20.05" customHeight="1" s="215">
      <c r="A254" s="3" t="n"/>
      <c r="B254" s="161">
        <f t="array" ref="B254">$B255-1</f>
        <v/>
      </c>
      <c r="C254" s="225" t="n">
        <v>75000</v>
      </c>
      <c r="D254" s="102" t="n"/>
      <c r="E254" s="102" t="n"/>
      <c r="F254" s="80">
        <f t="array" ref="F254">J254-D254</f>
        <v/>
      </c>
      <c r="G254" s="80">
        <f t="array" ref="G254">K254-E254</f>
        <v/>
      </c>
      <c r="H254" s="79">
        <f t="array" ref="H254">E254+D254</f>
        <v/>
      </c>
      <c r="I254" s="79">
        <f t="array" ref="I254">G254+F254</f>
        <v/>
      </c>
      <c r="J254" s="102" t="n"/>
      <c r="K254" s="102" t="n"/>
      <c r="L254" s="226" t="n"/>
    </row>
    <row r="255" ht="20.05" customHeight="1" s="215">
      <c r="A255" s="3" t="n"/>
      <c r="B255" s="161">
        <f t="array" ref="B255">$B256-1</f>
        <v/>
      </c>
      <c r="C255" s="225" t="n">
        <v>79000</v>
      </c>
      <c r="D255" s="102" t="n"/>
      <c r="E255" s="102" t="n"/>
      <c r="F255" s="80">
        <f t="array" ref="F255">J255-D255</f>
        <v/>
      </c>
      <c r="G255" s="80">
        <f t="array" ref="G255">K255-E255</f>
        <v/>
      </c>
      <c r="H255" s="79">
        <f t="array" ref="H255">E255+D255</f>
        <v/>
      </c>
      <c r="I255" s="79">
        <f t="array" ref="I255">G255+F255</f>
        <v/>
      </c>
      <c r="J255" s="102" t="n"/>
      <c r="K255" s="102" t="n"/>
      <c r="L255" s="226" t="n"/>
    </row>
    <row r="256" ht="20.05" customHeight="1" s="215">
      <c r="A256" s="3" t="n"/>
      <c r="B256" s="161">
        <f t="array" ref="B256">$B257-1</f>
        <v/>
      </c>
      <c r="C256" s="79">
        <f t="array" ref="C256">H256+I256</f>
        <v/>
      </c>
      <c r="D256" s="225" t="n">
        <v>16853</v>
      </c>
      <c r="E256" s="225" t="n">
        <v>21654</v>
      </c>
      <c r="F256" s="80">
        <f t="array" ref="F256">J256-D256</f>
        <v/>
      </c>
      <c r="G256" s="80">
        <f t="array" ref="G256">K256-E256</f>
        <v/>
      </c>
      <c r="H256" s="79">
        <f t="array" ref="H256">E256+D256</f>
        <v/>
      </c>
      <c r="I256" s="79">
        <f t="array" ref="I256">G256+F256</f>
        <v/>
      </c>
      <c r="J256" s="225" t="n">
        <v>35490</v>
      </c>
      <c r="K256" s="225" t="n">
        <v>46705</v>
      </c>
      <c r="L256" s="226" t="n"/>
    </row>
    <row r="257" ht="20.05" customHeight="1" s="215">
      <c r="A257" s="3" t="n"/>
      <c r="B257" s="161">
        <f t="array" ref="B257">$B258-1</f>
        <v/>
      </c>
      <c r="C257" s="79">
        <f t="array" ref="C257">H257+I257</f>
        <v/>
      </c>
      <c r="D257" s="225" t="n">
        <v>17667</v>
      </c>
      <c r="E257" s="225" t="n">
        <v>22698</v>
      </c>
      <c r="F257" s="80">
        <f t="array" ref="F257">J257-D257</f>
        <v/>
      </c>
      <c r="G257" s="80">
        <f t="array" ref="G257">K257-E257</f>
        <v/>
      </c>
      <c r="H257" s="79">
        <f t="array" ref="H257">E257+D257</f>
        <v/>
      </c>
      <c r="I257" s="79">
        <f t="array" ref="I257">G257+F257</f>
        <v/>
      </c>
      <c r="J257" s="225" t="n">
        <v>38672</v>
      </c>
      <c r="K257" s="225" t="n">
        <v>53273</v>
      </c>
      <c r="L257" s="226" t="n"/>
    </row>
    <row r="258" ht="20.05" customHeight="1" s="215">
      <c r="A258" s="3" t="n"/>
      <c r="B258" s="161">
        <f t="array" ref="B258">$B259-1</f>
        <v/>
      </c>
      <c r="C258" s="79">
        <f t="array" ref="C258">H258+I258</f>
        <v/>
      </c>
      <c r="D258" s="225" t="n">
        <v>16462</v>
      </c>
      <c r="E258" s="225" t="n">
        <v>21387</v>
      </c>
      <c r="F258" s="80">
        <f t="array" ref="F258">J258-D258</f>
        <v/>
      </c>
      <c r="G258" s="80">
        <f t="array" ref="G258">K258-E258</f>
        <v/>
      </c>
      <c r="H258" s="79">
        <f t="array" ref="H258">E258+D258</f>
        <v/>
      </c>
      <c r="I258" s="79">
        <f t="array" ref="I258">G258+F258</f>
        <v/>
      </c>
      <c r="J258" s="225" t="n">
        <v>35649</v>
      </c>
      <c r="K258" s="225" t="n">
        <v>46324</v>
      </c>
      <c r="L258" s="226" t="n"/>
    </row>
    <row r="259" ht="20.05" customHeight="1" s="215">
      <c r="A259" s="3" t="n"/>
      <c r="B259" s="161">
        <f t="array" ref="B259">$B260-1</f>
        <v/>
      </c>
      <c r="C259" s="79">
        <f t="array" ref="C259">H259+I259</f>
        <v/>
      </c>
      <c r="D259" s="225" t="n">
        <v>15657</v>
      </c>
      <c r="E259" s="225" t="n">
        <v>20121</v>
      </c>
      <c r="F259" s="80">
        <f t="array" ref="F259">J259-D259</f>
        <v/>
      </c>
      <c r="G259" s="80">
        <f t="array" ref="G259">K259-E259</f>
        <v/>
      </c>
      <c r="H259" s="79">
        <f t="array" ref="H259">E259+D259</f>
        <v/>
      </c>
      <c r="I259" s="79">
        <f t="array" ref="I259">G259+F259</f>
        <v/>
      </c>
      <c r="J259" s="225" t="n">
        <v>34878</v>
      </c>
      <c r="K259" s="225" t="n">
        <v>44411</v>
      </c>
      <c r="L259" s="226" t="n"/>
    </row>
    <row r="260" ht="20.05" customHeight="1" s="215">
      <c r="A260" s="3" t="n"/>
      <c r="B260" s="161">
        <f t="array" ref="B260">$B261-1</f>
        <v/>
      </c>
      <c r="C260" s="79">
        <f t="array" ref="C260">H260+I260</f>
        <v/>
      </c>
      <c r="D260" s="225" t="n">
        <v>15387</v>
      </c>
      <c r="E260" s="225" t="n">
        <v>20398</v>
      </c>
      <c r="F260" s="80">
        <f t="array" ref="F260">J260-D260</f>
        <v/>
      </c>
      <c r="G260" s="80">
        <f t="array" ref="G260">K260-E260</f>
        <v/>
      </c>
      <c r="H260" s="79">
        <f t="array" ref="H260">E260+D260</f>
        <v/>
      </c>
      <c r="I260" s="79">
        <f t="array" ref="I260">G260+F260</f>
        <v/>
      </c>
      <c r="J260" s="225" t="n">
        <v>34429</v>
      </c>
      <c r="K260" s="225" t="n">
        <v>44350</v>
      </c>
      <c r="L260" s="226" t="n"/>
    </row>
    <row r="261" ht="20.05" customHeight="1" s="215">
      <c r="A261" s="3" t="n"/>
      <c r="B261" s="161">
        <f t="array" ref="B261">$B262-1</f>
        <v/>
      </c>
      <c r="C261" s="79">
        <f t="array" ref="C261">H261+I261</f>
        <v/>
      </c>
      <c r="D261" s="225" t="n">
        <v>16095</v>
      </c>
      <c r="E261" s="225" t="n">
        <v>21319</v>
      </c>
      <c r="F261" s="80">
        <f t="array" ref="F261">J261-D261</f>
        <v/>
      </c>
      <c r="G261" s="80">
        <f t="array" ref="G261">K261-E261</f>
        <v/>
      </c>
      <c r="H261" s="79">
        <f t="array" ref="H261">E261+D261</f>
        <v/>
      </c>
      <c r="I261" s="79">
        <f t="array" ref="I261">G261+F261</f>
        <v/>
      </c>
      <c r="J261" s="225" t="n">
        <v>34777</v>
      </c>
      <c r="K261" s="225" t="n">
        <v>44200</v>
      </c>
      <c r="L261" s="226" t="n"/>
    </row>
    <row r="262" ht="20.05" customHeight="1" s="215">
      <c r="A262" s="3" t="n"/>
      <c r="B262" s="161">
        <f t="array" ref="B262">$B263-1</f>
        <v/>
      </c>
      <c r="C262" s="79">
        <f t="array" ref="C262">H262+I262</f>
        <v/>
      </c>
      <c r="D262" s="225" t="n">
        <v>17067</v>
      </c>
      <c r="E262" s="225" t="n">
        <v>22313</v>
      </c>
      <c r="F262" s="80">
        <f t="array" ref="F262">J262-D262</f>
        <v/>
      </c>
      <c r="G262" s="80">
        <f t="array" ref="G262">K262-E262</f>
        <v/>
      </c>
      <c r="H262" s="79">
        <f t="array" ref="H262">E262+D262</f>
        <v/>
      </c>
      <c r="I262" s="79">
        <f t="array" ref="I262">G262+F262</f>
        <v/>
      </c>
      <c r="J262" s="225" t="n">
        <v>36352</v>
      </c>
      <c r="K262" s="225" t="n">
        <v>46214</v>
      </c>
      <c r="L262" s="226" t="n"/>
    </row>
    <row r="263" ht="20.05" customHeight="1" s="215">
      <c r="A263" s="3" t="n"/>
      <c r="B263" s="161">
        <f t="array" ref="B263">$B264-1</f>
        <v/>
      </c>
      <c r="C263" s="79">
        <f t="array" ref="C263">H263+I263</f>
        <v/>
      </c>
      <c r="D263" s="225" t="n">
        <v>18408</v>
      </c>
      <c r="E263" s="225" t="n">
        <v>25223</v>
      </c>
      <c r="F263" s="80">
        <f t="array" ref="F263">J263-D263</f>
        <v/>
      </c>
      <c r="G263" s="80">
        <f t="array" ref="G263">K263-E263</f>
        <v/>
      </c>
      <c r="H263" s="79">
        <f t="array" ref="H263">E263+D263</f>
        <v/>
      </c>
      <c r="I263" s="79">
        <f t="array" ref="I263">G263+F263</f>
        <v/>
      </c>
      <c r="J263" s="225" t="n">
        <v>41099</v>
      </c>
      <c r="K263" s="225" t="n">
        <v>55819</v>
      </c>
      <c r="L263" s="226" t="n"/>
    </row>
    <row r="264" ht="20.05" customHeight="1" s="215">
      <c r="A264" s="3" t="n"/>
      <c r="B264" s="161">
        <f t="array" ref="B264">$B265-1</f>
        <v/>
      </c>
      <c r="C264" s="79">
        <f t="array" ref="C264">H264+I264</f>
        <v/>
      </c>
      <c r="D264" s="225" t="n">
        <v>19348</v>
      </c>
      <c r="E264" s="225" t="n">
        <v>26598</v>
      </c>
      <c r="F264" s="80">
        <f t="array" ref="F264">J264-D264</f>
        <v/>
      </c>
      <c r="G264" s="80">
        <f t="array" ref="G264">K264-E264</f>
        <v/>
      </c>
      <c r="H264" s="79">
        <f t="array" ref="H264">E264+D264</f>
        <v/>
      </c>
      <c r="I264" s="79">
        <f t="array" ref="I264">G264+F264</f>
        <v/>
      </c>
      <c r="J264" s="225" t="n">
        <v>44568</v>
      </c>
      <c r="K264" s="225" t="n">
        <v>60263</v>
      </c>
      <c r="L264" s="226" t="n"/>
    </row>
    <row r="265" ht="20.05" customHeight="1" s="215">
      <c r="A265" s="3" t="n"/>
      <c r="B265" s="161">
        <f t="array" ref="B265">$B266-1</f>
        <v/>
      </c>
      <c r="C265" s="79">
        <f t="array" ref="C265">H265+I265</f>
        <v/>
      </c>
      <c r="D265" s="225" t="n">
        <v>20053</v>
      </c>
      <c r="E265" s="225" t="n">
        <v>27324</v>
      </c>
      <c r="F265" s="80">
        <f t="array" ref="F265">J265-D265</f>
        <v/>
      </c>
      <c r="G265" s="80">
        <f t="array" ref="G265">K265-E265</f>
        <v/>
      </c>
      <c r="H265" s="79">
        <f t="array" ref="H265">E265+D265</f>
        <v/>
      </c>
      <c r="I265" s="79">
        <f t="array" ref="I265">G265+F265</f>
        <v/>
      </c>
      <c r="J265" s="225" t="n">
        <v>47327</v>
      </c>
      <c r="K265" s="225" t="n">
        <v>62908</v>
      </c>
      <c r="L265" s="226" t="n"/>
    </row>
    <row r="266" ht="20.05" customHeight="1" s="215">
      <c r="A266" s="3" t="n"/>
      <c r="B266" s="161">
        <f t="array" ref="B266">$B267-1</f>
        <v/>
      </c>
      <c r="C266" s="79">
        <f t="array" ref="C266">H266+I266</f>
        <v/>
      </c>
      <c r="D266" s="225" t="n">
        <v>23516</v>
      </c>
      <c r="E266" s="225" t="n">
        <v>30213</v>
      </c>
      <c r="F266" s="80">
        <f t="array" ref="F266">J266-D266</f>
        <v/>
      </c>
      <c r="G266" s="80">
        <f t="array" ref="G266">K266-E266</f>
        <v/>
      </c>
      <c r="H266" s="79">
        <f t="array" ref="H266">E266+D266</f>
        <v/>
      </c>
      <c r="I266" s="79">
        <f t="array" ref="I266">G266+F266</f>
        <v/>
      </c>
      <c r="J266" s="225" t="n">
        <v>52039</v>
      </c>
      <c r="K266" s="225" t="n">
        <v>67686</v>
      </c>
      <c r="L266" s="226" t="n"/>
    </row>
    <row r="267" ht="20.05" customHeight="1" s="215">
      <c r="A267" s="3" t="n"/>
      <c r="B267" s="161">
        <f t="array" ref="B267">$B268-1</f>
        <v/>
      </c>
      <c r="C267" s="79">
        <f t="array" ref="C267">H267+I267</f>
        <v/>
      </c>
      <c r="D267" s="225" t="n">
        <v>26273</v>
      </c>
      <c r="E267" s="225" t="n">
        <v>33032</v>
      </c>
      <c r="F267" s="80">
        <f t="array" ref="F267">J267-D267</f>
        <v/>
      </c>
      <c r="G267" s="80">
        <f t="array" ref="G267">K267-E267</f>
        <v/>
      </c>
      <c r="H267" s="79">
        <f t="array" ref="H267">E267+D267</f>
        <v/>
      </c>
      <c r="I267" s="79">
        <f t="array" ref="I267">G267+F267</f>
        <v/>
      </c>
      <c r="J267" s="225" t="n">
        <v>58563</v>
      </c>
      <c r="K267" s="225" t="n">
        <v>73907</v>
      </c>
      <c r="L267" s="226" t="n"/>
    </row>
    <row r="268" ht="20.05" customHeight="1" s="215">
      <c r="A268" s="3" t="n"/>
      <c r="B268" s="161">
        <f t="array" ref="B268">$B269-1</f>
        <v/>
      </c>
      <c r="C268" s="79">
        <f t="array" ref="C268">H268+I268</f>
        <v/>
      </c>
      <c r="D268" s="225" t="n">
        <v>24530</v>
      </c>
      <c r="E268" s="225" t="n">
        <v>31773</v>
      </c>
      <c r="F268" s="80">
        <f t="array" ref="F268">J268-D268</f>
        <v/>
      </c>
      <c r="G268" s="80">
        <f t="array" ref="G268">K268-E268</f>
        <v/>
      </c>
      <c r="H268" s="79">
        <f t="array" ref="H268">E268+D268</f>
        <v/>
      </c>
      <c r="I268" s="79">
        <f t="array" ref="I268">G268+F268</f>
        <v/>
      </c>
      <c r="J268" s="225" t="n">
        <v>54365</v>
      </c>
      <c r="K268" s="225" t="n">
        <v>68211</v>
      </c>
      <c r="L268" s="226" t="n"/>
    </row>
    <row r="269" ht="20.05" customHeight="1" s="215">
      <c r="A269" s="3" t="n"/>
      <c r="B269" s="161">
        <f t="array" ref="B269">$B270-1</f>
        <v/>
      </c>
      <c r="C269" s="79">
        <f t="array" ref="C269">H269+I269</f>
        <v/>
      </c>
      <c r="D269" s="225" t="n">
        <v>23036</v>
      </c>
      <c r="E269" s="225" t="n">
        <v>28179</v>
      </c>
      <c r="F269" s="80">
        <f t="array" ref="F269">J269-D269</f>
        <v/>
      </c>
      <c r="G269" s="80">
        <f t="array" ref="G269">K269-E269</f>
        <v/>
      </c>
      <c r="H269" s="79">
        <f t="array" ref="H269">E269+D269</f>
        <v/>
      </c>
      <c r="I269" s="79">
        <f t="array" ref="I269">G269+F269</f>
        <v/>
      </c>
      <c r="J269" s="225" t="n">
        <v>53261</v>
      </c>
      <c r="K269" s="225" t="n">
        <v>64518</v>
      </c>
      <c r="L269" s="226" t="n"/>
    </row>
    <row r="270" ht="20.05" customHeight="1" s="215">
      <c r="A270" s="3" t="n"/>
      <c r="B270" s="161">
        <f t="array" ref="B270">$B271-1</f>
        <v/>
      </c>
      <c r="C270" s="79">
        <f t="array" ref="C270">H270+I270</f>
        <v/>
      </c>
      <c r="D270" s="225" t="n">
        <v>18252</v>
      </c>
      <c r="E270" s="225" t="n">
        <v>21769</v>
      </c>
      <c r="F270" s="80">
        <f t="array" ref="F270">J270-D270</f>
        <v/>
      </c>
      <c r="G270" s="80">
        <f t="array" ref="G270">K270-E270</f>
        <v/>
      </c>
      <c r="H270" s="79">
        <f t="array" ref="H270">E270+D270</f>
        <v/>
      </c>
      <c r="I270" s="79">
        <f t="array" ref="I270">G270+F270</f>
        <v/>
      </c>
      <c r="J270" s="225" t="n">
        <v>50968</v>
      </c>
      <c r="K270" s="225" t="n">
        <v>60929</v>
      </c>
      <c r="L270" s="226" t="n"/>
    </row>
    <row r="271" ht="20.05" customHeight="1" s="215">
      <c r="A271" s="3" t="n"/>
      <c r="B271" s="161">
        <f t="array" ref="B271">$B272-1</f>
        <v/>
      </c>
      <c r="C271" s="79">
        <f t="array" ref="C271">H271+I271</f>
        <v/>
      </c>
      <c r="D271" s="225" t="n">
        <v>18703</v>
      </c>
      <c r="E271" s="225" t="n">
        <v>23026</v>
      </c>
      <c r="F271" s="80">
        <f t="array" ref="F271">J271-D271</f>
        <v/>
      </c>
      <c r="G271" s="80">
        <f t="array" ref="G271">K271-E271</f>
        <v/>
      </c>
      <c r="H271" s="79">
        <f t="array" ref="H271">E271+D271</f>
        <v/>
      </c>
      <c r="I271" s="79">
        <f t="array" ref="I271">G271+F271</f>
        <v/>
      </c>
      <c r="J271" s="225" t="n">
        <v>54287</v>
      </c>
      <c r="K271" s="225" t="n">
        <v>67064</v>
      </c>
      <c r="L271" s="226" t="n"/>
    </row>
    <row r="272" ht="20.05" customHeight="1" s="215">
      <c r="A272" s="3" t="n"/>
      <c r="B272" s="161">
        <f t="array" ref="B272">$B273-1</f>
        <v/>
      </c>
      <c r="C272" s="79">
        <f t="array" ref="C272">H272+I272</f>
        <v/>
      </c>
      <c r="D272" s="225" t="n">
        <v>21016</v>
      </c>
      <c r="E272" s="225" t="n">
        <v>24918</v>
      </c>
      <c r="F272" s="80">
        <f t="array" ref="F272">J272-D272</f>
        <v/>
      </c>
      <c r="G272" s="80">
        <f t="array" ref="G272">K272-E272</f>
        <v/>
      </c>
      <c r="H272" s="79">
        <f t="array" ref="H272">E272+D272</f>
        <v/>
      </c>
      <c r="I272" s="79">
        <f t="array" ref="I272">G272+F272</f>
        <v/>
      </c>
      <c r="J272" s="225" t="n">
        <v>61495</v>
      </c>
      <c r="K272" s="225" t="n">
        <v>71699</v>
      </c>
      <c r="L272" s="226" t="n"/>
    </row>
    <row r="273" ht="20.35" customHeight="1" s="215">
      <c r="A273" s="37" t="n"/>
      <c r="B273" s="162">
        <f t="array" ref="B273">$B274-1</f>
        <v/>
      </c>
      <c r="C273" s="106">
        <f t="array" ref="C273">H273+I273</f>
        <v/>
      </c>
      <c r="D273" s="233" t="n">
        <v>20245</v>
      </c>
      <c r="E273" s="233" t="n">
        <v>25182</v>
      </c>
      <c r="F273" s="164">
        <f t="array" ref="F273">J273-D273</f>
        <v/>
      </c>
      <c r="G273" s="164">
        <f t="array" ref="G273">K273-E273</f>
        <v/>
      </c>
      <c r="H273" s="106">
        <f t="array" ref="H273">E273+D273</f>
        <v/>
      </c>
      <c r="I273" s="106">
        <f t="array" ref="I273">G273+F273</f>
        <v/>
      </c>
      <c r="J273" s="233" t="n">
        <v>65729</v>
      </c>
      <c r="K273" s="233" t="n">
        <v>78762</v>
      </c>
      <c r="L273" s="226" t="n"/>
    </row>
    <row r="274" ht="20.7" customHeight="1" s="215">
      <c r="A274" s="12" t="n"/>
      <c r="B274" s="165">
        <f t="array" ref="B274">$B275-1</f>
        <v/>
      </c>
      <c r="C274" s="166">
        <f t="array" ref="C274">H274+I274</f>
        <v/>
      </c>
      <c r="D274" s="232" t="n">
        <v>20652</v>
      </c>
      <c r="E274" s="232" t="n">
        <v>23960</v>
      </c>
      <c r="F274" s="167">
        <f t="array" ref="F274">J274-D274</f>
        <v/>
      </c>
      <c r="G274" s="152">
        <f t="array" ref="G274">K274-E274</f>
        <v/>
      </c>
      <c r="H274" s="110">
        <f t="array" ref="H274">E274+D274</f>
        <v/>
      </c>
      <c r="I274" s="166">
        <f t="array" ref="I274">G274+F274</f>
        <v/>
      </c>
      <c r="J274" s="232" t="n">
        <v>68750</v>
      </c>
      <c r="K274" s="232" t="n">
        <v>76919</v>
      </c>
      <c r="L274" s="234" t="n"/>
    </row>
    <row r="275" ht="20.7" customHeight="1" s="215">
      <c r="A275" s="12" t="n"/>
      <c r="B275" s="165">
        <f t="array" ref="B275">$B276-1</f>
        <v/>
      </c>
      <c r="C275" s="166">
        <f t="array" ref="C275">H275+I275</f>
        <v/>
      </c>
      <c r="D275" s="232" t="n">
        <v>21051</v>
      </c>
      <c r="E275" s="232" t="n">
        <v>25572</v>
      </c>
      <c r="F275" s="167">
        <f t="array" ref="F275">J275-D275</f>
        <v/>
      </c>
      <c r="G275" s="152">
        <f t="array" ref="G275">K275-E275</f>
        <v/>
      </c>
      <c r="H275" s="110">
        <f t="array" ref="H275">E275+D275</f>
        <v/>
      </c>
      <c r="I275" s="166">
        <f t="array" ref="I275">G275+F275</f>
        <v/>
      </c>
      <c r="J275" s="232" t="n">
        <v>68432</v>
      </c>
      <c r="K275" s="232" t="n">
        <v>79430</v>
      </c>
      <c r="L275" s="169" t="n"/>
    </row>
    <row r="276" ht="20.7" customHeight="1" s="215">
      <c r="A276" s="12" t="n"/>
      <c r="B276" s="165">
        <f t="array" ref="B276">$B277-1</f>
        <v/>
      </c>
      <c r="C276" s="166">
        <f t="array" ref="C276">H276+I276</f>
        <v/>
      </c>
      <c r="D276" s="232" t="n">
        <v>21158</v>
      </c>
      <c r="E276" s="232" t="n">
        <v>25222</v>
      </c>
      <c r="F276" s="167">
        <f t="array" ref="F276">J276-D276</f>
        <v/>
      </c>
      <c r="G276" s="152">
        <f t="array" ref="G276">K276-E276</f>
        <v/>
      </c>
      <c r="H276" s="110">
        <f t="array" ref="H276">E276+D276</f>
        <v/>
      </c>
      <c r="I276" s="166">
        <f t="array" ref="I276">G276+F276</f>
        <v/>
      </c>
      <c r="J276" s="232" t="n">
        <v>69879</v>
      </c>
      <c r="K276" s="232" t="n">
        <v>79630</v>
      </c>
      <c r="L276" s="169" t="n"/>
    </row>
    <row r="277" ht="20.7" customHeight="1" s="215">
      <c r="A277" s="12" t="n"/>
      <c r="B277" s="165">
        <f t="array" ref="B277">$B278-1</f>
        <v/>
      </c>
      <c r="C277" s="166">
        <f t="array" ref="C277">H277+I277</f>
        <v/>
      </c>
      <c r="D277" s="232" t="n">
        <v>20632</v>
      </c>
      <c r="E277" s="232" t="n">
        <v>24610</v>
      </c>
      <c r="F277" s="167">
        <f t="array" ref="F277">J277-D277</f>
        <v/>
      </c>
      <c r="G277" s="152">
        <f t="array" ref="G277">K277-E277</f>
        <v/>
      </c>
      <c r="H277" s="110">
        <f t="array" ref="H277">E277+D277</f>
        <v/>
      </c>
      <c r="I277" s="166">
        <f t="array" ref="I277">G277+F277</f>
        <v/>
      </c>
      <c r="J277" s="232" t="n">
        <v>70993</v>
      </c>
      <c r="K277" s="232" t="n">
        <v>80552</v>
      </c>
      <c r="L277" s="169" t="n"/>
    </row>
    <row r="278" ht="20.7" customHeight="1" s="215">
      <c r="A278" s="12" t="n"/>
      <c r="B278" s="165">
        <f t="array" ref="B278">$B279-1</f>
        <v/>
      </c>
      <c r="C278" s="166">
        <f t="array" ref="C278">H278+I278</f>
        <v/>
      </c>
      <c r="D278" s="232" t="n">
        <v>19750</v>
      </c>
      <c r="E278" s="232" t="n">
        <v>23628</v>
      </c>
      <c r="F278" s="167">
        <f t="array" ref="F278">J278-D278</f>
        <v/>
      </c>
      <c r="G278" s="152">
        <f t="array" ref="G278">K278-E278</f>
        <v/>
      </c>
      <c r="H278" s="110">
        <f t="array" ref="H278">E278+D278</f>
        <v/>
      </c>
      <c r="I278" s="166">
        <f t="array" ref="I278">G278+F278</f>
        <v/>
      </c>
      <c r="J278" s="232" t="n">
        <v>72099</v>
      </c>
      <c r="K278" s="232" t="n">
        <v>82193</v>
      </c>
      <c r="L278" s="169" t="n"/>
    </row>
    <row r="279" ht="20.7" customHeight="1" s="215">
      <c r="A279" s="12" t="n"/>
      <c r="B279" s="165">
        <f t="array" ref="B279">$B280-1</f>
        <v/>
      </c>
      <c r="C279" s="166">
        <f t="array" ref="C279">H279+I279</f>
        <v/>
      </c>
      <c r="D279" s="232" t="n">
        <v>18967</v>
      </c>
      <c r="E279" s="232" t="n">
        <v>22466</v>
      </c>
      <c r="F279" s="167">
        <f t="array" ref="F279">J279-D279</f>
        <v/>
      </c>
      <c r="G279" s="152">
        <f t="array" ref="G279">K279-E279</f>
        <v/>
      </c>
      <c r="H279" s="110">
        <f t="array" ref="H279">E279+D279</f>
        <v/>
      </c>
      <c r="I279" s="166">
        <f t="array" ref="I279">G279+F279</f>
        <v/>
      </c>
      <c r="J279" s="232" t="n">
        <v>74364</v>
      </c>
      <c r="K279" s="232" t="n">
        <v>83002</v>
      </c>
      <c r="L279" s="169" t="n"/>
    </row>
    <row r="280" ht="20.7" customHeight="1" s="215">
      <c r="A280" s="12" t="n"/>
      <c r="B280" s="165">
        <f t="array" ref="B280">$B281-1</f>
        <v/>
      </c>
      <c r="C280" s="166">
        <f t="array" ref="C280">H280+I280</f>
        <v/>
      </c>
      <c r="D280" s="232" t="n">
        <v>18036</v>
      </c>
      <c r="E280" s="232" t="n">
        <v>21242</v>
      </c>
      <c r="F280" s="167">
        <f t="array" ref="F280">J280-D280</f>
        <v/>
      </c>
      <c r="G280" s="152">
        <f t="array" ref="G280">K280-E280</f>
        <v/>
      </c>
      <c r="H280" s="110">
        <f t="array" ref="H280">E280+D280</f>
        <v/>
      </c>
      <c r="I280" s="166">
        <f t="array" ref="I280">G280+F280</f>
        <v/>
      </c>
      <c r="J280" s="232" t="n">
        <v>75444</v>
      </c>
      <c r="K280" s="232" t="n">
        <v>85585</v>
      </c>
      <c r="L280" s="169" t="n"/>
    </row>
    <row r="281" ht="20.7" customHeight="1" s="215">
      <c r="A281" s="12" t="n"/>
      <c r="B281" s="165">
        <f t="array" ref="B281">$B282-1</f>
        <v/>
      </c>
      <c r="C281" s="166">
        <f t="array" ref="C281">H281+I281</f>
        <v/>
      </c>
      <c r="D281" s="232" t="n">
        <v>14447</v>
      </c>
      <c r="E281" s="232" t="n">
        <v>16179</v>
      </c>
      <c r="F281" s="167">
        <f t="array" ref="F281">J281-D281</f>
        <v/>
      </c>
      <c r="G281" s="152">
        <f t="array" ref="G281">K281-E281</f>
        <v/>
      </c>
      <c r="H281" s="110">
        <f t="array" ref="H281">E281+D281</f>
        <v/>
      </c>
      <c r="I281" s="166">
        <f t="array" ref="I281">G281+F281</f>
        <v/>
      </c>
      <c r="J281" s="232" t="n">
        <v>72378</v>
      </c>
      <c r="K281" s="232" t="n">
        <v>80116</v>
      </c>
      <c r="L281" s="169" t="n"/>
    </row>
    <row r="282" ht="20.7" customHeight="1" s="215">
      <c r="A282" s="12" t="n"/>
      <c r="B282" s="165">
        <f t="array" ref="B282">$B283-1</f>
        <v/>
      </c>
      <c r="C282" s="166">
        <f t="array" ref="C282">H282+I282</f>
        <v/>
      </c>
      <c r="D282" s="232" t="n">
        <v>16611</v>
      </c>
      <c r="E282" s="232" t="n">
        <v>18378</v>
      </c>
      <c r="F282" s="167">
        <f t="array" ref="F282">J282-D282</f>
        <v/>
      </c>
      <c r="G282" s="152">
        <f t="array" ref="G282">K282-E282</f>
        <v/>
      </c>
      <c r="H282" s="110">
        <f t="array" ref="H282">E282+D282</f>
        <v/>
      </c>
      <c r="I282" s="166">
        <f t="array" ref="I282">G282+F282</f>
        <v/>
      </c>
      <c r="J282" s="232" t="n">
        <v>67384</v>
      </c>
      <c r="K282" s="232" t="n">
        <v>77946</v>
      </c>
      <c r="L282" s="169" t="n"/>
    </row>
    <row r="283" ht="20.7" customHeight="1" s="215">
      <c r="A283" s="12" t="n"/>
      <c r="B283" s="165">
        <f t="array" ref="B283">$B284-1</f>
        <v/>
      </c>
      <c r="C283" s="166">
        <f t="array" ref="C283">H283+I283</f>
        <v/>
      </c>
      <c r="D283" s="232" t="n">
        <v>19690</v>
      </c>
      <c r="E283" s="232" t="n">
        <v>23596</v>
      </c>
      <c r="F283" s="167">
        <f t="array" ref="F283">J283-D283</f>
        <v/>
      </c>
      <c r="G283" s="152">
        <f t="array" ref="G283">K283-E283</f>
        <v/>
      </c>
      <c r="H283" s="110">
        <f t="array" ref="H283">E283+D283</f>
        <v/>
      </c>
      <c r="I283" s="166">
        <f t="array" ref="I283">G283+F283</f>
        <v/>
      </c>
      <c r="J283" s="232" t="n">
        <v>87459</v>
      </c>
      <c r="K283" s="232" t="n">
        <v>91851</v>
      </c>
      <c r="L283" s="169" t="n"/>
    </row>
    <row r="284" ht="20.7" customHeight="1" s="215">
      <c r="A284" s="12" t="n"/>
      <c r="B284" s="165">
        <f t="array" ref="B284">$B285-1</f>
        <v/>
      </c>
      <c r="C284" s="166">
        <f t="array" ref="C284">H284+I284</f>
        <v/>
      </c>
      <c r="D284" s="232" t="n">
        <v>19265</v>
      </c>
      <c r="E284" s="232" t="n">
        <v>23189</v>
      </c>
      <c r="F284" s="167">
        <f t="array" ref="F284">J284-D284</f>
        <v/>
      </c>
      <c r="G284" s="152">
        <f t="array" ref="G284">K284-E284</f>
        <v/>
      </c>
      <c r="H284" s="110">
        <f t="array" ref="H284">E284+D284</f>
        <v/>
      </c>
      <c r="I284" s="166">
        <f t="array" ref="I284">G284+F284</f>
        <v/>
      </c>
      <c r="J284" s="232" t="n">
        <v>96032</v>
      </c>
      <c r="K284" s="232" t="n">
        <v>102270</v>
      </c>
      <c r="L284" s="169" t="n"/>
    </row>
    <row r="285" ht="20.7" customHeight="1" s="215">
      <c r="A285" s="12" t="n"/>
      <c r="B285" s="165">
        <f t="array" ref="B285">$C$7</f>
        <v/>
      </c>
      <c r="C285" s="166">
        <f t="array" ref="C285">H285+I285</f>
        <v/>
      </c>
      <c r="D285" s="232" t="n">
        <v>20512</v>
      </c>
      <c r="E285" s="237" t="n">
        <v>24717</v>
      </c>
      <c r="F285" s="152">
        <f t="array" ref="F285">J285-D285</f>
        <v/>
      </c>
      <c r="G285" s="152">
        <f t="array" ref="G285">K285-E285</f>
        <v/>
      </c>
      <c r="H285" s="110">
        <f t="array" ref="H285">E285+D285</f>
        <v/>
      </c>
      <c r="I285" s="166">
        <f t="array" ref="I285">G285+F285</f>
        <v/>
      </c>
      <c r="J285" s="235" t="n">
        <v>100514</v>
      </c>
      <c r="K285" s="235" t="n">
        <v>108023</v>
      </c>
      <c r="L285" s="169" t="n"/>
    </row>
    <row r="286" ht="20.35" customHeight="1" s="215">
      <c r="A286" s="23" t="n"/>
      <c r="B286" s="44" t="inlineStr">
        <is>
          <t>10 year Ø of emigration</t>
        </is>
      </c>
      <c r="C286" s="154">
        <f t="array" ref="C286">AVERAGE(C276:C285)</f>
        <v/>
      </c>
      <c r="D286" s="174">
        <f t="array" ref="D286">AVERAGE(D276:D285)</f>
        <v/>
      </c>
      <c r="E286" s="174">
        <f t="array" ref="E286">AVERAGE(E276:E285)</f>
        <v/>
      </c>
      <c r="F286" s="154">
        <f t="array" ref="F286">AVERAGE(F276:F285)</f>
        <v/>
      </c>
      <c r="G286" s="154">
        <f t="array" ref="G286">AVERAGE(G276:G285)</f>
        <v/>
      </c>
      <c r="H286" s="154">
        <f t="array" ref="H286">AVERAGE(H276:H285)</f>
        <v/>
      </c>
      <c r="I286" s="154">
        <f t="array" ref="I286">AVERAGE(I276:I285)</f>
        <v/>
      </c>
      <c r="J286" s="154">
        <f t="array" ref="J286">AVERAGE(J276:J285)</f>
        <v/>
      </c>
      <c r="K286" s="154">
        <f t="array" ref="K286">AVERAGE(K276:K285)</f>
        <v/>
      </c>
      <c r="L286" s="81" t="n"/>
    </row>
    <row r="287" ht="20.05" customHeight="1" s="215">
      <c r="A287" s="3" t="n"/>
      <c r="B287" s="28" t="n"/>
      <c r="C287" s="17" t="n"/>
      <c r="D287" s="17" t="n"/>
      <c r="E287" s="17" t="n"/>
      <c r="F287" s="17" t="n"/>
      <c r="G287" s="17" t="n"/>
      <c r="H287" s="17" t="n"/>
      <c r="I287" s="17" t="n"/>
      <c r="J287" s="17" t="n"/>
      <c r="K287" s="17" t="n"/>
      <c r="L287" s="17" t="n"/>
    </row>
    <row r="288" ht="20.05" customHeight="1" s="215">
      <c r="A288" s="37" t="n"/>
      <c r="B288" s="34" t="inlineStr">
        <is>
          <t>Source of the data (verbal)</t>
        </is>
      </c>
      <c r="C288" s="58">
        <f t="array" ref="C288">IF(C289="","?",C289)&amp;IF(C290="","","; downloaded "&amp;C290)&amp;IF(C291="","","; "&amp;C291)</f>
        <v/>
      </c>
      <c r="D288" s="218" t="n"/>
      <c r="E288" s="218" t="n"/>
      <c r="F288" s="218" t="n"/>
      <c r="G288" s="218" t="n"/>
      <c r="H288" s="218" t="n"/>
      <c r="I288" s="218" t="n"/>
      <c r="J288" s="218" t="n"/>
      <c r="K288" s="218" t="n"/>
      <c r="L288" s="17" t="n"/>
    </row>
    <row r="289" ht="20.05" customHeight="1" s="215">
      <c r="A289" s="23" t="n"/>
      <c r="B289" s="34" t="inlineStr">
        <is>
          <t>URLs, where the data was found</t>
        </is>
      </c>
      <c r="C289" s="59" t="inlineStr">
        <is>
          <t>wie C202 (gleiche CBS-Quellen)</t>
        </is>
      </c>
      <c r="D289" s="218" t="n"/>
      <c r="E289" s="218" t="n"/>
      <c r="F289" s="218" t="n"/>
      <c r="G289" s="218" t="n"/>
      <c r="H289" s="218" t="n"/>
      <c r="I289" s="218" t="n"/>
      <c r="J289" s="218" t="n"/>
      <c r="K289" s="218" t="n"/>
      <c r="L289" s="17" t="n"/>
    </row>
    <row r="290" ht="20.05" customHeight="1" s="215">
      <c r="A290" s="37" t="n"/>
      <c r="B290" s="47" t="inlineStr">
        <is>
          <t>Date, when the data was downloaded</t>
        </is>
      </c>
      <c r="C290" s="59" t="inlineStr">
        <is>
          <t>2026-05-26</t>
        </is>
      </c>
      <c r="D290" s="218" t="n"/>
      <c r="E290" s="218" t="n"/>
      <c r="F290" s="218" t="n"/>
      <c r="G290" s="218" t="n"/>
      <c r="H290" s="218" t="n"/>
      <c r="I290" s="218" t="n"/>
      <c r="J290" s="218" t="n"/>
      <c r="K290" s="218" t="n"/>
      <c r="L290" s="17" t="n"/>
    </row>
    <row r="291" ht="20.05" customHeight="1" s="215">
      <c r="A291" s="12" t="n"/>
      <c r="B291" s="13" t="inlineStr">
        <is>
          <t>Manual remarks (not for AI!)</t>
        </is>
      </c>
      <c r="C291" s="155" t="n"/>
      <c r="D291" s="219" t="n"/>
      <c r="E291" s="219" t="n"/>
      <c r="F291" s="219" t="n"/>
      <c r="G291" s="219" t="n"/>
      <c r="H291" s="219" t="n"/>
      <c r="I291" s="219" t="n"/>
      <c r="J291" s="219" t="n"/>
      <c r="K291" s="219" t="n"/>
      <c r="L291" s="17" t="n"/>
    </row>
    <row r="292" ht="20.05" customHeight="1" s="215">
      <c r="A292" s="12" t="n"/>
      <c r="B292" s="13" t="inlineStr">
        <is>
          <t>Remarks of the AI (e.g. calculation)</t>
        </is>
      </c>
      <c r="C292" s="158" t="inlineStr">
        <is>
          <t>Auswanderung der Bevölkerung NL. Quellen + Methodik analog Imm-Block (siehe C205). CBS 'Emigratie inclusief administratieve correcties' = reine Vertrek (admin. Korrekturen sind im Detail-Würfel separat erfasst, nicht doppelt). Cross-Check Eurostat-Diff stärker als bei Imm (~30%), Saldo-Diff aber gering — siehe C205. — V1.1-NACHTRAG: Emi 1949-1994 analog Imm-Block aus 85524NED Topic 77, Lücken-Konvention C-Spalte. CBS 'Emigratie inclusief administratieve correcties' = reine Vertrek (admin-Korrekturen separat erfasst).</t>
        </is>
      </c>
      <c r="D292" s="217" t="n"/>
      <c r="E292" s="217" t="n"/>
      <c r="F292" s="217" t="n"/>
      <c r="G292" s="217" t="n"/>
      <c r="H292" s="217" t="n"/>
      <c r="I292" s="217" t="n"/>
      <c r="J292" s="217" t="n"/>
      <c r="K292" s="217" t="n"/>
      <c r="L292" s="17" t="n"/>
    </row>
    <row r="293" ht="20.05" customHeight="1" s="215">
      <c r="A293" s="12" t="n"/>
      <c r="B293" s="13" t="inlineStr">
        <is>
          <t>Internal remarks</t>
        </is>
      </c>
      <c r="C293" s="57" t="n"/>
      <c r="D293" s="218" t="n"/>
      <c r="E293" s="218" t="n"/>
      <c r="F293" s="218" t="n"/>
      <c r="G293" s="218" t="n"/>
      <c r="H293" s="218" t="n"/>
      <c r="I293" s="218" t="n"/>
      <c r="J293" s="218" t="n"/>
      <c r="K293" s="218" t="n"/>
      <c r="L293" s="17" t="n"/>
    </row>
    <row r="294" ht="20.05" customHeight="1" s="215">
      <c r="A294" s="62" t="n"/>
      <c r="B294" s="63" t="n"/>
      <c r="C294" s="64" t="n"/>
      <c r="D294" s="65" t="n"/>
      <c r="E294" s="65" t="n"/>
      <c r="F294" s="65" t="n"/>
      <c r="G294" s="65" t="n"/>
      <c r="H294" s="65" t="n"/>
      <c r="I294" s="65" t="n"/>
      <c r="J294" s="65" t="n"/>
      <c r="K294" s="65" t="n"/>
      <c r="L294" s="65" t="n"/>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288:K288"/>
    <mergeCell ref="C289:K289"/>
    <mergeCell ref="C290:K290"/>
    <mergeCell ref="C291:K291"/>
    <mergeCell ref="C293:K293"/>
    <mergeCell ref="C117:K117"/>
    <mergeCell ref="C205:K205"/>
    <mergeCell ref="C292:K292"/>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origin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176" t="n"/>
      <c r="B5" s="74" t="inlineStr">
        <is>
          <t>Origin of Migrants</t>
        </is>
      </c>
      <c r="C5" s="75" t="inlineStr">
        <is>
          <t>This table contains the countries the current migrants come from.</t>
        </is>
      </c>
      <c r="D5" s="217" t="n"/>
      <c r="E5" s="217" t="n"/>
      <c r="F5" s="217" t="n"/>
      <c r="G5" s="217" t="n"/>
      <c r="H5" s="217" t="n"/>
      <c r="I5" s="217" t="n"/>
      <c r="J5" s="217" t="n"/>
      <c r="K5" s="217" t="n"/>
      <c r="L5" s="33" t="n"/>
    </row>
    <row r="6" ht="20.05" customHeight="1" s="215">
      <c r="A6" s="23" t="n"/>
      <c r="B6" s="28" t="n"/>
      <c r="C6" s="76" t="n"/>
      <c r="D6" s="81" t="n"/>
      <c r="E6" s="81" t="n"/>
      <c r="F6" s="81" t="n"/>
      <c r="G6" s="81" t="n"/>
      <c r="H6" s="81" t="n"/>
      <c r="I6" s="81" t="n"/>
      <c r="J6" s="81" t="n"/>
      <c r="K6" s="81" t="n"/>
      <c r="L6" s="81" t="n"/>
    </row>
    <row r="7" ht="20.05" customHeight="1" s="215">
      <c r="A7" s="3" t="n"/>
      <c r="B7" s="34" t="inlineStr">
        <is>
          <t>Year of the numbers</t>
        </is>
      </c>
      <c r="C7" s="77" t="n">
        <v>2025</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3" t="n"/>
      <c r="B9" s="34" t="inlineStr">
        <is>
          <t>Europe</t>
        </is>
      </c>
      <c r="C9" s="76" t="n"/>
      <c r="D9" s="81" t="n"/>
      <c r="E9" s="81" t="n"/>
      <c r="F9" s="81" t="n"/>
      <c r="G9" s="81" t="n"/>
      <c r="H9" s="81" t="n"/>
      <c r="I9" s="81" t="n"/>
      <c r="J9" s="81" t="n"/>
      <c r="K9" s="81" t="n"/>
      <c r="L9" s="81" t="n"/>
    </row>
    <row r="10" ht="20.05" customHeight="1" s="215">
      <c r="A10" s="4" t="inlineStr">
        <is>
          <t>c1ad</t>
        </is>
      </c>
      <c r="B10" s="34" t="inlineStr">
        <is>
          <t>Andorra</t>
        </is>
      </c>
      <c r="C10" s="177" t="inlineStr">
        <is>
          <t>AD</t>
        </is>
      </c>
      <c r="D10" s="81" t="n"/>
      <c r="E10" s="81" t="n"/>
      <c r="F10" s="225" t="n">
        <v>19</v>
      </c>
      <c r="G10" s="225" t="n">
        <v>24</v>
      </c>
      <c r="H10" s="81" t="n"/>
      <c r="I10" s="79">
        <f t="array" ref="I10">G10+F10</f>
        <v/>
      </c>
      <c r="J10" s="81" t="n"/>
      <c r="K10" s="81" t="n"/>
      <c r="L10" s="81" t="n"/>
    </row>
    <row r="11" ht="20.05" customHeight="1" s="215">
      <c r="A11" s="4" t="inlineStr">
        <is>
          <t>c1al</t>
        </is>
      </c>
      <c r="B11" s="34" t="inlineStr">
        <is>
          <t>Albania</t>
        </is>
      </c>
      <c r="C11" s="29" t="inlineStr">
        <is>
          <t>AL</t>
        </is>
      </c>
      <c r="D11" s="81" t="n"/>
      <c r="E11" s="81" t="n"/>
      <c r="F11" s="225" t="n">
        <v>2072</v>
      </c>
      <c r="G11" s="225" t="n">
        <v>2083</v>
      </c>
      <c r="H11" s="81" t="n"/>
      <c r="I11" s="79">
        <f t="array" ref="I11">G11+F11</f>
        <v/>
      </c>
      <c r="J11" s="81" t="n"/>
      <c r="K11" s="81" t="n"/>
      <c r="L11" s="81" t="n"/>
    </row>
    <row r="12" ht="20.05" customHeight="1" s="215">
      <c r="A12" s="4" t="inlineStr">
        <is>
          <t>c1at</t>
        </is>
      </c>
      <c r="B12" s="34" t="inlineStr">
        <is>
          <t>Austria</t>
        </is>
      </c>
      <c r="C12" s="29" t="inlineStr">
        <is>
          <t>AT</t>
        </is>
      </c>
      <c r="D12" s="81" t="n"/>
      <c r="E12" s="81" t="n"/>
      <c r="F12" s="225" t="n">
        <v>4383</v>
      </c>
      <c r="G12" s="225" t="n">
        <v>3195</v>
      </c>
      <c r="H12" s="81" t="n"/>
      <c r="I12" s="79">
        <f t="array" ref="I12">G12+F12</f>
        <v/>
      </c>
      <c r="J12" s="81" t="n"/>
      <c r="K12" s="81" t="n"/>
      <c r="L12" s="81" t="n"/>
    </row>
    <row r="13" ht="20.05" customHeight="1" s="215">
      <c r="A13" s="4" t="inlineStr">
        <is>
          <t>c1ax</t>
        </is>
      </c>
      <c r="B13" s="34" t="inlineStr">
        <is>
          <t>Åland Islands</t>
        </is>
      </c>
      <c r="C13" s="29" t="inlineStr">
        <is>
          <t>AX</t>
        </is>
      </c>
      <c r="D13" s="81" t="n"/>
      <c r="E13" s="81" t="n"/>
      <c r="F13" s="116" t="n"/>
      <c r="G13" s="116" t="n"/>
      <c r="H13" s="81" t="n"/>
      <c r="I13" s="79">
        <f t="array" ref="I13">G13+F13</f>
        <v/>
      </c>
      <c r="J13" s="81" t="n"/>
      <c r="K13" s="81" t="n"/>
      <c r="L13" s="81" t="n"/>
    </row>
    <row r="14" ht="20.05" customHeight="1" s="215">
      <c r="A14" s="4" t="inlineStr">
        <is>
          <t>c1ba</t>
        </is>
      </c>
      <c r="B14" s="34" t="inlineStr">
        <is>
          <t>Bosnia and Herzegovina</t>
        </is>
      </c>
      <c r="C14" s="29" t="inlineStr">
        <is>
          <t>BA</t>
        </is>
      </c>
      <c r="D14" s="81" t="n"/>
      <c r="E14" s="81" t="n"/>
      <c r="F14" s="116" t="n"/>
      <c r="G14" s="116" t="n"/>
      <c r="H14" s="81" t="n"/>
      <c r="I14" s="79">
        <f t="array" ref="I14">G14+F14</f>
        <v/>
      </c>
      <c r="J14" s="81" t="n"/>
      <c r="K14" s="81" t="n"/>
      <c r="L14" s="81" t="n"/>
    </row>
    <row r="15" ht="20.05" customHeight="1" s="215">
      <c r="A15" s="4" t="inlineStr">
        <is>
          <t>c1be</t>
        </is>
      </c>
      <c r="B15" s="34" t="inlineStr">
        <is>
          <t>Belgium</t>
        </is>
      </c>
      <c r="C15" s="29" t="inlineStr">
        <is>
          <t>BE</t>
        </is>
      </c>
      <c r="D15" s="81" t="n"/>
      <c r="E15" s="81" t="n"/>
      <c r="F15" s="225" t="n">
        <v>35806</v>
      </c>
      <c r="G15" s="225" t="n">
        <v>31496</v>
      </c>
      <c r="H15" s="81" t="n"/>
      <c r="I15" s="79">
        <f t="array" ref="I15">G15+F15</f>
        <v/>
      </c>
      <c r="J15" s="81" t="n"/>
      <c r="K15" s="81" t="n"/>
      <c r="L15" s="81" t="n"/>
    </row>
    <row r="16" ht="20.05" customHeight="1" s="215">
      <c r="A16" s="4" t="inlineStr">
        <is>
          <t>c1bg</t>
        </is>
      </c>
      <c r="B16" s="34" t="inlineStr">
        <is>
          <t>Bulgaria</t>
        </is>
      </c>
      <c r="C16" s="29" t="inlineStr">
        <is>
          <t>BG</t>
        </is>
      </c>
      <c r="D16" s="81" t="n"/>
      <c r="E16" s="81" t="n"/>
      <c r="F16" s="225" t="n">
        <v>26168</v>
      </c>
      <c r="G16" s="225" t="n">
        <v>27449</v>
      </c>
      <c r="H16" s="81" t="n"/>
      <c r="I16" s="79">
        <f t="array" ref="I16">G16+F16</f>
        <v/>
      </c>
      <c r="J16" s="81" t="n"/>
      <c r="K16" s="81" t="n"/>
      <c r="L16" s="81" t="n"/>
    </row>
    <row r="17" ht="20.05" customHeight="1" s="215">
      <c r="A17" s="4" t="inlineStr">
        <is>
          <t>c1by</t>
        </is>
      </c>
      <c r="B17" s="34" t="inlineStr">
        <is>
          <t>Belarus</t>
        </is>
      </c>
      <c r="C17" s="29" t="inlineStr">
        <is>
          <t>BY</t>
        </is>
      </c>
      <c r="D17" s="81" t="n"/>
      <c r="E17" s="81" t="n"/>
      <c r="F17" s="116" t="n"/>
      <c r="G17" s="116" t="n"/>
      <c r="H17" s="81" t="n"/>
      <c r="I17" s="79">
        <f t="array" ref="I17">G17+F17</f>
        <v/>
      </c>
      <c r="J17" s="81" t="n"/>
      <c r="K17" s="81" t="n"/>
      <c r="L17" s="81" t="n"/>
    </row>
    <row r="18" ht="20.05" customHeight="1" s="215">
      <c r="A18" s="4" t="inlineStr">
        <is>
          <t>c1ch</t>
        </is>
      </c>
      <c r="B18" s="34" t="inlineStr">
        <is>
          <t>Switzerland</t>
        </is>
      </c>
      <c r="C18" s="29" t="inlineStr">
        <is>
          <t>CH</t>
        </is>
      </c>
      <c r="D18" s="81" t="n"/>
      <c r="E18" s="81" t="n"/>
      <c r="F18" s="225" t="n">
        <v>4992</v>
      </c>
      <c r="G18" s="225" t="n">
        <v>4151</v>
      </c>
      <c r="H18" s="81" t="n"/>
      <c r="I18" s="79">
        <f t="array" ref="I18">G18+F18</f>
        <v/>
      </c>
      <c r="J18" s="81" t="n"/>
      <c r="K18" s="81" t="n"/>
      <c r="L18" s="81" t="n"/>
    </row>
    <row r="19" ht="20.05" customHeight="1" s="215">
      <c r="A19" s="4" t="inlineStr">
        <is>
          <t>c1cz</t>
        </is>
      </c>
      <c r="B19" s="34" t="inlineStr">
        <is>
          <t>Czechia[i]</t>
        </is>
      </c>
      <c r="C19" s="29" t="inlineStr">
        <is>
          <t>CZ</t>
        </is>
      </c>
      <c r="D19" s="81" t="n"/>
      <c r="E19" s="81" t="n"/>
      <c r="F19" s="225" t="n">
        <v>4906</v>
      </c>
      <c r="G19" s="225" t="n">
        <v>3189</v>
      </c>
      <c r="H19" s="81" t="n"/>
      <c r="I19" s="79">
        <f t="array" ref="I19">G19+F19</f>
        <v/>
      </c>
      <c r="J19" s="81" t="n"/>
      <c r="K19" s="81" t="n"/>
      <c r="L19" s="81" t="n"/>
    </row>
    <row r="20" ht="20.05" customHeight="1" s="215">
      <c r="A20" s="4" t="inlineStr">
        <is>
          <t>c1de</t>
        </is>
      </c>
      <c r="B20" s="34" t="inlineStr">
        <is>
          <t>Germany</t>
        </is>
      </c>
      <c r="C20" s="29" t="inlineStr">
        <is>
          <t>DE</t>
        </is>
      </c>
      <c r="D20" s="81" t="n"/>
      <c r="E20" s="81" t="n"/>
      <c r="F20" s="225" t="n">
        <v>71194</v>
      </c>
      <c r="G20" s="225" t="n">
        <v>51756</v>
      </c>
      <c r="H20" s="81" t="n"/>
      <c r="I20" s="79">
        <f t="array" ref="I20">G20+F20</f>
        <v/>
      </c>
      <c r="J20" s="81" t="n"/>
      <c r="K20" s="81" t="n"/>
      <c r="L20" s="81" t="n"/>
    </row>
    <row r="21" ht="20.05" customHeight="1" s="215">
      <c r="A21" s="4" t="inlineStr">
        <is>
          <t>c1dk</t>
        </is>
      </c>
      <c r="B21" s="34" t="inlineStr">
        <is>
          <t>Denmark</t>
        </is>
      </c>
      <c r="C21" s="29" t="inlineStr">
        <is>
          <t>DK</t>
        </is>
      </c>
      <c r="D21" s="81" t="n"/>
      <c r="E21" s="81" t="n"/>
      <c r="F21" s="225" t="n">
        <v>2440</v>
      </c>
      <c r="G21" s="225" t="n">
        <v>1852</v>
      </c>
      <c r="H21" s="81" t="n"/>
      <c r="I21" s="79">
        <f t="array" ref="I21">G21+F21</f>
        <v/>
      </c>
      <c r="J21" s="81" t="n"/>
      <c r="K21" s="81" t="n"/>
      <c r="L21" s="81" t="n"/>
    </row>
    <row r="22" ht="20.05" customHeight="1" s="215">
      <c r="A22" s="4" t="inlineStr">
        <is>
          <t>c1ee</t>
        </is>
      </c>
      <c r="B22" s="34" t="inlineStr">
        <is>
          <t>Estonia</t>
        </is>
      </c>
      <c r="C22" s="29" t="inlineStr">
        <is>
          <t>EE</t>
        </is>
      </c>
      <c r="D22" s="81" t="n"/>
      <c r="E22" s="81" t="n"/>
      <c r="F22" s="225" t="n">
        <v>1546</v>
      </c>
      <c r="G22" s="225" t="n">
        <v>838</v>
      </c>
      <c r="H22" s="81" t="n"/>
      <c r="I22" s="79">
        <f t="array" ref="I22">G22+F22</f>
        <v/>
      </c>
      <c r="J22" s="81" t="n"/>
      <c r="K22" s="81" t="n"/>
      <c r="L22" s="81" t="n"/>
    </row>
    <row r="23" ht="20.05" customHeight="1" s="215">
      <c r="A23" s="4" t="inlineStr">
        <is>
          <t>c1es</t>
        </is>
      </c>
      <c r="B23" s="34" t="inlineStr">
        <is>
          <t>Spain</t>
        </is>
      </c>
      <c r="C23" s="29" t="inlineStr">
        <is>
          <t>ES</t>
        </is>
      </c>
      <c r="D23" s="81" t="n"/>
      <c r="E23" s="81" t="n"/>
      <c r="F23" s="225" t="n">
        <v>22360</v>
      </c>
      <c r="G23" s="225" t="n">
        <v>22147</v>
      </c>
      <c r="H23" s="81" t="n"/>
      <c r="I23" s="79">
        <f t="array" ref="I23">G23+F23</f>
        <v/>
      </c>
      <c r="J23" s="81" t="n"/>
      <c r="K23" s="81" t="n"/>
      <c r="L23" s="81" t="n"/>
    </row>
    <row r="24" ht="20.05" customHeight="1" s="215">
      <c r="A24" s="4" t="inlineStr">
        <is>
          <t>c1fi</t>
        </is>
      </c>
      <c r="B24" s="34" t="inlineStr">
        <is>
          <t>Finland</t>
        </is>
      </c>
      <c r="C24" s="29" t="inlineStr">
        <is>
          <t>FI</t>
        </is>
      </c>
      <c r="D24" s="81" t="n"/>
      <c r="E24" s="81" t="n"/>
      <c r="F24" s="225" t="n">
        <v>2969</v>
      </c>
      <c r="G24" s="225" t="n">
        <v>1357</v>
      </c>
      <c r="H24" s="81" t="n"/>
      <c r="I24" s="79">
        <f t="array" ref="I24">G24+F24</f>
        <v/>
      </c>
      <c r="J24" s="81" t="n"/>
      <c r="K24" s="81" t="n"/>
      <c r="L24" s="81" t="n"/>
    </row>
    <row r="25" ht="20.05" customHeight="1" s="215">
      <c r="A25" s="4" t="inlineStr">
        <is>
          <t>c1fo</t>
        </is>
      </c>
      <c r="B25" s="34" t="inlineStr">
        <is>
          <t>Faroe Islands (the)</t>
        </is>
      </c>
      <c r="C25" s="29" t="inlineStr">
        <is>
          <t>FO</t>
        </is>
      </c>
      <c r="D25" s="81" t="n"/>
      <c r="E25" s="81" t="n"/>
      <c r="F25" s="116" t="n"/>
      <c r="G25" s="116" t="n"/>
      <c r="H25" s="81" t="n"/>
      <c r="I25" s="79">
        <f t="array" ref="I25">G25+F25</f>
        <v/>
      </c>
      <c r="J25" s="81" t="n"/>
      <c r="K25" s="81" t="n"/>
      <c r="L25" s="81" t="n"/>
    </row>
    <row r="26" ht="20.05" customHeight="1" s="215">
      <c r="A26" s="4" t="inlineStr">
        <is>
          <t>c1fr</t>
        </is>
      </c>
      <c r="B26" s="34" t="inlineStr">
        <is>
          <t>France</t>
        </is>
      </c>
      <c r="C26" s="29" t="inlineStr">
        <is>
          <t>FR</t>
        </is>
      </c>
      <c r="D26" s="81" t="n"/>
      <c r="E26" s="81" t="n"/>
      <c r="F26" s="225" t="n">
        <v>19338</v>
      </c>
      <c r="G26" s="225" t="n">
        <v>16843</v>
      </c>
      <c r="H26" s="81" t="n"/>
      <c r="I26" s="79">
        <f t="array" ref="I26">G26+F26</f>
        <v/>
      </c>
      <c r="J26" s="81" t="n"/>
      <c r="K26" s="81" t="n"/>
      <c r="L26" s="81" t="n"/>
    </row>
    <row r="27" ht="32.05" customHeight="1" s="215">
      <c r="A27" s="4" t="inlineStr">
        <is>
          <t>c1gb</t>
        </is>
      </c>
      <c r="B27" s="34" t="inlineStr">
        <is>
          <t>United Kingdom of Great Britain and Northern Ireland (the)</t>
        </is>
      </c>
      <c r="C27" s="29" t="inlineStr">
        <is>
          <t>GB</t>
        </is>
      </c>
      <c r="D27" s="81" t="n"/>
      <c r="E27" s="81" t="n"/>
      <c r="F27" s="225" t="n">
        <v>27553</v>
      </c>
      <c r="G27" s="225" t="n">
        <v>33877</v>
      </c>
      <c r="H27" s="81" t="n"/>
      <c r="I27" s="79">
        <f t="array" ref="I27">G27+F27</f>
        <v/>
      </c>
      <c r="J27" s="81" t="n"/>
      <c r="K27" s="81" t="n"/>
      <c r="L27" s="81" t="n"/>
    </row>
    <row r="28" ht="20.05" customHeight="1" s="215">
      <c r="A28" s="4" t="inlineStr">
        <is>
          <t>c1gg</t>
        </is>
      </c>
      <c r="B28" s="34" t="inlineStr">
        <is>
          <t>Guernsey</t>
        </is>
      </c>
      <c r="C28" s="29" t="inlineStr">
        <is>
          <t>GG</t>
        </is>
      </c>
      <c r="D28" s="81" t="n"/>
      <c r="E28" s="81" t="n"/>
      <c r="F28" s="116" t="n"/>
      <c r="G28" s="116" t="n"/>
      <c r="H28" s="81" t="n"/>
      <c r="I28" s="79">
        <f t="array" ref="I28">G28+F28</f>
        <v/>
      </c>
      <c r="J28" s="81" t="n"/>
      <c r="K28" s="81" t="n"/>
      <c r="L28" s="81" t="n"/>
    </row>
    <row r="29" ht="20.05" customHeight="1" s="215">
      <c r="A29" s="4" t="inlineStr">
        <is>
          <t>c1gi</t>
        </is>
      </c>
      <c r="B29" s="34" t="inlineStr">
        <is>
          <t>Gibraltar</t>
        </is>
      </c>
      <c r="C29" s="29" t="inlineStr">
        <is>
          <t>GI</t>
        </is>
      </c>
      <c r="D29" s="81" t="n"/>
      <c r="E29" s="81" t="n"/>
      <c r="F29" s="116" t="n"/>
      <c r="G29" s="116" t="n"/>
      <c r="H29" s="81" t="n"/>
      <c r="I29" s="79">
        <f t="array" ref="I29">G29+F29</f>
        <v/>
      </c>
      <c r="J29" s="81" t="n"/>
      <c r="K29" s="81" t="n"/>
      <c r="L29" s="81" t="n"/>
    </row>
    <row r="30" ht="20.05" customHeight="1" s="215">
      <c r="A30" s="4" t="inlineStr">
        <is>
          <t>c1gr</t>
        </is>
      </c>
      <c r="B30" s="34" t="inlineStr">
        <is>
          <t>Greece</t>
        </is>
      </c>
      <c r="C30" s="29" t="inlineStr">
        <is>
          <t>GR</t>
        </is>
      </c>
      <c r="D30" s="81" t="n"/>
      <c r="E30" s="81" t="n"/>
      <c r="F30" s="225" t="n">
        <v>13625</v>
      </c>
      <c r="G30" s="225" t="n">
        <v>17648</v>
      </c>
      <c r="H30" s="81" t="n"/>
      <c r="I30" s="79">
        <f t="array" ref="I30">G30+F30</f>
        <v/>
      </c>
      <c r="J30" s="81" t="n"/>
      <c r="K30" s="81" t="n"/>
      <c r="L30" s="81" t="n"/>
    </row>
    <row r="31" ht="20.05" customHeight="1" s="215">
      <c r="A31" s="4" t="inlineStr">
        <is>
          <t>c1hr</t>
        </is>
      </c>
      <c r="B31" s="34" t="inlineStr">
        <is>
          <t>Croatia</t>
        </is>
      </c>
      <c r="C31" s="29" t="inlineStr">
        <is>
          <t>HR</t>
        </is>
      </c>
      <c r="D31" s="81" t="n"/>
      <c r="E31" s="81" t="n"/>
      <c r="F31" s="225" t="n">
        <v>5130</v>
      </c>
      <c r="G31" s="225" t="n">
        <v>4754</v>
      </c>
      <c r="H31" s="81" t="n"/>
      <c r="I31" s="79">
        <f t="array" ref="I31">G31+F31</f>
        <v/>
      </c>
      <c r="J31" s="81" t="n"/>
      <c r="K31" s="81" t="n"/>
      <c r="L31" s="81" t="n"/>
    </row>
    <row r="32" ht="20.05" customHeight="1" s="215">
      <c r="A32" s="4" t="inlineStr">
        <is>
          <t>c1hu</t>
        </is>
      </c>
      <c r="B32" s="34" t="inlineStr">
        <is>
          <t>Hungary</t>
        </is>
      </c>
      <c r="C32" s="29" t="inlineStr">
        <is>
          <t>HU</t>
        </is>
      </c>
      <c r="D32" s="81" t="n"/>
      <c r="E32" s="81" t="n"/>
      <c r="F32" s="225" t="n">
        <v>12307</v>
      </c>
      <c r="G32" s="225" t="n">
        <v>11193</v>
      </c>
      <c r="H32" s="81" t="n"/>
      <c r="I32" s="79">
        <f t="array" ref="I32">G32+F32</f>
        <v/>
      </c>
      <c r="J32" s="81" t="n"/>
      <c r="K32" s="81" t="n"/>
      <c r="L32" s="81" t="n"/>
    </row>
    <row r="33" ht="20.05" customHeight="1" s="215">
      <c r="A33" s="4" t="inlineStr">
        <is>
          <t>c1ie</t>
        </is>
      </c>
      <c r="B33" s="34" t="inlineStr">
        <is>
          <t>Ireland</t>
        </is>
      </c>
      <c r="C33" s="29" t="inlineStr">
        <is>
          <t>IE</t>
        </is>
      </c>
      <c r="D33" s="81" t="n"/>
      <c r="E33" s="81" t="n"/>
      <c r="F33" s="225" t="n">
        <v>4501</v>
      </c>
      <c r="G33" s="225" t="n">
        <v>5135</v>
      </c>
      <c r="H33" s="81" t="n"/>
      <c r="I33" s="79">
        <f t="array" ref="I33">G33+F33</f>
        <v/>
      </c>
      <c r="J33" s="81" t="n"/>
      <c r="K33" s="81" t="n"/>
      <c r="L33" s="81" t="n"/>
    </row>
    <row r="34" ht="20.05" customHeight="1" s="215">
      <c r="A34" s="4" t="inlineStr">
        <is>
          <t>c1im</t>
        </is>
      </c>
      <c r="B34" s="34" t="inlineStr">
        <is>
          <t>Isle of Man</t>
        </is>
      </c>
      <c r="C34" s="29" t="inlineStr">
        <is>
          <t>IM</t>
        </is>
      </c>
      <c r="D34" s="81" t="n"/>
      <c r="E34" s="81" t="n"/>
      <c r="F34" s="116" t="n"/>
      <c r="G34" s="116" t="n"/>
      <c r="H34" s="81" t="n"/>
      <c r="I34" s="79">
        <f t="array" ref="I34">G34+F34</f>
        <v/>
      </c>
      <c r="J34" s="81" t="n"/>
      <c r="K34" s="81" t="n"/>
      <c r="L34" s="81" t="n"/>
    </row>
    <row r="35" ht="20.05" customHeight="1" s="215">
      <c r="A35" s="4" t="inlineStr">
        <is>
          <t>c1is</t>
        </is>
      </c>
      <c r="B35" s="34" t="inlineStr">
        <is>
          <t>Iceland</t>
        </is>
      </c>
      <c r="C35" s="29" t="inlineStr">
        <is>
          <t>IS</t>
        </is>
      </c>
      <c r="D35" s="81" t="n"/>
      <c r="E35" s="81" t="n"/>
      <c r="F35" s="225" t="n">
        <v>345</v>
      </c>
      <c r="G35" s="225" t="n">
        <v>269</v>
      </c>
      <c r="H35" s="81" t="n"/>
      <c r="I35" s="79">
        <f t="array" ref="I35">G35+F35</f>
        <v/>
      </c>
      <c r="J35" s="81" t="n"/>
      <c r="K35" s="81" t="n"/>
      <c r="L35" s="81" t="n"/>
    </row>
    <row r="36" ht="20.05" customHeight="1" s="215">
      <c r="A36" s="4" t="inlineStr">
        <is>
          <t>c1it</t>
        </is>
      </c>
      <c r="B36" s="34" t="inlineStr">
        <is>
          <t>Italy</t>
        </is>
      </c>
      <c r="C36" s="29" t="inlineStr">
        <is>
          <t>IT</t>
        </is>
      </c>
      <c r="D36" s="81" t="n"/>
      <c r="E36" s="81" t="n"/>
      <c r="F36" s="225" t="n">
        <v>21197</v>
      </c>
      <c r="G36" s="225" t="n">
        <v>27683</v>
      </c>
      <c r="H36" s="81" t="n"/>
      <c r="I36" s="79">
        <f t="array" ref="I36">G36+F36</f>
        <v/>
      </c>
      <c r="J36" s="81" t="n"/>
      <c r="K36" s="81" t="n"/>
      <c r="L36" s="81" t="n"/>
    </row>
    <row r="37" ht="20.05" customHeight="1" s="215">
      <c r="A37" s="4" t="inlineStr">
        <is>
          <t>c1je</t>
        </is>
      </c>
      <c r="B37" s="34" t="inlineStr">
        <is>
          <t>Jersey</t>
        </is>
      </c>
      <c r="C37" s="29" t="inlineStr">
        <is>
          <t>JE</t>
        </is>
      </c>
      <c r="D37" s="81" t="n"/>
      <c r="E37" s="81" t="n"/>
      <c r="F37" s="116" t="n"/>
      <c r="G37" s="116" t="n"/>
      <c r="H37" s="81" t="n"/>
      <c r="I37" s="79">
        <f t="array" ref="I37">G37+F37</f>
        <v/>
      </c>
      <c r="J37" s="81" t="n"/>
      <c r="K37" s="81" t="n"/>
      <c r="L37" s="81" t="n"/>
    </row>
    <row r="38" ht="20.05" customHeight="1" s="215">
      <c r="A38" s="4" t="inlineStr">
        <is>
          <t>c1li</t>
        </is>
      </c>
      <c r="B38" s="34" t="inlineStr">
        <is>
          <t>Liechtenstein</t>
        </is>
      </c>
      <c r="C38" s="29" t="inlineStr">
        <is>
          <t>LI</t>
        </is>
      </c>
      <c r="D38" s="81" t="n"/>
      <c r="E38" s="81" t="n"/>
      <c r="F38" s="225" t="n">
        <v>3</v>
      </c>
      <c r="G38" s="225" t="n">
        <v>0</v>
      </c>
      <c r="H38" s="81" t="n"/>
      <c r="I38" s="79">
        <f t="array" ref="I38">G38+F38</f>
        <v/>
      </c>
      <c r="J38" s="81" t="n"/>
      <c r="K38" s="81" t="n"/>
      <c r="L38" s="81" t="n"/>
    </row>
    <row r="39" ht="20.05" customHeight="1" s="215">
      <c r="A39" s="4" t="inlineStr">
        <is>
          <t>c1lt</t>
        </is>
      </c>
      <c r="B39" s="34" t="inlineStr">
        <is>
          <t>Lithuania</t>
        </is>
      </c>
      <c r="C39" s="29" t="inlineStr">
        <is>
          <t>LT</t>
        </is>
      </c>
      <c r="D39" s="81" t="n"/>
      <c r="E39" s="81" t="n"/>
      <c r="F39" s="225" t="n">
        <v>6509</v>
      </c>
      <c r="G39" s="225" t="n">
        <v>5197</v>
      </c>
      <c r="H39" s="81" t="n"/>
      <c r="I39" s="79">
        <f t="array" ref="I39">G39+F39</f>
        <v/>
      </c>
      <c r="J39" s="81" t="n"/>
      <c r="K39" s="81" t="n"/>
      <c r="L39" s="81" t="n"/>
    </row>
    <row r="40" ht="20.05" customHeight="1" s="215">
      <c r="A40" s="4" t="inlineStr">
        <is>
          <t>c1lu</t>
        </is>
      </c>
      <c r="B40" s="34" t="inlineStr">
        <is>
          <t>Luxembourg</t>
        </is>
      </c>
      <c r="C40" s="29" t="inlineStr">
        <is>
          <t>LU</t>
        </is>
      </c>
      <c r="D40" s="81" t="n"/>
      <c r="E40" s="81" t="n"/>
      <c r="F40" s="225" t="n">
        <v>1210</v>
      </c>
      <c r="G40" s="225" t="n">
        <v>1094</v>
      </c>
      <c r="H40" s="81" t="n"/>
      <c r="I40" s="79">
        <f t="array" ref="I40">G40+F40</f>
        <v/>
      </c>
      <c r="J40" s="81" t="n"/>
      <c r="K40" s="81" t="n"/>
      <c r="L40" s="81" t="n"/>
    </row>
    <row r="41" ht="20.05" customHeight="1" s="215">
      <c r="A41" s="4" t="inlineStr">
        <is>
          <t>c1lv</t>
        </is>
      </c>
      <c r="B41" s="34" t="inlineStr">
        <is>
          <t>Latvia</t>
        </is>
      </c>
      <c r="C41" s="29" t="inlineStr">
        <is>
          <t>LV</t>
        </is>
      </c>
      <c r="D41" s="81" t="n"/>
      <c r="E41" s="81" t="n"/>
      <c r="F41" s="225" t="n">
        <v>4841</v>
      </c>
      <c r="G41" s="225" t="n">
        <v>4463</v>
      </c>
      <c r="H41" s="81" t="n"/>
      <c r="I41" s="79">
        <f t="array" ref="I41">G41+F41</f>
        <v/>
      </c>
      <c r="J41" s="81" t="n"/>
      <c r="K41" s="81" t="n"/>
      <c r="L41" s="81" t="n"/>
    </row>
    <row r="42" ht="20.05" customHeight="1" s="215">
      <c r="A42" s="4" t="inlineStr">
        <is>
          <t>c1mc</t>
        </is>
      </c>
      <c r="B42" s="34" t="inlineStr">
        <is>
          <t>Monaco</t>
        </is>
      </c>
      <c r="C42" s="29" t="inlineStr">
        <is>
          <t>MC</t>
        </is>
      </c>
      <c r="D42" s="81" t="n"/>
      <c r="E42" s="81" t="n"/>
      <c r="F42" s="225" t="n">
        <v>68</v>
      </c>
      <c r="G42" s="225" t="n">
        <v>61</v>
      </c>
      <c r="H42" s="81" t="n"/>
      <c r="I42" s="79">
        <f t="array" ref="I42">G42+F42</f>
        <v/>
      </c>
      <c r="J42" s="81" t="n"/>
      <c r="K42" s="81" t="n"/>
      <c r="L42" s="81" t="n"/>
    </row>
    <row r="43" ht="20.05" customHeight="1" s="215">
      <c r="A43" s="4" t="inlineStr">
        <is>
          <t>c1md</t>
        </is>
      </c>
      <c r="B43" s="34" t="inlineStr">
        <is>
          <t>Moldova (the Republic of)</t>
        </is>
      </c>
      <c r="C43" s="29" t="inlineStr">
        <is>
          <t>MD</t>
        </is>
      </c>
      <c r="D43" s="81" t="n"/>
      <c r="E43" s="81" t="n"/>
      <c r="F43" s="225" t="n">
        <v>3814</v>
      </c>
      <c r="G43" s="225" t="n">
        <v>3672</v>
      </c>
      <c r="H43" s="81" t="n"/>
      <c r="I43" s="79">
        <f t="array" ref="I43">G43+F43</f>
        <v/>
      </c>
      <c r="J43" s="81" t="n"/>
      <c r="K43" s="81" t="n"/>
      <c r="L43" s="81" t="n"/>
    </row>
    <row r="44" ht="20.05" customHeight="1" s="215">
      <c r="A44" s="4" t="inlineStr">
        <is>
          <t>c1me</t>
        </is>
      </c>
      <c r="B44" s="34" t="inlineStr">
        <is>
          <t>Montenegro</t>
        </is>
      </c>
      <c r="C44" s="29" t="inlineStr">
        <is>
          <t>ME</t>
        </is>
      </c>
      <c r="D44" s="81" t="n"/>
      <c r="E44" s="81" t="n"/>
      <c r="F44" s="225" t="n">
        <v>782</v>
      </c>
      <c r="G44" s="225" t="n">
        <v>821</v>
      </c>
      <c r="H44" s="81" t="n"/>
      <c r="I44" s="79">
        <f t="array" ref="I44">G44+F44</f>
        <v/>
      </c>
      <c r="J44" s="81" t="n"/>
      <c r="K44" s="81" t="n"/>
      <c r="L44" s="81" t="n"/>
    </row>
    <row r="45" ht="20.05" customHeight="1" s="215">
      <c r="A45" s="4" t="inlineStr">
        <is>
          <t>c1mk</t>
        </is>
      </c>
      <c r="B45" s="34" t="inlineStr">
        <is>
          <t>North Macedonia</t>
        </is>
      </c>
      <c r="C45" s="29" t="inlineStr">
        <is>
          <t>MK</t>
        </is>
      </c>
      <c r="D45" s="81" t="n"/>
      <c r="E45" s="81" t="n"/>
      <c r="F45" s="116" t="n"/>
      <c r="G45" s="116" t="n"/>
      <c r="H45" s="81" t="n"/>
      <c r="I45" s="79">
        <f t="array" ref="I45">G45+F45</f>
        <v/>
      </c>
      <c r="J45" s="81" t="n"/>
      <c r="K45" s="81" t="n"/>
      <c r="L45" s="81" t="n"/>
    </row>
    <row r="46" ht="20.05" customHeight="1" s="215">
      <c r="A46" s="4" t="inlineStr">
        <is>
          <t>c1mt</t>
        </is>
      </c>
      <c r="B46" s="34" t="inlineStr">
        <is>
          <t>Malta</t>
        </is>
      </c>
      <c r="C46" s="29" t="inlineStr">
        <is>
          <t>MT</t>
        </is>
      </c>
      <c r="D46" s="81" t="n"/>
      <c r="E46" s="81" t="n"/>
      <c r="F46" s="225" t="n">
        <v>409</v>
      </c>
      <c r="G46" s="225" t="n">
        <v>400</v>
      </c>
      <c r="H46" s="81" t="n"/>
      <c r="I46" s="79">
        <f t="array" ref="I46">G46+F46</f>
        <v/>
      </c>
      <c r="J46" s="81" t="n"/>
      <c r="K46" s="81" t="n"/>
      <c r="L46" s="81" t="n"/>
    </row>
    <row r="47" ht="20.05" customHeight="1" s="215">
      <c r="A47" s="4" t="inlineStr">
        <is>
          <t>c1nl</t>
        </is>
      </c>
      <c r="B47" s="34" t="inlineStr">
        <is>
          <t>Netherlands (Kingdom of the)</t>
        </is>
      </c>
      <c r="C47" s="29" t="inlineStr">
        <is>
          <t>NL</t>
        </is>
      </c>
      <c r="D47" s="81" t="n"/>
      <c r="E47" s="81" t="n"/>
      <c r="F47" s="116" t="n"/>
      <c r="G47" s="116" t="n"/>
      <c r="H47" s="81" t="n"/>
      <c r="I47" s="79">
        <f t="array" ref="I47">G47+F47</f>
        <v/>
      </c>
      <c r="J47" s="81" t="n"/>
      <c r="K47" s="81" t="n"/>
      <c r="L47" s="81" t="n"/>
    </row>
    <row r="48" ht="20.05" customHeight="1" s="215">
      <c r="A48" s="4" t="inlineStr">
        <is>
          <t>c1no</t>
        </is>
      </c>
      <c r="B48" s="34" t="inlineStr">
        <is>
          <t>Norway</t>
        </is>
      </c>
      <c r="C48" s="29" t="inlineStr">
        <is>
          <t>NO</t>
        </is>
      </c>
      <c r="D48" s="81" t="n"/>
      <c r="E48" s="81" t="n"/>
      <c r="F48" s="225" t="n">
        <v>1906</v>
      </c>
      <c r="G48" s="225" t="n">
        <v>1543</v>
      </c>
      <c r="H48" s="81" t="n"/>
      <c r="I48" s="79">
        <f t="array" ref="I48">G48+F48</f>
        <v/>
      </c>
      <c r="J48" s="81" t="n"/>
      <c r="K48" s="81" t="n"/>
      <c r="L48" s="81" t="n"/>
    </row>
    <row r="49" ht="20.05" customHeight="1" s="215">
      <c r="A49" s="4" t="inlineStr">
        <is>
          <t>c1pl</t>
        </is>
      </c>
      <c r="B49" s="34" t="inlineStr">
        <is>
          <t>Poland</t>
        </is>
      </c>
      <c r="C49" s="29" t="inlineStr">
        <is>
          <t>PL</t>
        </is>
      </c>
      <c r="D49" s="81" t="n"/>
      <c r="E49" s="81" t="n"/>
      <c r="F49" s="225" t="n">
        <v>99195</v>
      </c>
      <c r="G49" s="225" t="n">
        <v>92106</v>
      </c>
      <c r="H49" s="81" t="n"/>
      <c r="I49" s="79">
        <f t="array" ref="I49">G49+F49</f>
        <v/>
      </c>
      <c r="J49" s="81" t="n"/>
      <c r="K49" s="81" t="n"/>
      <c r="L49" s="81" t="n"/>
    </row>
    <row r="50" ht="20.05" customHeight="1" s="215">
      <c r="A50" s="4" t="inlineStr">
        <is>
          <t>c1pt</t>
        </is>
      </c>
      <c r="B50" s="34" t="inlineStr">
        <is>
          <t>Portugal</t>
        </is>
      </c>
      <c r="C50" s="29" t="inlineStr">
        <is>
          <t>PT</t>
        </is>
      </c>
      <c r="D50" s="81" t="n"/>
      <c r="E50" s="81" t="n"/>
      <c r="F50" s="225" t="n">
        <v>13202</v>
      </c>
      <c r="G50" s="225" t="n">
        <v>15743</v>
      </c>
      <c r="H50" s="81" t="n"/>
      <c r="I50" s="79">
        <f t="array" ref="I50">G50+F50</f>
        <v/>
      </c>
      <c r="J50" s="81" t="n"/>
      <c r="K50" s="81" t="n"/>
      <c r="L50" s="81" t="n"/>
    </row>
    <row r="51" ht="20.05" customHeight="1" s="215">
      <c r="A51" s="4" t="inlineStr">
        <is>
          <t>c1ro</t>
        </is>
      </c>
      <c r="B51" s="34" t="inlineStr">
        <is>
          <t>Romania</t>
        </is>
      </c>
      <c r="C51" s="29" t="inlineStr">
        <is>
          <t>RO</t>
        </is>
      </c>
      <c r="D51" s="81" t="n"/>
      <c r="E51" s="81" t="n"/>
      <c r="F51" s="225" t="n">
        <v>26129</v>
      </c>
      <c r="G51" s="225" t="n">
        <v>28055</v>
      </c>
      <c r="H51" s="81" t="n"/>
      <c r="I51" s="79">
        <f t="array" ref="I51">G51+F51</f>
        <v/>
      </c>
      <c r="J51" s="81" t="n"/>
      <c r="K51" s="81" t="n"/>
      <c r="L51" s="81" t="n"/>
    </row>
    <row r="52" ht="20.05" customHeight="1" s="215">
      <c r="A52" s="4" t="inlineStr">
        <is>
          <t>c1rs</t>
        </is>
      </c>
      <c r="B52" s="34" t="inlineStr">
        <is>
          <t>Serbia</t>
        </is>
      </c>
      <c r="C52" s="29" t="inlineStr">
        <is>
          <t>RS</t>
        </is>
      </c>
      <c r="D52" s="81" t="n"/>
      <c r="E52" s="81" t="n"/>
      <c r="F52" s="225" t="n">
        <v>6627</v>
      </c>
      <c r="G52" s="225" t="n">
        <v>5190</v>
      </c>
      <c r="H52" s="81" t="n"/>
      <c r="I52" s="79">
        <f t="array" ref="I52">G52+F52</f>
        <v/>
      </c>
      <c r="J52" s="81" t="n"/>
      <c r="K52" s="81" t="n"/>
      <c r="L52" s="81" t="n"/>
    </row>
    <row r="53" ht="20.05" customHeight="1" s="215">
      <c r="A53" s="4" t="inlineStr">
        <is>
          <t>c1ru</t>
        </is>
      </c>
      <c r="B53" s="34" t="inlineStr">
        <is>
          <t>Russian Federation (the)</t>
        </is>
      </c>
      <c r="C53" s="29" t="inlineStr">
        <is>
          <t>RU</t>
        </is>
      </c>
      <c r="D53" s="81" t="n"/>
      <c r="E53" s="81" t="n"/>
      <c r="F53" s="116" t="n"/>
      <c r="G53" s="116" t="n"/>
      <c r="H53" s="81" t="n"/>
      <c r="I53" s="79">
        <f t="array" ref="I53">G53+F53</f>
        <v/>
      </c>
      <c r="J53" s="81" t="n"/>
      <c r="K53" s="81" t="n"/>
      <c r="L53" s="81" t="n"/>
    </row>
    <row r="54" ht="20.05" customHeight="1" s="215">
      <c r="A54" s="4" t="inlineStr">
        <is>
          <t>c1se</t>
        </is>
      </c>
      <c r="B54" s="34" t="inlineStr">
        <is>
          <t>Sweden</t>
        </is>
      </c>
      <c r="C54" s="29" t="inlineStr">
        <is>
          <t>SE</t>
        </is>
      </c>
      <c r="D54" s="81" t="n"/>
      <c r="E54" s="81" t="n"/>
      <c r="F54" s="225" t="n">
        <v>3707</v>
      </c>
      <c r="G54" s="225" t="n">
        <v>2822</v>
      </c>
      <c r="H54" s="81" t="n"/>
      <c r="I54" s="79">
        <f t="array" ref="I54">G54+F54</f>
        <v/>
      </c>
      <c r="J54" s="81" t="n"/>
      <c r="K54" s="81" t="n"/>
      <c r="L54" s="81" t="n"/>
    </row>
    <row r="55" ht="20.05" customHeight="1" s="215">
      <c r="A55" s="4" t="inlineStr">
        <is>
          <t>c1si</t>
        </is>
      </c>
      <c r="B55" s="34" t="inlineStr">
        <is>
          <t>Slovenia</t>
        </is>
      </c>
      <c r="C55" s="29" t="inlineStr">
        <is>
          <t>SI</t>
        </is>
      </c>
      <c r="D55" s="81" t="n"/>
      <c r="E55" s="81" t="n"/>
      <c r="F55" s="225" t="n">
        <v>1312</v>
      </c>
      <c r="G55" s="225" t="n">
        <v>964</v>
      </c>
      <c r="H55" s="81" t="n"/>
      <c r="I55" s="79">
        <f t="array" ref="I55">G55+F55</f>
        <v/>
      </c>
      <c r="J55" s="81" t="n"/>
      <c r="K55" s="81" t="n"/>
      <c r="L55" s="81" t="n"/>
    </row>
    <row r="56" ht="20.05" customHeight="1" s="215">
      <c r="A56" s="4" t="inlineStr">
        <is>
          <t>c1sj</t>
        </is>
      </c>
      <c r="B56" s="34" t="inlineStr">
        <is>
          <t>Norway</t>
        </is>
      </c>
      <c r="C56" s="29" t="inlineStr">
        <is>
          <t>SJ</t>
        </is>
      </c>
      <c r="D56" s="81" t="n"/>
      <c r="E56" s="81" t="n"/>
      <c r="F56" s="116" t="n"/>
      <c r="G56" s="116" t="n"/>
      <c r="H56" s="81" t="n"/>
      <c r="I56" s="79">
        <f t="array" ref="I56">G56+F56</f>
        <v/>
      </c>
      <c r="J56" s="81" t="n"/>
      <c r="K56" s="81" t="n"/>
      <c r="L56" s="81" t="n"/>
    </row>
    <row r="57" ht="20.05" customHeight="1" s="215">
      <c r="A57" s="4" t="inlineStr">
        <is>
          <t>c1sk</t>
        </is>
      </c>
      <c r="B57" s="34" t="inlineStr">
        <is>
          <t>Slovakia</t>
        </is>
      </c>
      <c r="C57" s="29" t="inlineStr">
        <is>
          <t>SK</t>
        </is>
      </c>
      <c r="D57" s="81" t="n"/>
      <c r="E57" s="81" t="n"/>
      <c r="F57" s="225" t="n">
        <v>5272</v>
      </c>
      <c r="G57" s="225" t="n">
        <v>4759</v>
      </c>
      <c r="H57" s="81" t="n"/>
      <c r="I57" s="79">
        <f t="array" ref="I57">G57+F57</f>
        <v/>
      </c>
      <c r="J57" s="81" t="n"/>
      <c r="K57" s="81" t="n"/>
      <c r="L57" s="81" t="n"/>
    </row>
    <row r="58" ht="20.05" customHeight="1" s="215">
      <c r="A58" s="4" t="inlineStr">
        <is>
          <t>c1sm</t>
        </is>
      </c>
      <c r="B58" s="34" t="inlineStr">
        <is>
          <t>San Marino</t>
        </is>
      </c>
      <c r="C58" s="29" t="inlineStr">
        <is>
          <t>SM</t>
        </is>
      </c>
      <c r="D58" s="81" t="n"/>
      <c r="E58" s="81" t="n"/>
      <c r="F58" s="225" t="n">
        <v>7</v>
      </c>
      <c r="G58" s="225" t="n">
        <v>9</v>
      </c>
      <c r="H58" s="81" t="n"/>
      <c r="I58" s="79">
        <f t="array" ref="I58">G58+F58</f>
        <v/>
      </c>
      <c r="J58" s="81" t="n"/>
      <c r="K58" s="81" t="n"/>
      <c r="L58" s="81" t="n"/>
    </row>
    <row r="59" ht="20.05" customHeight="1" s="215">
      <c r="A59" s="4" t="inlineStr">
        <is>
          <t>c1ua</t>
        </is>
      </c>
      <c r="B59" s="34" t="inlineStr">
        <is>
          <t>Ukraine[ad]</t>
        </is>
      </c>
      <c r="C59" s="29" t="inlineStr">
        <is>
          <t>UA</t>
        </is>
      </c>
      <c r="D59" s="81" t="n"/>
      <c r="E59" s="81" t="n"/>
      <c r="F59" s="225" t="n">
        <v>77485</v>
      </c>
      <c r="G59" s="225" t="n">
        <v>50232</v>
      </c>
      <c r="H59" s="81" t="n"/>
      <c r="I59" s="79">
        <f t="array" ref="I59">G59+F59</f>
        <v/>
      </c>
      <c r="J59" s="81" t="n"/>
      <c r="K59" s="81" t="n"/>
      <c r="L59" s="81" t="n"/>
    </row>
    <row r="60" ht="20.05" customHeight="1" s="215">
      <c r="A60" s="4" t="inlineStr">
        <is>
          <t>c1va</t>
        </is>
      </c>
      <c r="B60" s="34" t="inlineStr">
        <is>
          <t>Vatican</t>
        </is>
      </c>
      <c r="C60" s="29" t="inlineStr">
        <is>
          <t>VA</t>
        </is>
      </c>
      <c r="D60" s="81" t="n"/>
      <c r="E60" s="81" t="n"/>
      <c r="F60" s="225" t="n">
        <v>0</v>
      </c>
      <c r="G60" s="225" t="n">
        <v>0</v>
      </c>
      <c r="H60" s="81" t="n"/>
      <c r="I60" s="79">
        <f t="array" ref="I60">G60+F60</f>
        <v/>
      </c>
      <c r="J60" s="81" t="n"/>
      <c r="K60" s="81" t="n"/>
      <c r="L60" s="81" t="n"/>
    </row>
    <row r="61" ht="20.05" customHeight="1" s="215">
      <c r="A61" s="4" t="inlineStr">
        <is>
          <t>c1xk</t>
        </is>
      </c>
      <c r="B61" s="34" t="inlineStr">
        <is>
          <t>Kosovo</t>
        </is>
      </c>
      <c r="C61" s="29" t="inlineStr">
        <is>
          <t>XK</t>
        </is>
      </c>
      <c r="D61" s="81" t="n"/>
      <c r="E61" s="81" t="n"/>
      <c r="F61" s="225" t="n">
        <v>2554</v>
      </c>
      <c r="G61" s="225" t="n">
        <v>2712</v>
      </c>
      <c r="H61" s="81" t="n"/>
      <c r="I61" s="79">
        <f t="array" ref="I61">G61+F61</f>
        <v/>
      </c>
      <c r="J61" s="81" t="n"/>
      <c r="K61" s="81" t="n"/>
      <c r="L61" s="81" t="n"/>
    </row>
    <row r="62" ht="20.05" customHeight="1" s="215">
      <c r="A62" s="4" t="inlineStr">
        <is>
          <t>c1</t>
        </is>
      </c>
      <c r="B62" s="178" t="inlineStr">
        <is>
          <t>Europe</t>
        </is>
      </c>
      <c r="C62" s="76" t="n"/>
      <c r="D62" s="81" t="n"/>
      <c r="E62" s="81" t="n"/>
      <c r="F62" s="79">
        <f t="array" ref="F62">SUM(F10:F61)</f>
        <v/>
      </c>
      <c r="G62" s="79">
        <f t="array" ref="G62">SUM(G10:G61)</f>
        <v/>
      </c>
      <c r="H62" s="81" t="n"/>
      <c r="I62" s="79">
        <f t="array" ref="I62">SUM(I10:I61)</f>
        <v/>
      </c>
      <c r="J62" s="81" t="n"/>
      <c r="K62" s="81" t="n"/>
      <c r="L62" s="81" t="n"/>
    </row>
    <row r="63" ht="20.05" customHeight="1" s="215">
      <c r="A63" s="3" t="n"/>
      <c r="B63" s="28" t="n"/>
      <c r="C63" s="17" t="n"/>
      <c r="D63" s="81" t="n"/>
      <c r="E63" s="81" t="n"/>
      <c r="F63" s="81" t="n"/>
      <c r="G63" s="81" t="n"/>
      <c r="H63" s="81" t="n"/>
      <c r="I63" s="81" t="n"/>
      <c r="J63" s="81" t="n"/>
      <c r="K63" s="81" t="n"/>
      <c r="L63" s="81" t="n"/>
    </row>
    <row r="64" ht="20.05" customHeight="1" s="215">
      <c r="A64" s="3" t="n"/>
      <c r="B64" s="34" t="inlineStr">
        <is>
          <t>North America</t>
        </is>
      </c>
      <c r="C64" s="17" t="n"/>
      <c r="D64" s="81" t="n"/>
      <c r="E64" s="81" t="n"/>
      <c r="F64" s="81" t="n"/>
      <c r="G64" s="81" t="n"/>
      <c r="H64" s="81" t="n"/>
      <c r="I64" s="81" t="n"/>
      <c r="J64" s="81" t="n"/>
      <c r="K64" s="81" t="n"/>
      <c r="L64" s="81" t="n"/>
    </row>
    <row r="65" ht="20.05" customHeight="1" s="215">
      <c r="A65" s="4" t="inlineStr">
        <is>
          <t>c2ag</t>
        </is>
      </c>
      <c r="B65" s="34" t="inlineStr">
        <is>
          <t>Antigua and Barbuda</t>
        </is>
      </c>
      <c r="C65" s="29" t="inlineStr">
        <is>
          <t>AG</t>
        </is>
      </c>
      <c r="D65" s="81" t="n"/>
      <c r="E65" s="81" t="n"/>
      <c r="F65" s="225" t="n">
        <v>20</v>
      </c>
      <c r="G65" s="225" t="n">
        <v>14</v>
      </c>
      <c r="H65" s="81" t="n"/>
      <c r="I65" s="79">
        <f t="array" ref="I65">G65+F65</f>
        <v/>
      </c>
      <c r="J65" s="81" t="n"/>
      <c r="K65" s="81" t="n"/>
      <c r="L65" s="81" t="n"/>
    </row>
    <row r="66" ht="20.05" customHeight="1" s="215">
      <c r="A66" s="4" t="inlineStr">
        <is>
          <t>c2ai</t>
        </is>
      </c>
      <c r="B66" s="34" t="inlineStr">
        <is>
          <t>Anguilla</t>
        </is>
      </c>
      <c r="C66" s="29" t="inlineStr">
        <is>
          <t>AI</t>
        </is>
      </c>
      <c r="D66" s="81" t="n"/>
      <c r="E66" s="81" t="n"/>
      <c r="F66" s="116" t="n"/>
      <c r="G66" s="116" t="n"/>
      <c r="H66" s="81" t="n"/>
      <c r="I66" s="79">
        <f t="array" ref="I66">G66+F66</f>
        <v/>
      </c>
      <c r="J66" s="81" t="n"/>
      <c r="K66" s="81" t="n"/>
      <c r="L66" s="81" t="n"/>
    </row>
    <row r="67" ht="20.05" customHeight="1" s="215">
      <c r="A67" s="4" t="inlineStr">
        <is>
          <t>c2aw</t>
        </is>
      </c>
      <c r="B67" s="34" t="inlineStr">
        <is>
          <t>Aruba</t>
        </is>
      </c>
      <c r="C67" s="29" t="inlineStr">
        <is>
          <t>AW</t>
        </is>
      </c>
      <c r="D67" s="81" t="n"/>
      <c r="E67" s="81" t="n"/>
      <c r="F67" s="116" t="n"/>
      <c r="G67" s="116" t="n"/>
      <c r="H67" s="81" t="n"/>
      <c r="I67" s="79">
        <f t="array" ref="I67">G67+F67</f>
        <v/>
      </c>
      <c r="J67" s="81" t="n"/>
      <c r="K67" s="81" t="n"/>
      <c r="L67" s="81" t="n"/>
    </row>
    <row r="68" ht="20.05" customHeight="1" s="215">
      <c r="A68" s="4" t="inlineStr">
        <is>
          <t>c2bb</t>
        </is>
      </c>
      <c r="B68" s="34" t="inlineStr">
        <is>
          <t>Barbados</t>
        </is>
      </c>
      <c r="C68" s="29" t="inlineStr">
        <is>
          <t>BB</t>
        </is>
      </c>
      <c r="D68" s="81" t="n"/>
      <c r="E68" s="81" t="n"/>
      <c r="F68" s="225" t="n">
        <v>55</v>
      </c>
      <c r="G68" s="225" t="n">
        <v>56</v>
      </c>
      <c r="H68" s="81" t="n"/>
      <c r="I68" s="79">
        <f t="array" ref="I68">G68+F68</f>
        <v/>
      </c>
      <c r="J68" s="81" t="n"/>
      <c r="K68" s="81" t="n"/>
      <c r="L68" s="81" t="n"/>
    </row>
    <row r="69" ht="20.05" customHeight="1" s="215">
      <c r="A69" s="4" t="inlineStr">
        <is>
          <t>c2bl</t>
        </is>
      </c>
      <c r="B69" s="34" t="inlineStr">
        <is>
          <t>Saint Barthélemy</t>
        </is>
      </c>
      <c r="C69" s="29" t="inlineStr">
        <is>
          <t>BL</t>
        </is>
      </c>
      <c r="D69" s="81" t="n"/>
      <c r="E69" s="81" t="n"/>
      <c r="F69" s="116" t="n"/>
      <c r="G69" s="116" t="n"/>
      <c r="H69" s="81" t="n"/>
      <c r="I69" s="79">
        <f t="array" ref="I69">G69+F69</f>
        <v/>
      </c>
      <c r="J69" s="81" t="n"/>
      <c r="K69" s="81" t="n"/>
      <c r="L69" s="81" t="n"/>
    </row>
    <row r="70" ht="20.05" customHeight="1" s="215">
      <c r="A70" s="4" t="inlineStr">
        <is>
          <t>c2bm</t>
        </is>
      </c>
      <c r="B70" s="34" t="inlineStr">
        <is>
          <t>Bermuda</t>
        </is>
      </c>
      <c r="C70" s="29" t="inlineStr">
        <is>
          <t>BM</t>
        </is>
      </c>
      <c r="D70" s="81" t="n"/>
      <c r="E70" s="81" t="n"/>
      <c r="F70" s="116" t="n"/>
      <c r="G70" s="116" t="n"/>
      <c r="H70" s="81" t="n"/>
      <c r="I70" s="79">
        <f t="array" ref="I70">G70+F70</f>
        <v/>
      </c>
      <c r="J70" s="81" t="n"/>
      <c r="K70" s="81" t="n"/>
      <c r="L70" s="81" t="n"/>
    </row>
    <row r="71" ht="20.05" customHeight="1" s="215">
      <c r="A71" s="4" t="inlineStr">
        <is>
          <t>c2bq</t>
        </is>
      </c>
      <c r="B71" s="34" t="inlineStr">
        <is>
          <t>Bonaire, Sint Eustatius, Saba</t>
        </is>
      </c>
      <c r="C71" s="29" t="inlineStr">
        <is>
          <t>BQ</t>
        </is>
      </c>
      <c r="D71" s="81" t="n"/>
      <c r="E71" s="81" t="n"/>
      <c r="F71" s="116" t="n"/>
      <c r="G71" s="116" t="n"/>
      <c r="H71" s="81" t="n"/>
      <c r="I71" s="79">
        <f t="array" ref="I71">G71+F71</f>
        <v/>
      </c>
      <c r="J71" s="81" t="n"/>
      <c r="K71" s="81" t="n"/>
      <c r="L71" s="81" t="n"/>
    </row>
    <row r="72" ht="20.05" customHeight="1" s="215">
      <c r="A72" s="4" t="inlineStr">
        <is>
          <t>c2bs</t>
        </is>
      </c>
      <c r="B72" s="34" t="inlineStr">
        <is>
          <t>Bahamas (the)</t>
        </is>
      </c>
      <c r="C72" s="29" t="inlineStr">
        <is>
          <t>BS</t>
        </is>
      </c>
      <c r="D72" s="81" t="n"/>
      <c r="E72" s="81" t="n"/>
      <c r="F72" s="225" t="n">
        <v>37</v>
      </c>
      <c r="G72" s="225" t="n">
        <v>47</v>
      </c>
      <c r="H72" s="81" t="n"/>
      <c r="I72" s="79">
        <f t="array" ref="I72">G72+F72</f>
        <v/>
      </c>
      <c r="J72" s="81" t="n"/>
      <c r="K72" s="81" t="n"/>
      <c r="L72" s="81" t="n"/>
    </row>
    <row r="73" ht="20.05" customHeight="1" s="215">
      <c r="A73" s="4" t="inlineStr">
        <is>
          <t>c2bz</t>
        </is>
      </c>
      <c r="B73" s="34" t="inlineStr">
        <is>
          <t>Belize</t>
        </is>
      </c>
      <c r="C73" s="29" t="inlineStr">
        <is>
          <t>BZ</t>
        </is>
      </c>
      <c r="D73" s="81" t="n"/>
      <c r="E73" s="81" t="n"/>
      <c r="F73" s="225" t="n">
        <v>18</v>
      </c>
      <c r="G73" s="225" t="n">
        <v>18</v>
      </c>
      <c r="H73" s="81" t="n"/>
      <c r="I73" s="79">
        <f t="array" ref="I73">G73+F73</f>
        <v/>
      </c>
      <c r="J73" s="81" t="n"/>
      <c r="K73" s="81" t="n"/>
      <c r="L73" s="81" t="n"/>
    </row>
    <row r="74" ht="20.05" customHeight="1" s="215">
      <c r="A74" s="4" t="inlineStr">
        <is>
          <t>c2ca</t>
        </is>
      </c>
      <c r="B74" s="34" t="inlineStr">
        <is>
          <t>Canada</t>
        </is>
      </c>
      <c r="C74" s="29" t="inlineStr">
        <is>
          <t>CA</t>
        </is>
      </c>
      <c r="D74" s="81" t="n"/>
      <c r="E74" s="81" t="n"/>
      <c r="F74" s="225" t="n">
        <v>6505</v>
      </c>
      <c r="G74" s="225" t="n">
        <v>5463</v>
      </c>
      <c r="H74" s="81" t="n"/>
      <c r="I74" s="79">
        <f t="array" ref="I74">G74+F74</f>
        <v/>
      </c>
      <c r="J74" s="81" t="n"/>
      <c r="K74" s="81" t="n"/>
      <c r="L74" s="81" t="n"/>
    </row>
    <row r="75" ht="20.05" customHeight="1" s="215">
      <c r="A75" s="4" t="inlineStr">
        <is>
          <t>c2cr</t>
        </is>
      </c>
      <c r="B75" s="34" t="inlineStr">
        <is>
          <t>Costa Rica</t>
        </is>
      </c>
      <c r="C75" s="29" t="inlineStr">
        <is>
          <t>CR</t>
        </is>
      </c>
      <c r="D75" s="81" t="n"/>
      <c r="E75" s="81" t="n"/>
      <c r="F75" s="225" t="n">
        <v>768</v>
      </c>
      <c r="G75" s="225" t="n">
        <v>638</v>
      </c>
      <c r="H75" s="81" t="n"/>
      <c r="I75" s="79">
        <f t="array" ref="I75">G75+F75</f>
        <v/>
      </c>
      <c r="J75" s="81" t="n"/>
      <c r="K75" s="81" t="n"/>
      <c r="L75" s="81" t="n"/>
    </row>
    <row r="76" ht="20.05" customHeight="1" s="215">
      <c r="A76" s="4" t="inlineStr">
        <is>
          <t>c2cu</t>
        </is>
      </c>
      <c r="B76" s="34" t="inlineStr">
        <is>
          <t>Cuba</t>
        </is>
      </c>
      <c r="C76" s="29" t="inlineStr">
        <is>
          <t>CU</t>
        </is>
      </c>
      <c r="D76" s="81" t="n"/>
      <c r="E76" s="81" t="n"/>
      <c r="F76" s="225" t="n">
        <v>1143</v>
      </c>
      <c r="G76" s="225" t="n">
        <v>849</v>
      </c>
      <c r="H76" s="81" t="n"/>
      <c r="I76" s="79">
        <f t="array" ref="I76">G76+F76</f>
        <v/>
      </c>
      <c r="J76" s="81" t="n"/>
      <c r="K76" s="81" t="n"/>
      <c r="L76" s="81" t="n"/>
    </row>
    <row r="77" ht="20.05" customHeight="1" s="215">
      <c r="A77" s="4" t="inlineStr">
        <is>
          <t>c2cw</t>
        </is>
      </c>
      <c r="B77" s="34" t="inlineStr">
        <is>
          <t>Curaçao</t>
        </is>
      </c>
      <c r="C77" s="29" t="inlineStr">
        <is>
          <t>CW</t>
        </is>
      </c>
      <c r="D77" s="81" t="n"/>
      <c r="E77" s="81" t="n"/>
      <c r="F77" s="116" t="n"/>
      <c r="G77" s="116" t="n"/>
      <c r="H77" s="81" t="n"/>
      <c r="I77" s="79">
        <f t="array" ref="I77">G77+F77</f>
        <v/>
      </c>
      <c r="J77" s="81" t="n"/>
      <c r="K77" s="81" t="n"/>
      <c r="L77" s="81" t="n"/>
    </row>
    <row r="78" ht="20.05" customHeight="1" s="215">
      <c r="A78" s="4" t="inlineStr">
        <is>
          <t>c2dm</t>
        </is>
      </c>
      <c r="B78" s="34" t="inlineStr">
        <is>
          <t>Dominica</t>
        </is>
      </c>
      <c r="C78" s="29" t="inlineStr">
        <is>
          <t>DM</t>
        </is>
      </c>
      <c r="D78" s="81" t="n"/>
      <c r="E78" s="81" t="n"/>
      <c r="F78" s="225" t="n">
        <v>59</v>
      </c>
      <c r="G78" s="225" t="n">
        <v>31</v>
      </c>
      <c r="H78" s="81" t="n"/>
      <c r="I78" s="79">
        <f t="array" ref="I78">G78+F78</f>
        <v/>
      </c>
      <c r="J78" s="81" t="n"/>
      <c r="K78" s="81" t="n"/>
      <c r="L78" s="81" t="n"/>
    </row>
    <row r="79" ht="20.05" customHeight="1" s="215">
      <c r="A79" s="4" t="inlineStr">
        <is>
          <t>c2do</t>
        </is>
      </c>
      <c r="B79" s="34" t="inlineStr">
        <is>
          <t>Dominican Republic (the)</t>
        </is>
      </c>
      <c r="C79" s="29" t="inlineStr">
        <is>
          <t>DO</t>
        </is>
      </c>
      <c r="D79" s="81" t="n"/>
      <c r="E79" s="81" t="n"/>
      <c r="F79" s="225" t="n">
        <v>7330</v>
      </c>
      <c r="G79" s="225" t="n">
        <v>3851</v>
      </c>
      <c r="H79" s="81" t="n"/>
      <c r="I79" s="79">
        <f t="array" ref="I79">G79+F79</f>
        <v/>
      </c>
      <c r="J79" s="81" t="n"/>
      <c r="K79" s="81" t="n"/>
      <c r="L79" s="81" t="n"/>
    </row>
    <row r="80" ht="20.05" customHeight="1" s="215">
      <c r="A80" s="4" t="inlineStr">
        <is>
          <t>c2gd</t>
        </is>
      </c>
      <c r="B80" s="34" t="inlineStr">
        <is>
          <t>Grenada</t>
        </is>
      </c>
      <c r="C80" s="29" t="inlineStr">
        <is>
          <t>GD</t>
        </is>
      </c>
      <c r="D80" s="81" t="n"/>
      <c r="E80" s="81" t="n"/>
      <c r="F80" s="225" t="n">
        <v>33</v>
      </c>
      <c r="G80" s="225" t="n">
        <v>20</v>
      </c>
      <c r="H80" s="81" t="n"/>
      <c r="I80" s="79">
        <f t="array" ref="I80">G80+F80</f>
        <v/>
      </c>
      <c r="J80" s="81" t="n"/>
      <c r="K80" s="81" t="n"/>
      <c r="L80" s="81" t="n"/>
    </row>
    <row r="81" ht="20.05" customHeight="1" s="215">
      <c r="A81" s="4" t="inlineStr">
        <is>
          <t>c2gl</t>
        </is>
      </c>
      <c r="B81" s="34" t="inlineStr">
        <is>
          <t>Greenland</t>
        </is>
      </c>
      <c r="C81" s="29" t="inlineStr">
        <is>
          <t>GL</t>
        </is>
      </c>
      <c r="D81" s="81" t="n"/>
      <c r="E81" s="81" t="n"/>
      <c r="F81" s="116" t="n"/>
      <c r="G81" s="116" t="n"/>
      <c r="H81" s="81" t="n"/>
      <c r="I81" s="79">
        <f t="array" ref="I81">G81+F81</f>
        <v/>
      </c>
      <c r="J81" s="81" t="n"/>
      <c r="K81" s="81" t="n"/>
      <c r="L81" s="81" t="n"/>
    </row>
    <row r="82" ht="20.05" customHeight="1" s="215">
      <c r="A82" s="4" t="inlineStr">
        <is>
          <t>c2gp</t>
        </is>
      </c>
      <c r="B82" s="34" t="inlineStr">
        <is>
          <t>Guadeloupe</t>
        </is>
      </c>
      <c r="C82" s="29" t="inlineStr">
        <is>
          <t>GP</t>
        </is>
      </c>
      <c r="D82" s="81" t="n"/>
      <c r="E82" s="81" t="n"/>
      <c r="F82" s="116" t="n"/>
      <c r="G82" s="116" t="n"/>
      <c r="H82" s="81" t="n"/>
      <c r="I82" s="79">
        <f t="array" ref="I82">G82+F82</f>
        <v/>
      </c>
      <c r="J82" s="81" t="n"/>
      <c r="K82" s="81" t="n"/>
      <c r="L82" s="81" t="n"/>
    </row>
    <row r="83" ht="20.05" customHeight="1" s="215">
      <c r="A83" s="4" t="inlineStr">
        <is>
          <t>c2gt</t>
        </is>
      </c>
      <c r="B83" s="34" t="inlineStr">
        <is>
          <t>Guatemala</t>
        </is>
      </c>
      <c r="C83" s="29" t="inlineStr">
        <is>
          <t>GT</t>
        </is>
      </c>
      <c r="D83" s="81" t="n"/>
      <c r="E83" s="81" t="n"/>
      <c r="F83" s="225" t="n">
        <v>591</v>
      </c>
      <c r="G83" s="225" t="n">
        <v>529</v>
      </c>
      <c r="H83" s="81" t="n"/>
      <c r="I83" s="79">
        <f t="array" ref="I83">G83+F83</f>
        <v/>
      </c>
      <c r="J83" s="81" t="n"/>
      <c r="K83" s="81" t="n"/>
      <c r="L83" s="81" t="n"/>
    </row>
    <row r="84" ht="20.05" customHeight="1" s="215">
      <c r="A84" s="4" t="inlineStr">
        <is>
          <t>c2hn</t>
        </is>
      </c>
      <c r="B84" s="34" t="inlineStr">
        <is>
          <t>Honduras</t>
        </is>
      </c>
      <c r="C84" s="29" t="inlineStr">
        <is>
          <t>HN</t>
        </is>
      </c>
      <c r="D84" s="81" t="n"/>
      <c r="E84" s="81" t="n"/>
      <c r="F84" s="225" t="n">
        <v>463</v>
      </c>
      <c r="G84" s="225" t="n">
        <v>303</v>
      </c>
      <c r="H84" s="81" t="n"/>
      <c r="I84" s="79">
        <f t="array" ref="I84">G84+F84</f>
        <v/>
      </c>
      <c r="J84" s="81" t="n"/>
      <c r="K84" s="81" t="n"/>
      <c r="L84" s="81" t="n"/>
    </row>
    <row r="85" ht="20.05" customHeight="1" s="215">
      <c r="A85" s="4" t="inlineStr">
        <is>
          <t>c2ht</t>
        </is>
      </c>
      <c r="B85" s="34" t="inlineStr">
        <is>
          <t>Haiti</t>
        </is>
      </c>
      <c r="C85" s="29" t="inlineStr">
        <is>
          <t>HT</t>
        </is>
      </c>
      <c r="D85" s="81" t="n"/>
      <c r="E85" s="81" t="n"/>
      <c r="F85" s="225" t="n">
        <v>815</v>
      </c>
      <c r="G85" s="225" t="n">
        <v>811</v>
      </c>
      <c r="H85" s="81" t="n"/>
      <c r="I85" s="79">
        <f t="array" ref="I85">G85+F85</f>
        <v/>
      </c>
      <c r="J85" s="81" t="n"/>
      <c r="K85" s="81" t="n"/>
      <c r="L85" s="81" t="n"/>
    </row>
    <row r="86" ht="20.05" customHeight="1" s="215">
      <c r="A86" s="4" t="inlineStr">
        <is>
          <t>c2jm</t>
        </is>
      </c>
      <c r="B86" s="34" t="inlineStr">
        <is>
          <t>Jamaica</t>
        </is>
      </c>
      <c r="C86" s="29" t="inlineStr">
        <is>
          <t>JM</t>
        </is>
      </c>
      <c r="D86" s="81" t="n"/>
      <c r="E86" s="81" t="n"/>
      <c r="F86" s="225" t="n">
        <v>669</v>
      </c>
      <c r="G86" s="225" t="n">
        <v>636</v>
      </c>
      <c r="H86" s="81" t="n"/>
      <c r="I86" s="79">
        <f t="array" ref="I86">G86+F86</f>
        <v/>
      </c>
      <c r="J86" s="81" t="n"/>
      <c r="K86" s="81" t="n"/>
      <c r="L86" s="81" t="n"/>
    </row>
    <row r="87" ht="20.05" customHeight="1" s="215">
      <c r="A87" s="4" t="inlineStr">
        <is>
          <t>c2kn</t>
        </is>
      </c>
      <c r="B87" s="34" t="inlineStr">
        <is>
          <t>Saint Kitts and Nevis</t>
        </is>
      </c>
      <c r="C87" s="29" t="inlineStr">
        <is>
          <t>KN</t>
        </is>
      </c>
      <c r="D87" s="81" t="n"/>
      <c r="E87" s="81" t="n"/>
      <c r="F87" s="225" t="n">
        <v>47</v>
      </c>
      <c r="G87" s="225" t="n">
        <v>30</v>
      </c>
      <c r="H87" s="81" t="n"/>
      <c r="I87" s="79">
        <f t="array" ref="I87">G87+F87</f>
        <v/>
      </c>
      <c r="J87" s="81" t="n"/>
      <c r="K87" s="81" t="n"/>
      <c r="L87" s="81" t="n"/>
    </row>
    <row r="88" ht="20.05" customHeight="1" s="215">
      <c r="A88" s="4" t="inlineStr">
        <is>
          <t>c2ky</t>
        </is>
      </c>
      <c r="B88" s="34" t="inlineStr">
        <is>
          <t>Cayman Islands (the)</t>
        </is>
      </c>
      <c r="C88" s="29" t="inlineStr">
        <is>
          <t>KY</t>
        </is>
      </c>
      <c r="D88" s="81" t="n"/>
      <c r="E88" s="81" t="n"/>
      <c r="F88" s="116" t="n"/>
      <c r="G88" s="116" t="n"/>
      <c r="H88" s="81" t="n"/>
      <c r="I88" s="79">
        <f t="array" ref="I88">G88+F88</f>
        <v/>
      </c>
      <c r="J88" s="81" t="n"/>
      <c r="K88" s="81" t="n"/>
      <c r="L88" s="81" t="n"/>
    </row>
    <row r="89" ht="20.05" customHeight="1" s="215">
      <c r="A89" s="4" t="inlineStr">
        <is>
          <t>c2lc</t>
        </is>
      </c>
      <c r="B89" s="34" t="inlineStr">
        <is>
          <t>Saint Lucia</t>
        </is>
      </c>
      <c r="C89" s="29" t="inlineStr">
        <is>
          <t>LC</t>
        </is>
      </c>
      <c r="D89" s="81" t="n"/>
      <c r="E89" s="81" t="n"/>
      <c r="F89" s="116" t="n"/>
      <c r="G89" s="116" t="n"/>
      <c r="H89" s="81" t="n"/>
      <c r="I89" s="79">
        <f t="array" ref="I89">G89+F89</f>
        <v/>
      </c>
      <c r="J89" s="81" t="n"/>
      <c r="K89" s="81" t="n"/>
      <c r="L89" s="81" t="n"/>
    </row>
    <row r="90" ht="20.05" customHeight="1" s="215">
      <c r="A90" s="4" t="inlineStr">
        <is>
          <t>c2mf</t>
        </is>
      </c>
      <c r="B90" s="34" t="inlineStr">
        <is>
          <t>Saint Martin (French part)</t>
        </is>
      </c>
      <c r="C90" s="29" t="inlineStr">
        <is>
          <t>MF</t>
        </is>
      </c>
      <c r="D90" s="81" t="n"/>
      <c r="E90" s="81" t="n"/>
      <c r="F90" s="116" t="n"/>
      <c r="G90" s="116" t="n"/>
      <c r="H90" s="81" t="n"/>
      <c r="I90" s="79">
        <f t="array" ref="I90">G90+F90</f>
        <v/>
      </c>
      <c r="J90" s="81" t="n"/>
      <c r="K90" s="81" t="n"/>
      <c r="L90" s="81" t="n"/>
    </row>
    <row r="91" ht="20.05" customHeight="1" s="215">
      <c r="A91" s="4" t="inlineStr">
        <is>
          <t>c2mq</t>
        </is>
      </c>
      <c r="B91" s="34" t="inlineStr">
        <is>
          <t>Martinique</t>
        </is>
      </c>
      <c r="C91" s="29" t="inlineStr">
        <is>
          <t>MQ</t>
        </is>
      </c>
      <c r="D91" s="81" t="n"/>
      <c r="E91" s="81" t="n"/>
      <c r="F91" s="116" t="n"/>
      <c r="G91" s="116" t="n"/>
      <c r="H91" s="81" t="n"/>
      <c r="I91" s="79">
        <f t="array" ref="I91">G91+F91</f>
        <v/>
      </c>
      <c r="J91" s="81" t="n"/>
      <c r="K91" s="81" t="n"/>
      <c r="L91" s="81" t="n"/>
    </row>
    <row r="92" ht="20.05" customHeight="1" s="215">
      <c r="A92" s="4" t="inlineStr">
        <is>
          <t>c2ms</t>
        </is>
      </c>
      <c r="B92" s="34" t="inlineStr">
        <is>
          <t>Montserrat</t>
        </is>
      </c>
      <c r="C92" s="29" t="inlineStr">
        <is>
          <t>MS</t>
        </is>
      </c>
      <c r="D92" s="81" t="n"/>
      <c r="E92" s="81" t="n"/>
      <c r="F92" s="116" t="n"/>
      <c r="G92" s="116" t="n"/>
      <c r="H92" s="81" t="n"/>
      <c r="I92" s="79">
        <f t="array" ref="I92">G92+F92</f>
        <v/>
      </c>
      <c r="J92" s="81" t="n"/>
      <c r="K92" s="81" t="n"/>
      <c r="L92" s="81" t="n"/>
    </row>
    <row r="93" ht="20.05" customHeight="1" s="215">
      <c r="A93" s="4" t="inlineStr">
        <is>
          <t>c2mx</t>
        </is>
      </c>
      <c r="B93" s="34" t="inlineStr">
        <is>
          <t>Mexico</t>
        </is>
      </c>
      <c r="C93" s="29" t="inlineStr">
        <is>
          <t>MX</t>
        </is>
      </c>
      <c r="D93" s="81" t="n"/>
      <c r="E93" s="81" t="n"/>
      <c r="F93" s="225" t="n">
        <v>5255</v>
      </c>
      <c r="G93" s="225" t="n">
        <v>3589</v>
      </c>
      <c r="H93" s="81" t="n"/>
      <c r="I93" s="79">
        <f t="array" ref="I93">G93+F93</f>
        <v/>
      </c>
      <c r="J93" s="81" t="n"/>
      <c r="K93" s="81" t="n"/>
      <c r="L93" s="81" t="n"/>
    </row>
    <row r="94" ht="20.05" customHeight="1" s="215">
      <c r="A94" s="4" t="inlineStr">
        <is>
          <t>c2ni</t>
        </is>
      </c>
      <c r="B94" s="34" t="inlineStr">
        <is>
          <t>Nicaragua</t>
        </is>
      </c>
      <c r="C94" s="29" t="inlineStr">
        <is>
          <t>NI</t>
        </is>
      </c>
      <c r="D94" s="81" t="n"/>
      <c r="E94" s="81" t="n"/>
      <c r="F94" s="225" t="n">
        <v>496</v>
      </c>
      <c r="G94" s="225" t="n">
        <v>392</v>
      </c>
      <c r="H94" s="81" t="n"/>
      <c r="I94" s="79">
        <f t="array" ref="I94">G94+F94</f>
        <v/>
      </c>
      <c r="J94" s="81" t="n"/>
      <c r="K94" s="81" t="n"/>
      <c r="L94" s="81" t="n"/>
    </row>
    <row r="95" ht="20.05" customHeight="1" s="215">
      <c r="A95" s="4" t="inlineStr">
        <is>
          <t>c2pa</t>
        </is>
      </c>
      <c r="B95" s="34" t="inlineStr">
        <is>
          <t>Panama</t>
        </is>
      </c>
      <c r="C95" s="29" t="inlineStr">
        <is>
          <t>PA</t>
        </is>
      </c>
      <c r="D95" s="81" t="n"/>
      <c r="E95" s="81" t="n"/>
      <c r="F95" s="225" t="n">
        <v>327</v>
      </c>
      <c r="G95" s="225" t="n">
        <v>286</v>
      </c>
      <c r="H95" s="81" t="n"/>
      <c r="I95" s="79">
        <f t="array" ref="I95">G95+F95</f>
        <v/>
      </c>
      <c r="J95" s="81" t="n"/>
      <c r="K95" s="81" t="n"/>
      <c r="L95" s="81" t="n"/>
    </row>
    <row r="96" ht="20.05" customHeight="1" s="215">
      <c r="A96" s="4" t="inlineStr">
        <is>
          <t>c2pm</t>
        </is>
      </c>
      <c r="B96" s="34" t="inlineStr">
        <is>
          <t>Saint Pierre and Miquelon</t>
        </is>
      </c>
      <c r="C96" s="29" t="inlineStr">
        <is>
          <t>PM</t>
        </is>
      </c>
      <c r="D96" s="81" t="n"/>
      <c r="E96" s="81" t="n"/>
      <c r="F96" s="116" t="n"/>
      <c r="G96" s="116" t="n"/>
      <c r="H96" s="81" t="n"/>
      <c r="I96" s="79">
        <f t="array" ref="I96">G96+F96</f>
        <v/>
      </c>
      <c r="J96" s="81" t="n"/>
      <c r="K96" s="81" t="n"/>
      <c r="L96" s="81" t="n"/>
    </row>
    <row r="97" ht="20.05" customHeight="1" s="215">
      <c r="A97" s="4" t="inlineStr">
        <is>
          <t>c2pr</t>
        </is>
      </c>
      <c r="B97" s="34" t="inlineStr">
        <is>
          <t>Puerto Rico</t>
        </is>
      </c>
      <c r="C97" s="29" t="inlineStr">
        <is>
          <t>PR</t>
        </is>
      </c>
      <c r="D97" s="81" t="n"/>
      <c r="E97" s="81" t="n"/>
      <c r="F97" s="116" t="n"/>
      <c r="G97" s="116" t="n"/>
      <c r="H97" s="81" t="n"/>
      <c r="I97" s="79">
        <f t="array" ref="I97">G97+F97</f>
        <v/>
      </c>
      <c r="J97" s="81" t="n"/>
      <c r="K97" s="81" t="n"/>
      <c r="L97" s="81" t="n"/>
    </row>
    <row r="98" ht="20.05" customHeight="1" s="215">
      <c r="A98" s="4" t="inlineStr">
        <is>
          <t>c2sv</t>
        </is>
      </c>
      <c r="B98" s="34" t="inlineStr">
        <is>
          <t>El Salvador</t>
        </is>
      </c>
      <c r="C98" s="29" t="inlineStr">
        <is>
          <t>SV</t>
        </is>
      </c>
      <c r="D98" s="81" t="n"/>
      <c r="E98" s="81" t="n"/>
      <c r="F98" s="225" t="n">
        <v>433</v>
      </c>
      <c r="G98" s="225" t="n">
        <v>349</v>
      </c>
      <c r="H98" s="81" t="n"/>
      <c r="I98" s="79">
        <f t="array" ref="I98">G98+F98</f>
        <v/>
      </c>
      <c r="J98" s="81" t="n"/>
      <c r="K98" s="81" t="n"/>
      <c r="L98" s="81" t="n"/>
    </row>
    <row r="99" ht="20.05" customHeight="1" s="215">
      <c r="A99" s="4" t="inlineStr">
        <is>
          <t>c2sx</t>
        </is>
      </c>
      <c r="B99" s="34" t="inlineStr">
        <is>
          <t>Sint Maarten (Dutch part)</t>
        </is>
      </c>
      <c r="C99" s="29" t="inlineStr">
        <is>
          <t>SX</t>
        </is>
      </c>
      <c r="D99" s="81" t="n"/>
      <c r="E99" s="81" t="n"/>
      <c r="F99" s="116" t="n"/>
      <c r="G99" s="116" t="n"/>
      <c r="H99" s="81" t="n"/>
      <c r="I99" s="79">
        <f t="array" ref="I99">G99+F99</f>
        <v/>
      </c>
      <c r="J99" s="81" t="n"/>
      <c r="K99" s="81" t="n"/>
      <c r="L99" s="81" t="n"/>
    </row>
    <row r="100" ht="20.05" customHeight="1" s="215">
      <c r="A100" s="4" t="inlineStr">
        <is>
          <t>c2tc</t>
        </is>
      </c>
      <c r="B100" s="34" t="inlineStr">
        <is>
          <t>Turks and Caicos Islands (the)</t>
        </is>
      </c>
      <c r="C100" s="29" t="inlineStr">
        <is>
          <t>TC</t>
        </is>
      </c>
      <c r="D100" s="81" t="n"/>
      <c r="E100" s="81" t="n"/>
      <c r="F100" s="116" t="n"/>
      <c r="G100" s="116" t="n"/>
      <c r="H100" s="81" t="n"/>
      <c r="I100" s="79">
        <f t="array" ref="I100">G100+F100</f>
        <v/>
      </c>
      <c r="J100" s="81" t="n"/>
      <c r="K100" s="81" t="n"/>
      <c r="L100" s="81" t="n"/>
    </row>
    <row r="101" ht="20.05" customHeight="1" s="215">
      <c r="A101" s="4" t="inlineStr">
        <is>
          <t>c2tt</t>
        </is>
      </c>
      <c r="B101" s="34" t="inlineStr">
        <is>
          <t>Trinidad and Tobago</t>
        </is>
      </c>
      <c r="C101" s="29" t="inlineStr">
        <is>
          <t>TT</t>
        </is>
      </c>
      <c r="D101" s="81" t="n"/>
      <c r="E101" s="81" t="n"/>
      <c r="F101" s="225" t="n">
        <v>437</v>
      </c>
      <c r="G101" s="225" t="n">
        <v>379</v>
      </c>
      <c r="H101" s="81" t="n"/>
      <c r="I101" s="79">
        <f t="array" ref="I101">G101+F101</f>
        <v/>
      </c>
      <c r="J101" s="81" t="n"/>
      <c r="K101" s="81" t="n"/>
      <c r="L101" s="81" t="n"/>
    </row>
    <row r="102" ht="20.05" customHeight="1" s="215">
      <c r="A102" s="4" t="inlineStr">
        <is>
          <t>c2us</t>
        </is>
      </c>
      <c r="B102" s="34" t="inlineStr">
        <is>
          <t>United States of America (the)</t>
        </is>
      </c>
      <c r="C102" s="29" t="inlineStr">
        <is>
          <t>US</t>
        </is>
      </c>
      <c r="D102" s="81" t="n"/>
      <c r="E102" s="81" t="n"/>
      <c r="F102" s="225" t="n">
        <v>23388</v>
      </c>
      <c r="G102" s="225" t="n">
        <v>20748</v>
      </c>
      <c r="H102" s="81" t="n"/>
      <c r="I102" s="79">
        <f t="array" ref="I102">G102+F102</f>
        <v/>
      </c>
      <c r="J102" s="81" t="n"/>
      <c r="K102" s="81" t="n"/>
      <c r="L102" s="81" t="n"/>
    </row>
    <row r="103" ht="20.05" customHeight="1" s="215">
      <c r="A103" s="4" t="inlineStr">
        <is>
          <t>c2vc</t>
        </is>
      </c>
      <c r="B103" s="34" t="inlineStr">
        <is>
          <t>Saint Vincent and the Grenadines</t>
        </is>
      </c>
      <c r="C103" s="29" t="inlineStr">
        <is>
          <t>VC</t>
        </is>
      </c>
      <c r="D103" s="81" t="n"/>
      <c r="E103" s="81" t="n"/>
      <c r="F103" s="116" t="n"/>
      <c r="G103" s="116" t="n"/>
      <c r="H103" s="81" t="n"/>
      <c r="I103" s="79">
        <f t="array" ref="I103">G103+F103</f>
        <v/>
      </c>
      <c r="J103" s="81" t="n"/>
      <c r="K103" s="81" t="n"/>
      <c r="L103" s="81" t="n"/>
    </row>
    <row r="104" ht="20.05" customHeight="1" s="215">
      <c r="A104" s="4" t="inlineStr">
        <is>
          <t>c2vg</t>
        </is>
      </c>
      <c r="B104" s="34" t="inlineStr">
        <is>
          <t>Virgin Islands (British)</t>
        </is>
      </c>
      <c r="C104" s="29" t="inlineStr">
        <is>
          <t>VG</t>
        </is>
      </c>
      <c r="D104" s="81" t="n"/>
      <c r="E104" s="81" t="n"/>
      <c r="F104" s="116" t="n"/>
      <c r="G104" s="116" t="n"/>
      <c r="H104" s="81" t="n"/>
      <c r="I104" s="79">
        <f t="array" ref="I104">G104+F104</f>
        <v/>
      </c>
      <c r="J104" s="81" t="n"/>
      <c r="K104" s="81" t="n"/>
      <c r="L104" s="81" t="n"/>
    </row>
    <row r="105" ht="20.05" customHeight="1" s="215">
      <c r="A105" s="4" t="inlineStr">
        <is>
          <t>c2vi</t>
        </is>
      </c>
      <c r="B105" s="34" t="inlineStr">
        <is>
          <t>Virgin Islands (U.S.)</t>
        </is>
      </c>
      <c r="C105" s="29" t="inlineStr">
        <is>
          <t>VI</t>
        </is>
      </c>
      <c r="D105" s="81" t="n"/>
      <c r="E105" s="81" t="n"/>
      <c r="F105" s="116" t="n"/>
      <c r="G105" s="116" t="n"/>
      <c r="H105" s="81" t="n"/>
      <c r="I105" s="79">
        <f t="array" ref="I105">G105+F105</f>
        <v/>
      </c>
      <c r="J105" s="81" t="n"/>
      <c r="K105" s="81" t="n"/>
      <c r="L105" s="81" t="n"/>
    </row>
    <row r="106" ht="20.05" customHeight="1" s="215">
      <c r="A106" s="4" t="inlineStr">
        <is>
          <t>c3ar</t>
        </is>
      </c>
      <c r="B106" s="34" t="inlineStr">
        <is>
          <t>Argentina</t>
        </is>
      </c>
      <c r="C106" s="29" t="inlineStr">
        <is>
          <t>AR</t>
        </is>
      </c>
      <c r="D106" s="81" t="n"/>
      <c r="E106" s="81" t="n"/>
      <c r="F106" s="225" t="n">
        <v>3879</v>
      </c>
      <c r="G106" s="225" t="n">
        <v>3680</v>
      </c>
      <c r="H106" s="81" t="n"/>
      <c r="I106" s="79">
        <f t="array" ref="I106">G106+F106</f>
        <v/>
      </c>
      <c r="J106" s="81" t="n"/>
      <c r="K106" s="81" t="n"/>
      <c r="L106" s="81" t="n"/>
    </row>
    <row r="107" ht="20.05" customHeight="1" s="215">
      <c r="A107" s="4" t="inlineStr">
        <is>
          <t>c2</t>
        </is>
      </c>
      <c r="B107" s="178" t="inlineStr">
        <is>
          <t>North America</t>
        </is>
      </c>
      <c r="C107" s="76" t="n"/>
      <c r="D107" s="81" t="n"/>
      <c r="E107" s="81" t="n"/>
      <c r="F107" s="79">
        <f t="array" ref="F107">SUM(F65:F106)</f>
        <v/>
      </c>
      <c r="G107" s="79">
        <f t="array" ref="G107">SUM(G65:G106)</f>
        <v/>
      </c>
      <c r="H107" s="81" t="n"/>
      <c r="I107" s="79">
        <f t="array" ref="I107">SUM(I65:I106)</f>
        <v/>
      </c>
      <c r="J107" s="81" t="n"/>
      <c r="K107" s="81" t="n"/>
      <c r="L107" s="81" t="n"/>
    </row>
    <row r="108" ht="20.05" customHeight="1" s="215">
      <c r="A108" s="3" t="n"/>
      <c r="B108" s="28" t="n"/>
      <c r="C108" s="17" t="n"/>
      <c r="D108" s="81" t="n"/>
      <c r="E108" s="81" t="n"/>
      <c r="F108" s="81" t="n"/>
      <c r="G108" s="81" t="n"/>
      <c r="H108" s="81" t="n"/>
      <c r="I108" s="81" t="n"/>
      <c r="J108" s="81" t="n"/>
      <c r="K108" s="81" t="n"/>
      <c r="L108" s="81" t="n"/>
    </row>
    <row r="109" ht="20.05" customHeight="1" s="215">
      <c r="A109" s="3" t="n"/>
      <c r="B109" s="34" t="inlineStr">
        <is>
          <t>South America</t>
        </is>
      </c>
      <c r="C109" s="17" t="n"/>
      <c r="D109" s="81" t="n"/>
      <c r="E109" s="81" t="n"/>
      <c r="F109" s="81" t="n"/>
      <c r="G109" s="81" t="n"/>
      <c r="H109" s="81" t="n"/>
      <c r="I109" s="81" t="n"/>
      <c r="J109" s="81" t="n"/>
      <c r="K109" s="81" t="n"/>
      <c r="L109" s="81" t="n"/>
    </row>
    <row r="110" ht="20.05" customHeight="1" s="215">
      <c r="A110" s="4" t="inlineStr">
        <is>
          <t>c3bo</t>
        </is>
      </c>
      <c r="B110" s="34" t="inlineStr">
        <is>
          <t>Bolivia (Plurinational State of)</t>
        </is>
      </c>
      <c r="C110" s="29" t="inlineStr">
        <is>
          <t>BO</t>
        </is>
      </c>
      <c r="D110" s="81" t="n"/>
      <c r="E110" s="81" t="n"/>
      <c r="F110" s="225" t="n">
        <v>858</v>
      </c>
      <c r="G110" s="225" t="n">
        <v>529</v>
      </c>
      <c r="H110" s="81" t="n"/>
      <c r="I110" s="79">
        <f t="array" ref="I110">G110+F110</f>
        <v/>
      </c>
      <c r="J110" s="81" t="n"/>
      <c r="K110" s="81" t="n"/>
      <c r="L110" s="81" t="n"/>
    </row>
    <row r="111" ht="20.05" customHeight="1" s="215">
      <c r="A111" s="4" t="inlineStr">
        <is>
          <t>c3br</t>
        </is>
      </c>
      <c r="B111" s="34" t="inlineStr">
        <is>
          <t>Brazil</t>
        </is>
      </c>
      <c r="C111" s="29" t="inlineStr">
        <is>
          <t>BR</t>
        </is>
      </c>
      <c r="D111" s="81" t="n"/>
      <c r="E111" s="81" t="n"/>
      <c r="F111" s="225" t="n">
        <v>21020</v>
      </c>
      <c r="G111" s="225" t="n">
        <v>13936</v>
      </c>
      <c r="H111" s="81" t="n"/>
      <c r="I111" s="79">
        <f t="array" ref="I111">G111+F111</f>
        <v/>
      </c>
      <c r="J111" s="81" t="n"/>
      <c r="K111" s="81" t="n"/>
      <c r="L111" s="81" t="n"/>
    </row>
    <row r="112" ht="20.05" customHeight="1" s="215">
      <c r="A112" s="4" t="inlineStr">
        <is>
          <t>c3cl</t>
        </is>
      </c>
      <c r="B112" s="34" t="inlineStr">
        <is>
          <t>Chile</t>
        </is>
      </c>
      <c r="C112" s="29" t="inlineStr">
        <is>
          <t>CL</t>
        </is>
      </c>
      <c r="D112" s="81" t="n"/>
      <c r="E112" s="81" t="n"/>
      <c r="F112" s="225" t="n">
        <v>2517</v>
      </c>
      <c r="G112" s="225" t="n">
        <v>2240</v>
      </c>
      <c r="H112" s="81" t="n"/>
      <c r="I112" s="79">
        <f t="array" ref="I112">G112+F112</f>
        <v/>
      </c>
      <c r="J112" s="81" t="n"/>
      <c r="K112" s="81" t="n"/>
      <c r="L112" s="81" t="n"/>
    </row>
    <row r="113" ht="20.05" customHeight="1" s="215">
      <c r="A113" s="4" t="inlineStr">
        <is>
          <t>c3co</t>
        </is>
      </c>
      <c r="B113" s="34" t="inlineStr">
        <is>
          <t>Colombia</t>
        </is>
      </c>
      <c r="C113" s="29" t="inlineStr">
        <is>
          <t>CO</t>
        </is>
      </c>
      <c r="D113" s="81" t="n"/>
      <c r="E113" s="81" t="n"/>
      <c r="F113" s="225" t="n">
        <v>12128</v>
      </c>
      <c r="G113" s="225" t="n">
        <v>8635</v>
      </c>
      <c r="H113" s="81" t="n"/>
      <c r="I113" s="79">
        <f t="array" ref="I113">G113+F113</f>
        <v/>
      </c>
      <c r="J113" s="81" t="n"/>
      <c r="K113" s="81" t="n"/>
      <c r="L113" s="81" t="n"/>
    </row>
    <row r="114" ht="20.05" customHeight="1" s="215">
      <c r="A114" s="4" t="inlineStr">
        <is>
          <t>c3ec</t>
        </is>
      </c>
      <c r="B114" s="34" t="inlineStr">
        <is>
          <t>Ecuador</t>
        </is>
      </c>
      <c r="C114" s="29" t="inlineStr">
        <is>
          <t>EC</t>
        </is>
      </c>
      <c r="D114" s="81" t="n"/>
      <c r="E114" s="81" t="n"/>
      <c r="F114" s="225" t="n">
        <v>2263</v>
      </c>
      <c r="G114" s="225" t="n">
        <v>1494</v>
      </c>
      <c r="H114" s="81" t="n"/>
      <c r="I114" s="79">
        <f t="array" ref="I114">G114+F114</f>
        <v/>
      </c>
      <c r="J114" s="81" t="n"/>
      <c r="K114" s="81" t="n"/>
      <c r="L114" s="81" t="n"/>
    </row>
    <row r="115" ht="20.05" customHeight="1" s="215">
      <c r="A115" s="4" t="inlineStr">
        <is>
          <t>c3fk</t>
        </is>
      </c>
      <c r="B115" s="34" t="inlineStr">
        <is>
          <t>Falkland Islands (the) [Malvinas]</t>
        </is>
      </c>
      <c r="C115" s="29" t="inlineStr">
        <is>
          <t>FK</t>
        </is>
      </c>
      <c r="D115" s="81" t="n"/>
      <c r="E115" s="81" t="n"/>
      <c r="F115" s="116" t="n"/>
      <c r="G115" s="116" t="n"/>
      <c r="H115" s="81" t="n"/>
      <c r="I115" s="79">
        <f t="array" ref="I115">G115+F115</f>
        <v/>
      </c>
      <c r="J115" s="81" t="n"/>
      <c r="K115" s="81" t="n"/>
      <c r="L115" s="81" t="n"/>
    </row>
    <row r="116" ht="20.05" customHeight="1" s="215">
      <c r="A116" s="4" t="inlineStr">
        <is>
          <t>c3gf</t>
        </is>
      </c>
      <c r="B116" s="34" t="inlineStr">
        <is>
          <t>French Guiana</t>
        </is>
      </c>
      <c r="C116" s="29" t="inlineStr">
        <is>
          <t>GF</t>
        </is>
      </c>
      <c r="D116" s="81" t="n"/>
      <c r="E116" s="81" t="n"/>
      <c r="F116" s="116" t="n"/>
      <c r="G116" s="116" t="n"/>
      <c r="H116" s="81" t="n"/>
      <c r="I116" s="79">
        <f t="array" ref="I116">G116+F116</f>
        <v/>
      </c>
      <c r="J116" s="81" t="n"/>
      <c r="K116" s="81" t="n"/>
      <c r="L116" s="81" t="n"/>
    </row>
    <row r="117" ht="20.05" customHeight="1" s="215">
      <c r="A117" s="4" t="inlineStr">
        <is>
          <t>c3gy</t>
        </is>
      </c>
      <c r="B117" s="34" t="inlineStr">
        <is>
          <t>Guyana</t>
        </is>
      </c>
      <c r="C117" s="29" t="inlineStr">
        <is>
          <t>GY</t>
        </is>
      </c>
      <c r="D117" s="81" t="n"/>
      <c r="E117" s="81" t="n"/>
      <c r="F117" s="225" t="n">
        <v>1491</v>
      </c>
      <c r="G117" s="225" t="n">
        <v>753</v>
      </c>
      <c r="H117" s="81" t="n"/>
      <c r="I117" s="79">
        <f t="array" ref="I117">G117+F117</f>
        <v/>
      </c>
      <c r="J117" s="81" t="n"/>
      <c r="K117" s="81" t="n"/>
      <c r="L117" s="81" t="n"/>
    </row>
    <row r="118" ht="20.05" customHeight="1" s="215">
      <c r="A118" s="4" t="inlineStr">
        <is>
          <t>c3pe</t>
        </is>
      </c>
      <c r="B118" s="34" t="inlineStr">
        <is>
          <t>Peru</t>
        </is>
      </c>
      <c r="C118" s="29" t="inlineStr">
        <is>
          <t>PE</t>
        </is>
      </c>
      <c r="D118" s="81" t="n"/>
      <c r="E118" s="81" t="n"/>
      <c r="F118" s="225" t="n">
        <v>4283</v>
      </c>
      <c r="G118" s="225" t="n">
        <v>2387</v>
      </c>
      <c r="H118" s="81" t="n"/>
      <c r="I118" s="79">
        <f t="array" ref="I118">G118+F118</f>
        <v/>
      </c>
      <c r="J118" s="81" t="n"/>
      <c r="K118" s="81" t="n"/>
      <c r="L118" s="81" t="n"/>
    </row>
    <row r="119" ht="20.05" customHeight="1" s="215">
      <c r="A119" s="4" t="inlineStr">
        <is>
          <t>c3py</t>
        </is>
      </c>
      <c r="B119" s="34" t="inlineStr">
        <is>
          <t>Paraguay</t>
        </is>
      </c>
      <c r="C119" s="29" t="inlineStr">
        <is>
          <t>PY</t>
        </is>
      </c>
      <c r="D119" s="81" t="n"/>
      <c r="E119" s="81" t="n"/>
      <c r="F119" s="225" t="n">
        <v>260</v>
      </c>
      <c r="G119" s="225" t="n">
        <v>122</v>
      </c>
      <c r="H119" s="81" t="n"/>
      <c r="I119" s="79">
        <f t="array" ref="I119">G119+F119</f>
        <v/>
      </c>
      <c r="J119" s="81" t="n"/>
      <c r="K119" s="81" t="n"/>
      <c r="L119" s="81" t="n"/>
    </row>
    <row r="120" ht="20.05" customHeight="1" s="215">
      <c r="A120" s="4" t="inlineStr">
        <is>
          <t>c3sr</t>
        </is>
      </c>
      <c r="B120" s="34" t="inlineStr">
        <is>
          <t>Suriname</t>
        </is>
      </c>
      <c r="C120" s="29" t="inlineStr">
        <is>
          <t>SR</t>
        </is>
      </c>
      <c r="D120" s="81" t="n"/>
      <c r="E120" s="81" t="n"/>
      <c r="F120" s="225" t="n">
        <v>100885</v>
      </c>
      <c r="G120" s="225" t="n">
        <v>78953</v>
      </c>
      <c r="H120" s="81" t="n"/>
      <c r="I120" s="79">
        <f t="array" ref="I120">G120+F120</f>
        <v/>
      </c>
      <c r="J120" s="81" t="n"/>
      <c r="K120" s="81" t="n"/>
      <c r="L120" s="81" t="n"/>
    </row>
    <row r="121" ht="20.05" customHeight="1" s="215">
      <c r="A121" s="4" t="inlineStr">
        <is>
          <t>c3uy</t>
        </is>
      </c>
      <c r="B121" s="34" t="inlineStr">
        <is>
          <t>Uruguay</t>
        </is>
      </c>
      <c r="C121" s="29" t="inlineStr">
        <is>
          <t>UY</t>
        </is>
      </c>
      <c r="D121" s="81" t="n"/>
      <c r="E121" s="81" t="n"/>
      <c r="F121" s="225" t="n">
        <v>554</v>
      </c>
      <c r="G121" s="225" t="n">
        <v>489</v>
      </c>
      <c r="H121" s="81" t="n"/>
      <c r="I121" s="79">
        <f t="array" ref="I121">G121+F121</f>
        <v/>
      </c>
      <c r="J121" s="81" t="n"/>
      <c r="K121" s="81" t="n"/>
      <c r="L121" s="81" t="n"/>
    </row>
    <row r="122" ht="20.05" customHeight="1" s="215">
      <c r="A122" s="4" t="inlineStr">
        <is>
          <t>c3ve</t>
        </is>
      </c>
      <c r="B122" s="34" t="inlineStr">
        <is>
          <t>Venezuela (Bolivarian Republic of)</t>
        </is>
      </c>
      <c r="C122" s="29" t="inlineStr">
        <is>
          <t>VE</t>
        </is>
      </c>
      <c r="D122" s="81" t="n"/>
      <c r="E122" s="81" t="n"/>
      <c r="F122" s="225" t="n">
        <v>4481</v>
      </c>
      <c r="G122" s="225" t="n">
        <v>3734</v>
      </c>
      <c r="H122" s="81" t="n"/>
      <c r="I122" s="79">
        <f t="array" ref="I122">G122+F122</f>
        <v/>
      </c>
      <c r="J122" s="81" t="n"/>
      <c r="K122" s="81" t="n"/>
      <c r="L122" s="81" t="n"/>
    </row>
    <row r="123" ht="20.05" customHeight="1" s="215">
      <c r="A123" s="4" t="inlineStr">
        <is>
          <t>c3</t>
        </is>
      </c>
      <c r="B123" s="178" t="inlineStr">
        <is>
          <t>South America</t>
        </is>
      </c>
      <c r="C123" s="76" t="n"/>
      <c r="D123" s="81" t="n"/>
      <c r="E123" s="81" t="n"/>
      <c r="F123" s="79">
        <f t="array" ref="F123">SUM(F110:F122)</f>
        <v/>
      </c>
      <c r="G123" s="79">
        <f t="array" ref="G123">SUM(G110:G122)</f>
        <v/>
      </c>
      <c r="H123" s="81" t="n"/>
      <c r="I123" s="79">
        <f t="array" ref="I123">SUM(I110:I122)</f>
        <v/>
      </c>
      <c r="J123" s="81" t="n"/>
      <c r="K123" s="81" t="n"/>
      <c r="L123" s="81" t="n"/>
    </row>
    <row r="124" ht="20.05" customHeight="1" s="215">
      <c r="A124" s="3" t="n"/>
      <c r="B124" s="28" t="n"/>
      <c r="C124" s="17" t="n"/>
      <c r="D124" s="81" t="n"/>
      <c r="E124" s="81" t="n"/>
      <c r="F124" s="81" t="n"/>
      <c r="G124" s="81" t="n"/>
      <c r="H124" s="81" t="n"/>
      <c r="I124" s="81" t="n"/>
      <c r="J124" s="81" t="n"/>
      <c r="K124" s="81" t="n"/>
      <c r="L124" s="81" t="n"/>
    </row>
    <row r="125" ht="20.05" customHeight="1" s="215">
      <c r="A125" s="3" t="n"/>
      <c r="B125" s="34" t="inlineStr">
        <is>
          <t>Africa</t>
        </is>
      </c>
      <c r="C125" s="17" t="n"/>
      <c r="D125" s="81" t="n"/>
      <c r="E125" s="81" t="n"/>
      <c r="F125" s="81" t="n"/>
      <c r="G125" s="81" t="n"/>
      <c r="H125" s="81" t="n"/>
      <c r="I125" s="81" t="n"/>
      <c r="J125" s="81" t="n"/>
      <c r="K125" s="81" t="n"/>
      <c r="L125" s="81" t="n"/>
    </row>
    <row r="126" ht="20.05" customHeight="1" s="215">
      <c r="A126" s="4" t="inlineStr">
        <is>
          <t>c4ao</t>
        </is>
      </c>
      <c r="B126" s="34" t="inlineStr">
        <is>
          <t>Angola</t>
        </is>
      </c>
      <c r="C126" s="29" t="inlineStr">
        <is>
          <t>AO</t>
        </is>
      </c>
      <c r="D126" s="81" t="n"/>
      <c r="E126" s="81" t="n"/>
      <c r="F126" s="225" t="n">
        <v>2326</v>
      </c>
      <c r="G126" s="225" t="n">
        <v>3076</v>
      </c>
      <c r="H126" s="81" t="n"/>
      <c r="I126" s="79">
        <f t="array" ref="I126">G126+F126</f>
        <v/>
      </c>
      <c r="J126" s="81" t="n"/>
      <c r="K126" s="81" t="n"/>
      <c r="L126" s="81" t="n"/>
    </row>
    <row r="127" ht="20.05" customHeight="1" s="215">
      <c r="A127" s="4" t="inlineStr">
        <is>
          <t>c4bf</t>
        </is>
      </c>
      <c r="B127" s="34" t="inlineStr">
        <is>
          <t>Burkina Faso</t>
        </is>
      </c>
      <c r="C127" s="29" t="inlineStr">
        <is>
          <t>BF</t>
        </is>
      </c>
      <c r="D127" s="81" t="n"/>
      <c r="E127" s="81" t="n"/>
      <c r="F127" s="225" t="n">
        <v>186</v>
      </c>
      <c r="G127" s="225" t="n">
        <v>296</v>
      </c>
      <c r="H127" s="81" t="n"/>
      <c r="I127" s="79">
        <f t="array" ref="I127">G127+F127</f>
        <v/>
      </c>
      <c r="J127" s="81" t="n"/>
      <c r="K127" s="81" t="n"/>
      <c r="L127" s="81" t="n"/>
    </row>
    <row r="128" ht="20.05" customHeight="1" s="215">
      <c r="A128" s="4" t="inlineStr">
        <is>
          <t>c4bi</t>
        </is>
      </c>
      <c r="B128" s="34" t="inlineStr">
        <is>
          <t>Burundi</t>
        </is>
      </c>
      <c r="C128" s="29" t="inlineStr">
        <is>
          <t>BI</t>
        </is>
      </c>
      <c r="D128" s="81" t="n"/>
      <c r="E128" s="81" t="n"/>
      <c r="F128" s="225" t="n">
        <v>1092</v>
      </c>
      <c r="G128" s="225" t="n">
        <v>995</v>
      </c>
      <c r="H128" s="81" t="n"/>
      <c r="I128" s="79">
        <f t="array" ref="I128">G128+F128</f>
        <v/>
      </c>
      <c r="J128" s="81" t="n"/>
      <c r="K128" s="81" t="n"/>
      <c r="L128" s="81" t="n"/>
    </row>
    <row r="129" ht="20.05" customHeight="1" s="215">
      <c r="A129" s="4" t="inlineStr">
        <is>
          <t>c4bj</t>
        </is>
      </c>
      <c r="B129" s="34" t="inlineStr">
        <is>
          <t>Benin</t>
        </is>
      </c>
      <c r="C129" s="29" t="inlineStr">
        <is>
          <t>BJ</t>
        </is>
      </c>
      <c r="D129" s="81" t="n"/>
      <c r="E129" s="81" t="n"/>
      <c r="F129" s="225" t="n">
        <v>140</v>
      </c>
      <c r="G129" s="225" t="n">
        <v>218</v>
      </c>
      <c r="H129" s="81" t="n"/>
      <c r="I129" s="79">
        <f t="array" ref="I129">G129+F129</f>
        <v/>
      </c>
      <c r="J129" s="81" t="n"/>
      <c r="K129" s="81" t="n"/>
      <c r="L129" s="81" t="n"/>
    </row>
    <row r="130" ht="20.05" customHeight="1" s="215">
      <c r="A130" s="4" t="inlineStr">
        <is>
          <t>c4bw</t>
        </is>
      </c>
      <c r="B130" s="34" t="inlineStr">
        <is>
          <t>Botswana</t>
        </is>
      </c>
      <c r="C130" s="29" t="inlineStr">
        <is>
          <t>BW</t>
        </is>
      </c>
      <c r="D130" s="81" t="n"/>
      <c r="E130" s="81" t="n"/>
      <c r="F130" s="225" t="n">
        <v>170</v>
      </c>
      <c r="G130" s="225" t="n">
        <v>142</v>
      </c>
      <c r="H130" s="81" t="n"/>
      <c r="I130" s="79">
        <f t="array" ref="I130">G130+F130</f>
        <v/>
      </c>
      <c r="J130" s="81" t="n"/>
      <c r="K130" s="81" t="n"/>
      <c r="L130" s="81" t="n"/>
    </row>
    <row r="131" ht="20.05" customHeight="1" s="215">
      <c r="A131" s="4" t="inlineStr">
        <is>
          <t>c4cd</t>
        </is>
      </c>
      <c r="B131" s="34" t="inlineStr">
        <is>
          <t>Congo (the Democratic Republic of the)</t>
        </is>
      </c>
      <c r="C131" s="29" t="inlineStr">
        <is>
          <t>CD</t>
        </is>
      </c>
      <c r="D131" s="81" t="n"/>
      <c r="E131" s="81" t="n"/>
      <c r="F131" s="116" t="n"/>
      <c r="G131" s="116" t="n"/>
      <c r="H131" s="81" t="n"/>
      <c r="I131" s="79">
        <f t="array" ref="I131">G131+F131</f>
        <v/>
      </c>
      <c r="J131" s="81" t="n"/>
      <c r="K131" s="81" t="n"/>
      <c r="L131" s="81" t="n"/>
    </row>
    <row r="132" ht="20.05" customHeight="1" s="215">
      <c r="A132" s="4" t="inlineStr">
        <is>
          <t>c4cf</t>
        </is>
      </c>
      <c r="B132" s="34" t="inlineStr">
        <is>
          <t>Central African Republic (the)</t>
        </is>
      </c>
      <c r="C132" s="29" t="inlineStr">
        <is>
          <t>CF</t>
        </is>
      </c>
      <c r="D132" s="81" t="n"/>
      <c r="E132" s="81" t="n"/>
      <c r="F132" s="225" t="n">
        <v>47</v>
      </c>
      <c r="G132" s="225" t="n">
        <v>46</v>
      </c>
      <c r="H132" s="81" t="n"/>
      <c r="I132" s="79">
        <f t="array" ref="I132">G132+F132</f>
        <v/>
      </c>
      <c r="J132" s="81" t="n"/>
      <c r="K132" s="81" t="n"/>
      <c r="L132" s="81" t="n"/>
    </row>
    <row r="133" ht="20.05" customHeight="1" s="215">
      <c r="A133" s="4" t="inlineStr">
        <is>
          <t>c4cg</t>
        </is>
      </c>
      <c r="B133" s="34" t="inlineStr">
        <is>
          <t>Congo (the)</t>
        </is>
      </c>
      <c r="C133" s="29" t="inlineStr">
        <is>
          <t>CG</t>
        </is>
      </c>
      <c r="D133" s="81" t="n"/>
      <c r="E133" s="81" t="n"/>
      <c r="F133" s="225" t="n">
        <v>449</v>
      </c>
      <c r="G133" s="225" t="n">
        <v>454</v>
      </c>
      <c r="H133" s="81" t="n"/>
      <c r="I133" s="79">
        <f t="array" ref="I133">G133+F133</f>
        <v/>
      </c>
      <c r="J133" s="81" t="n"/>
      <c r="K133" s="81" t="n"/>
      <c r="L133" s="81" t="n"/>
    </row>
    <row r="134" ht="20.05" customHeight="1" s="215">
      <c r="A134" s="4" t="inlineStr">
        <is>
          <t>c4ci</t>
        </is>
      </c>
      <c r="B134" s="34" t="inlineStr">
        <is>
          <t>Côte d'Ivoire</t>
        </is>
      </c>
      <c r="C134" s="29" t="inlineStr">
        <is>
          <t>CI</t>
        </is>
      </c>
      <c r="D134" s="81" t="n"/>
      <c r="E134" s="81" t="n"/>
      <c r="F134" s="225" t="n">
        <v>649</v>
      </c>
      <c r="G134" s="225" t="n">
        <v>645</v>
      </c>
      <c r="H134" s="81" t="n"/>
      <c r="I134" s="79">
        <f t="array" ref="I134">G134+F134</f>
        <v/>
      </c>
      <c r="J134" s="81" t="n"/>
      <c r="K134" s="81" t="n"/>
      <c r="L134" s="81" t="n"/>
    </row>
    <row r="135" ht="20.05" customHeight="1" s="215">
      <c r="A135" s="4" t="inlineStr">
        <is>
          <t>c4cm</t>
        </is>
      </c>
      <c r="B135" s="34" t="inlineStr">
        <is>
          <t>Cameroon</t>
        </is>
      </c>
      <c r="C135" s="29" t="inlineStr">
        <is>
          <t>CM</t>
        </is>
      </c>
      <c r="D135" s="81" t="n"/>
      <c r="E135" s="81" t="n"/>
      <c r="F135" s="225" t="n">
        <v>1218</v>
      </c>
      <c r="G135" s="225" t="n">
        <v>1178</v>
      </c>
      <c r="H135" s="81" t="n"/>
      <c r="I135" s="79">
        <f t="array" ref="I135">G135+F135</f>
        <v/>
      </c>
      <c r="J135" s="81" t="n"/>
      <c r="K135" s="81" t="n"/>
      <c r="L135" s="81" t="n"/>
    </row>
    <row r="136" ht="20.05" customHeight="1" s="215">
      <c r="A136" s="4" t="inlineStr">
        <is>
          <t>c4cv</t>
        </is>
      </c>
      <c r="B136" s="34" t="inlineStr">
        <is>
          <t>Cabo Verde[f]</t>
        </is>
      </c>
      <c r="C136" s="29" t="inlineStr">
        <is>
          <t>CV</t>
        </is>
      </c>
      <c r="D136" s="81" t="n"/>
      <c r="E136" s="81" t="n"/>
      <c r="F136" s="225" t="n">
        <v>6545</v>
      </c>
      <c r="G136" s="225" t="n">
        <v>5404</v>
      </c>
      <c r="H136" s="81" t="n"/>
      <c r="I136" s="79">
        <f t="array" ref="I136">G136+F136</f>
        <v/>
      </c>
      <c r="J136" s="81" t="n"/>
      <c r="K136" s="81" t="n"/>
      <c r="L136" s="81" t="n"/>
    </row>
    <row r="137" ht="20.05" customHeight="1" s="215">
      <c r="A137" s="4" t="inlineStr">
        <is>
          <t>c4dj</t>
        </is>
      </c>
      <c r="B137" s="34" t="inlineStr">
        <is>
          <t>Djibouti</t>
        </is>
      </c>
      <c r="C137" s="29" t="inlineStr">
        <is>
          <t>DJ</t>
        </is>
      </c>
      <c r="D137" s="81" t="n"/>
      <c r="E137" s="81" t="n"/>
      <c r="F137" s="225" t="n">
        <v>117</v>
      </c>
      <c r="G137" s="225" t="n">
        <v>40</v>
      </c>
      <c r="H137" s="81" t="n"/>
      <c r="I137" s="79">
        <f t="array" ref="I137">G137+F137</f>
        <v/>
      </c>
      <c r="J137" s="81" t="n"/>
      <c r="K137" s="81" t="n"/>
      <c r="L137" s="81" t="n"/>
    </row>
    <row r="138" ht="20.05" customHeight="1" s="215">
      <c r="A138" s="4" t="inlineStr">
        <is>
          <t>c4dz</t>
        </is>
      </c>
      <c r="B138" s="34" t="inlineStr">
        <is>
          <t>Algeria</t>
        </is>
      </c>
      <c r="C138" s="29" t="inlineStr">
        <is>
          <t>DZ</t>
        </is>
      </c>
      <c r="D138" s="81" t="n"/>
      <c r="E138" s="81" t="n"/>
      <c r="F138" s="225" t="n">
        <v>2005</v>
      </c>
      <c r="G138" s="225" t="n">
        <v>3072</v>
      </c>
      <c r="H138" s="81" t="n"/>
      <c r="I138" s="79">
        <f t="array" ref="I138">G138+F138</f>
        <v/>
      </c>
      <c r="J138" s="81" t="n"/>
      <c r="K138" s="81" t="n"/>
      <c r="L138" s="81" t="n"/>
    </row>
    <row r="139" ht="20.05" customHeight="1" s="215">
      <c r="A139" s="4" t="inlineStr">
        <is>
          <t>c4eg</t>
        </is>
      </c>
      <c r="B139" s="34" t="inlineStr">
        <is>
          <t>Egypt</t>
        </is>
      </c>
      <c r="C139" s="29" t="inlineStr">
        <is>
          <t>EG</t>
        </is>
      </c>
      <c r="D139" s="81" t="n"/>
      <c r="E139" s="81" t="n"/>
      <c r="F139" s="225" t="n">
        <v>7497</v>
      </c>
      <c r="G139" s="225" t="n">
        <v>13722</v>
      </c>
      <c r="H139" s="81" t="n"/>
      <c r="I139" s="79">
        <f t="array" ref="I139">G139+F139</f>
        <v/>
      </c>
      <c r="J139" s="81" t="n"/>
      <c r="K139" s="81" t="n"/>
      <c r="L139" s="81" t="n"/>
    </row>
    <row r="140" ht="20.05" customHeight="1" s="215">
      <c r="A140" s="4" t="inlineStr">
        <is>
          <t>c4eh</t>
        </is>
      </c>
      <c r="B140" s="34" t="inlineStr">
        <is>
          <t>Western Sahara</t>
        </is>
      </c>
      <c r="C140" s="29" t="inlineStr">
        <is>
          <t>EH</t>
        </is>
      </c>
      <c r="D140" s="81" t="n"/>
      <c r="E140" s="81" t="n"/>
      <c r="F140" s="116" t="n"/>
      <c r="G140" s="116" t="n"/>
      <c r="H140" s="81" t="n"/>
      <c r="I140" s="79">
        <f t="array" ref="I140">G140+F140</f>
        <v/>
      </c>
      <c r="J140" s="81" t="n"/>
      <c r="K140" s="81" t="n"/>
      <c r="L140" s="81" t="n"/>
    </row>
    <row r="141" ht="20.05" customHeight="1" s="215">
      <c r="A141" s="4" t="inlineStr">
        <is>
          <t>c4er</t>
        </is>
      </c>
      <c r="B141" s="34" t="inlineStr">
        <is>
          <t>Eritrea</t>
        </is>
      </c>
      <c r="C141" s="29" t="inlineStr">
        <is>
          <t>ER</t>
        </is>
      </c>
      <c r="D141" s="81" t="n"/>
      <c r="E141" s="81" t="n"/>
      <c r="F141" s="225" t="n">
        <v>10723</v>
      </c>
      <c r="G141" s="225" t="n">
        <v>14712</v>
      </c>
      <c r="H141" s="81" t="n"/>
      <c r="I141" s="79">
        <f t="array" ref="I141">G141+F141</f>
        <v/>
      </c>
      <c r="J141" s="81" t="n"/>
      <c r="K141" s="81" t="n"/>
      <c r="L141" s="81" t="n"/>
    </row>
    <row r="142" ht="20.05" customHeight="1" s="215">
      <c r="A142" s="4" t="inlineStr">
        <is>
          <t>c4et</t>
        </is>
      </c>
      <c r="B142" s="34" t="inlineStr">
        <is>
          <t>Ethiopia</t>
        </is>
      </c>
      <c r="C142" s="29" t="inlineStr">
        <is>
          <t>ET</t>
        </is>
      </c>
      <c r="D142" s="81" t="n"/>
      <c r="E142" s="81" t="n"/>
      <c r="F142" s="225" t="n">
        <v>10704</v>
      </c>
      <c r="G142" s="225" t="n">
        <v>11545</v>
      </c>
      <c r="H142" s="81" t="n"/>
      <c r="I142" s="79">
        <f t="array" ref="I142">G142+F142</f>
        <v/>
      </c>
      <c r="J142" s="81" t="n"/>
      <c r="K142" s="81" t="n"/>
      <c r="L142" s="81" t="n"/>
    </row>
    <row r="143" ht="20.05" customHeight="1" s="215">
      <c r="A143" s="4" t="inlineStr">
        <is>
          <t>c4ga</t>
        </is>
      </c>
      <c r="B143" s="34" t="inlineStr">
        <is>
          <t>Gabon</t>
        </is>
      </c>
      <c r="C143" s="29" t="inlineStr">
        <is>
          <t>GA</t>
        </is>
      </c>
      <c r="D143" s="81" t="n"/>
      <c r="E143" s="81" t="n"/>
      <c r="F143" s="225" t="n">
        <v>62</v>
      </c>
      <c r="G143" s="225" t="n">
        <v>61</v>
      </c>
      <c r="H143" s="81" t="n"/>
      <c r="I143" s="79">
        <f t="array" ref="I143">G143+F143</f>
        <v/>
      </c>
      <c r="J143" s="81" t="n"/>
      <c r="K143" s="81" t="n"/>
      <c r="L143" s="81" t="n"/>
    </row>
    <row r="144" ht="20.05" customHeight="1" s="215">
      <c r="A144" s="4" t="inlineStr">
        <is>
          <t>c4gh</t>
        </is>
      </c>
      <c r="B144" s="34" t="inlineStr">
        <is>
          <t>Ghana</t>
        </is>
      </c>
      <c r="C144" s="29" t="inlineStr">
        <is>
          <t>GH</t>
        </is>
      </c>
      <c r="D144" s="81" t="n"/>
      <c r="E144" s="81" t="n"/>
      <c r="F144" s="225" t="n">
        <v>9126</v>
      </c>
      <c r="G144" s="225" t="n">
        <v>8708</v>
      </c>
      <c r="H144" s="81" t="n"/>
      <c r="I144" s="79">
        <f t="array" ref="I144">G144+F144</f>
        <v/>
      </c>
      <c r="J144" s="81" t="n"/>
      <c r="K144" s="81" t="n"/>
      <c r="L144" s="81" t="n"/>
    </row>
    <row r="145" ht="20.05" customHeight="1" s="215">
      <c r="A145" s="4" t="inlineStr">
        <is>
          <t>c4gm</t>
        </is>
      </c>
      <c r="B145" s="34" t="inlineStr">
        <is>
          <t>Gambia (the)</t>
        </is>
      </c>
      <c r="C145" s="29" t="inlineStr">
        <is>
          <t>GM</t>
        </is>
      </c>
      <c r="D145" s="81" t="n"/>
      <c r="E145" s="81" t="n"/>
      <c r="F145" s="225" t="n">
        <v>676</v>
      </c>
      <c r="G145" s="225" t="n">
        <v>1391</v>
      </c>
      <c r="H145" s="81" t="n"/>
      <c r="I145" s="79">
        <f t="array" ref="I145">G145+F145</f>
        <v/>
      </c>
      <c r="J145" s="81" t="n"/>
      <c r="K145" s="81" t="n"/>
      <c r="L145" s="81" t="n"/>
    </row>
    <row r="146" ht="20.05" customHeight="1" s="215">
      <c r="A146" s="4" t="inlineStr">
        <is>
          <t>c4gn</t>
        </is>
      </c>
      <c r="B146" s="34" t="inlineStr">
        <is>
          <t>Guinea</t>
        </is>
      </c>
      <c r="C146" s="29" t="inlineStr">
        <is>
          <t>GN</t>
        </is>
      </c>
      <c r="D146" s="81" t="n"/>
      <c r="E146" s="81" t="n"/>
      <c r="F146" s="225" t="n">
        <v>1283</v>
      </c>
      <c r="G146" s="225" t="n">
        <v>1641</v>
      </c>
      <c r="H146" s="81" t="n"/>
      <c r="I146" s="79">
        <f t="array" ref="I146">G146+F146</f>
        <v/>
      </c>
      <c r="J146" s="81" t="n"/>
      <c r="K146" s="81" t="n"/>
      <c r="L146" s="81" t="n"/>
    </row>
    <row r="147" ht="20.05" customHeight="1" s="215">
      <c r="A147" s="4" t="inlineStr">
        <is>
          <t>c4gq</t>
        </is>
      </c>
      <c r="B147" s="34" t="inlineStr">
        <is>
          <t>Equatorial Guinea</t>
        </is>
      </c>
      <c r="C147" s="29" t="inlineStr">
        <is>
          <t>GQ</t>
        </is>
      </c>
      <c r="D147" s="81" t="n"/>
      <c r="E147" s="81" t="n"/>
      <c r="F147" s="225" t="n">
        <v>60</v>
      </c>
      <c r="G147" s="225" t="n">
        <v>39</v>
      </c>
      <c r="H147" s="81" t="n"/>
      <c r="I147" s="79">
        <f t="array" ref="I147">G147+F147</f>
        <v/>
      </c>
      <c r="J147" s="81" t="n"/>
      <c r="K147" s="81" t="n"/>
      <c r="L147" s="81" t="n"/>
    </row>
    <row r="148" ht="20.05" customHeight="1" s="215">
      <c r="A148" s="4" t="inlineStr">
        <is>
          <t>c4gw</t>
        </is>
      </c>
      <c r="B148" s="34" t="inlineStr">
        <is>
          <t>Guinea-Bissau</t>
        </is>
      </c>
      <c r="C148" s="29" t="inlineStr">
        <is>
          <t>GW</t>
        </is>
      </c>
      <c r="D148" s="81" t="n"/>
      <c r="E148" s="81" t="n"/>
      <c r="F148" s="225" t="n">
        <v>144</v>
      </c>
      <c r="G148" s="225" t="n">
        <v>221</v>
      </c>
      <c r="H148" s="81" t="n"/>
      <c r="I148" s="79">
        <f t="array" ref="I148">G148+F148</f>
        <v/>
      </c>
      <c r="J148" s="81" t="n"/>
      <c r="K148" s="81" t="n"/>
      <c r="L148" s="81" t="n"/>
    </row>
    <row r="149" ht="20.05" customHeight="1" s="215">
      <c r="A149" s="4" t="inlineStr">
        <is>
          <t>c4io</t>
        </is>
      </c>
      <c r="B149" s="34" t="inlineStr">
        <is>
          <t>British Indian Ocean Territory (the)</t>
        </is>
      </c>
      <c r="C149" s="29" t="inlineStr">
        <is>
          <t>IO</t>
        </is>
      </c>
      <c r="D149" s="81" t="n"/>
      <c r="E149" s="81" t="n"/>
      <c r="F149" s="116" t="n"/>
      <c r="G149" s="116" t="n"/>
      <c r="H149" s="81" t="n"/>
      <c r="I149" s="79">
        <f t="array" ref="I149">G149+F149</f>
        <v/>
      </c>
      <c r="J149" s="81" t="n"/>
      <c r="K149" s="81" t="n"/>
      <c r="L149" s="81" t="n"/>
    </row>
    <row r="150" ht="20.05" customHeight="1" s="215">
      <c r="A150" s="4" t="inlineStr">
        <is>
          <t>c4ke</t>
        </is>
      </c>
      <c r="B150" s="34" t="inlineStr">
        <is>
          <t>Kenya</t>
        </is>
      </c>
      <c r="C150" s="29" t="inlineStr">
        <is>
          <t>KE</t>
        </is>
      </c>
      <c r="D150" s="81" t="n"/>
      <c r="E150" s="81" t="n"/>
      <c r="F150" s="225" t="n">
        <v>2809</v>
      </c>
      <c r="G150" s="225" t="n">
        <v>1912</v>
      </c>
      <c r="H150" s="81" t="n"/>
      <c r="I150" s="79">
        <f t="array" ref="I150">G150+F150</f>
        <v/>
      </c>
      <c r="J150" s="81" t="n"/>
      <c r="K150" s="81" t="n"/>
      <c r="L150" s="81" t="n"/>
    </row>
    <row r="151" ht="20.05" customHeight="1" s="215">
      <c r="A151" s="4" t="inlineStr">
        <is>
          <t>c4km</t>
        </is>
      </c>
      <c r="B151" s="34" t="inlineStr">
        <is>
          <t>Comoros (the)</t>
        </is>
      </c>
      <c r="C151" s="29" t="inlineStr">
        <is>
          <t>KM</t>
        </is>
      </c>
      <c r="D151" s="81" t="n"/>
      <c r="E151" s="81" t="n"/>
      <c r="F151" s="225" t="n">
        <v>3</v>
      </c>
      <c r="G151" s="225" t="n">
        <v>8</v>
      </c>
      <c r="H151" s="81" t="n"/>
      <c r="I151" s="79">
        <f t="array" ref="I151">G151+F151</f>
        <v/>
      </c>
      <c r="J151" s="81" t="n"/>
      <c r="K151" s="81" t="n"/>
      <c r="L151" s="81" t="n"/>
    </row>
    <row r="152" ht="20.05" customHeight="1" s="215">
      <c r="A152" s="4" t="inlineStr">
        <is>
          <t>c4lr</t>
        </is>
      </c>
      <c r="B152" s="34" t="inlineStr">
        <is>
          <t>Liberia</t>
        </is>
      </c>
      <c r="C152" s="29" t="inlineStr">
        <is>
          <t>LR</t>
        </is>
      </c>
      <c r="D152" s="81" t="n"/>
      <c r="E152" s="81" t="n"/>
      <c r="F152" s="225" t="n">
        <v>762</v>
      </c>
      <c r="G152" s="225" t="n">
        <v>1048</v>
      </c>
      <c r="H152" s="81" t="n"/>
      <c r="I152" s="79">
        <f t="array" ref="I152">G152+F152</f>
        <v/>
      </c>
      <c r="J152" s="81" t="n"/>
      <c r="K152" s="81" t="n"/>
      <c r="L152" s="81" t="n"/>
    </row>
    <row r="153" ht="20.05" customHeight="1" s="215">
      <c r="A153" s="4" t="inlineStr">
        <is>
          <t>c4ls</t>
        </is>
      </c>
      <c r="B153" s="34" t="inlineStr">
        <is>
          <t>Lesotho</t>
        </is>
      </c>
      <c r="C153" s="29" t="inlineStr">
        <is>
          <t>LS</t>
        </is>
      </c>
      <c r="D153" s="81" t="n"/>
      <c r="E153" s="81" t="n"/>
      <c r="F153" s="225" t="n">
        <v>76</v>
      </c>
      <c r="G153" s="225" t="n">
        <v>95</v>
      </c>
      <c r="H153" s="81" t="n"/>
      <c r="I153" s="79">
        <f t="array" ref="I153">G153+F153</f>
        <v/>
      </c>
      <c r="J153" s="81" t="n"/>
      <c r="K153" s="81" t="n"/>
      <c r="L153" s="81" t="n"/>
    </row>
    <row r="154" ht="20.05" customHeight="1" s="215">
      <c r="A154" s="4" t="inlineStr">
        <is>
          <t>c4ly</t>
        </is>
      </c>
      <c r="B154" s="34" t="inlineStr">
        <is>
          <t>Libya</t>
        </is>
      </c>
      <c r="C154" s="29" t="inlineStr">
        <is>
          <t>LY</t>
        </is>
      </c>
      <c r="D154" s="81" t="n"/>
      <c r="E154" s="81" t="n"/>
      <c r="F154" s="225" t="n">
        <v>1025</v>
      </c>
      <c r="G154" s="225" t="n">
        <v>1545</v>
      </c>
      <c r="H154" s="81" t="n"/>
      <c r="I154" s="79">
        <f t="array" ref="I154">G154+F154</f>
        <v/>
      </c>
      <c r="J154" s="81" t="n"/>
      <c r="K154" s="81" t="n"/>
      <c r="L154" s="81" t="n"/>
    </row>
    <row r="155" ht="20.05" customHeight="1" s="215">
      <c r="A155" s="4" t="inlineStr">
        <is>
          <t>c4ma</t>
        </is>
      </c>
      <c r="B155" s="34" t="inlineStr">
        <is>
          <t>Morocco</t>
        </is>
      </c>
      <c r="C155" s="29" t="inlineStr">
        <is>
          <t>MA</t>
        </is>
      </c>
      <c r="D155" s="81" t="n"/>
      <c r="E155" s="81" t="n"/>
      <c r="F155" s="225" t="n">
        <v>89128</v>
      </c>
      <c r="G155" s="225" t="n">
        <v>88201</v>
      </c>
      <c r="H155" s="81" t="n"/>
      <c r="I155" s="79">
        <f t="array" ref="I155">G155+F155</f>
        <v/>
      </c>
      <c r="J155" s="81" t="n"/>
      <c r="K155" s="81" t="n"/>
      <c r="L155" s="81" t="n"/>
    </row>
    <row r="156" ht="20.05" customHeight="1" s="215">
      <c r="A156" s="4" t="inlineStr">
        <is>
          <t>c4mg</t>
        </is>
      </c>
      <c r="B156" s="34" t="inlineStr">
        <is>
          <t>Madagascar</t>
        </is>
      </c>
      <c r="C156" s="29" t="inlineStr">
        <is>
          <t>MG</t>
        </is>
      </c>
      <c r="D156" s="81" t="n"/>
      <c r="E156" s="81" t="n"/>
      <c r="F156" s="225" t="n">
        <v>164</v>
      </c>
      <c r="G156" s="225" t="n">
        <v>100</v>
      </c>
      <c r="H156" s="81" t="n"/>
      <c r="I156" s="79">
        <f t="array" ref="I156">G156+F156</f>
        <v/>
      </c>
      <c r="J156" s="81" t="n"/>
      <c r="K156" s="81" t="n"/>
      <c r="L156" s="81" t="n"/>
    </row>
    <row r="157" ht="20.05" customHeight="1" s="215">
      <c r="A157" s="4" t="inlineStr">
        <is>
          <t>c4ml</t>
        </is>
      </c>
      <c r="B157" s="34" t="inlineStr">
        <is>
          <t>Mali</t>
        </is>
      </c>
      <c r="C157" s="29" t="inlineStr">
        <is>
          <t>ML</t>
        </is>
      </c>
      <c r="D157" s="81" t="n"/>
      <c r="E157" s="81" t="n"/>
      <c r="F157" s="225" t="n">
        <v>109</v>
      </c>
      <c r="G157" s="225" t="n">
        <v>154</v>
      </c>
      <c r="H157" s="81" t="n"/>
      <c r="I157" s="79">
        <f t="array" ref="I157">G157+F157</f>
        <v/>
      </c>
      <c r="J157" s="81" t="n"/>
      <c r="K157" s="81" t="n"/>
      <c r="L157" s="81" t="n"/>
    </row>
    <row r="158" ht="20.05" customHeight="1" s="215">
      <c r="A158" s="4" t="inlineStr">
        <is>
          <t>c4mr</t>
        </is>
      </c>
      <c r="B158" s="34" t="inlineStr">
        <is>
          <t>Mauritania</t>
        </is>
      </c>
      <c r="C158" s="29" t="inlineStr">
        <is>
          <t>MR</t>
        </is>
      </c>
      <c r="D158" s="81" t="n"/>
      <c r="E158" s="81" t="n"/>
      <c r="F158" s="225" t="n">
        <v>41</v>
      </c>
      <c r="G158" s="225" t="n">
        <v>256</v>
      </c>
      <c r="H158" s="81" t="n"/>
      <c r="I158" s="79">
        <f t="array" ref="I158">G158+F158</f>
        <v/>
      </c>
      <c r="J158" s="81" t="n"/>
      <c r="K158" s="81" t="n"/>
      <c r="L158" s="81" t="n"/>
    </row>
    <row r="159" ht="20.05" customHeight="1" s="215">
      <c r="A159" s="4" t="inlineStr">
        <is>
          <t>c4mu</t>
        </is>
      </c>
      <c r="B159" s="34" t="inlineStr">
        <is>
          <t>Mauritius</t>
        </is>
      </c>
      <c r="C159" s="29" t="inlineStr">
        <is>
          <t>MU</t>
        </is>
      </c>
      <c r="D159" s="81" t="n"/>
      <c r="E159" s="81" t="n"/>
      <c r="F159" s="225" t="n">
        <v>313</v>
      </c>
      <c r="G159" s="225" t="n">
        <v>199</v>
      </c>
      <c r="H159" s="81" t="n"/>
      <c r="I159" s="79">
        <f t="array" ref="I159">G159+F159</f>
        <v/>
      </c>
      <c r="J159" s="81" t="n"/>
      <c r="K159" s="81" t="n"/>
      <c r="L159" s="81" t="n"/>
    </row>
    <row r="160" ht="20.05" customHeight="1" s="215">
      <c r="A160" s="4" t="inlineStr">
        <is>
          <t>c4mw</t>
        </is>
      </c>
      <c r="B160" s="34" t="inlineStr">
        <is>
          <t>Malawi</t>
        </is>
      </c>
      <c r="C160" s="29" t="inlineStr">
        <is>
          <t>MW</t>
        </is>
      </c>
      <c r="D160" s="81" t="n"/>
      <c r="E160" s="81" t="n"/>
      <c r="F160" s="225" t="n">
        <v>207</v>
      </c>
      <c r="G160" s="225" t="n">
        <v>202</v>
      </c>
      <c r="H160" s="81" t="n"/>
      <c r="I160" s="79">
        <f t="array" ref="I160">G160+F160</f>
        <v/>
      </c>
      <c r="J160" s="81" t="n"/>
      <c r="K160" s="81" t="n"/>
      <c r="L160" s="81" t="n"/>
    </row>
    <row r="161" ht="20.05" customHeight="1" s="215">
      <c r="A161" s="4" t="inlineStr">
        <is>
          <t>c4mz</t>
        </is>
      </c>
      <c r="B161" s="34" t="inlineStr">
        <is>
          <t>Mozambique</t>
        </is>
      </c>
      <c r="C161" s="29" t="inlineStr">
        <is>
          <t>MZ</t>
        </is>
      </c>
      <c r="D161" s="81" t="n"/>
      <c r="E161" s="81" t="n"/>
      <c r="F161" s="225" t="n">
        <v>459</v>
      </c>
      <c r="G161" s="225" t="n">
        <v>406</v>
      </c>
      <c r="H161" s="81" t="n"/>
      <c r="I161" s="79">
        <f t="array" ref="I161">G161+F161</f>
        <v/>
      </c>
      <c r="J161" s="81" t="n"/>
      <c r="K161" s="81" t="n"/>
      <c r="L161" s="81" t="n"/>
    </row>
    <row r="162" ht="20.05" customHeight="1" s="215">
      <c r="A162" s="4" t="inlineStr">
        <is>
          <t>c4na</t>
        </is>
      </c>
      <c r="B162" s="34" t="inlineStr">
        <is>
          <t>Namibia</t>
        </is>
      </c>
      <c r="C162" s="29" t="inlineStr">
        <is>
          <t>NA</t>
        </is>
      </c>
      <c r="D162" s="81" t="n"/>
      <c r="E162" s="81" t="n"/>
      <c r="F162" s="225" t="n">
        <v>354</v>
      </c>
      <c r="G162" s="225" t="n">
        <v>266</v>
      </c>
      <c r="H162" s="81" t="n"/>
      <c r="I162" s="79">
        <f t="array" ref="I162">G162+F162</f>
        <v/>
      </c>
      <c r="J162" s="81" t="n"/>
      <c r="K162" s="81" t="n"/>
      <c r="L162" s="81" t="n"/>
    </row>
    <row r="163" ht="20.05" customHeight="1" s="215">
      <c r="A163" s="4" t="inlineStr">
        <is>
          <t>c4ne</t>
        </is>
      </c>
      <c r="B163" s="34" t="inlineStr">
        <is>
          <t>Niger (the)</t>
        </is>
      </c>
      <c r="C163" s="29" t="inlineStr">
        <is>
          <t>NE</t>
        </is>
      </c>
      <c r="D163" s="81" t="n"/>
      <c r="E163" s="81" t="n"/>
      <c r="F163" s="225" t="n">
        <v>72</v>
      </c>
      <c r="G163" s="225" t="n">
        <v>202</v>
      </c>
      <c r="H163" s="81" t="n"/>
      <c r="I163" s="79">
        <f t="array" ref="I163">G163+F163</f>
        <v/>
      </c>
      <c r="J163" s="81" t="n"/>
      <c r="K163" s="81" t="n"/>
      <c r="L163" s="81" t="n"/>
    </row>
    <row r="164" ht="20.05" customHeight="1" s="215">
      <c r="A164" s="4" t="inlineStr">
        <is>
          <t>c4ng</t>
        </is>
      </c>
      <c r="B164" s="34" t="inlineStr">
        <is>
          <t>Nigeria</t>
        </is>
      </c>
      <c r="C164" s="29" t="inlineStr">
        <is>
          <t>NG</t>
        </is>
      </c>
      <c r="D164" s="81" t="n"/>
      <c r="E164" s="81" t="n"/>
      <c r="F164" s="225" t="n">
        <v>5451</v>
      </c>
      <c r="G164" s="225" t="n">
        <v>7776</v>
      </c>
      <c r="H164" s="81" t="n"/>
      <c r="I164" s="79">
        <f t="array" ref="I164">G164+F164</f>
        <v/>
      </c>
      <c r="J164" s="81" t="n"/>
      <c r="K164" s="81" t="n"/>
      <c r="L164" s="81" t="n"/>
    </row>
    <row r="165" ht="20.05" customHeight="1" s="215">
      <c r="A165" s="4" t="inlineStr">
        <is>
          <t>c4re</t>
        </is>
      </c>
      <c r="B165" s="34" t="inlineStr">
        <is>
          <t>Réunion</t>
        </is>
      </c>
      <c r="C165" s="29" t="inlineStr">
        <is>
          <t>RE</t>
        </is>
      </c>
      <c r="D165" s="81" t="n"/>
      <c r="E165" s="81" t="n"/>
      <c r="F165" s="116" t="n"/>
      <c r="G165" s="116" t="n"/>
      <c r="H165" s="81" t="n"/>
      <c r="I165" s="79">
        <f t="array" ref="I165">G165+F165</f>
        <v/>
      </c>
      <c r="J165" s="81" t="n"/>
      <c r="K165" s="81" t="n"/>
      <c r="L165" s="81" t="n"/>
    </row>
    <row r="166" ht="20.05" customHeight="1" s="215">
      <c r="A166" s="4" t="inlineStr">
        <is>
          <t>c4rw</t>
        </is>
      </c>
      <c r="B166" s="34" t="inlineStr">
        <is>
          <t>Rwanda</t>
        </is>
      </c>
      <c r="C166" s="29" t="inlineStr">
        <is>
          <t>RW</t>
        </is>
      </c>
      <c r="D166" s="81" t="n"/>
      <c r="E166" s="81" t="n"/>
      <c r="F166" s="225" t="n">
        <v>662</v>
      </c>
      <c r="G166" s="225" t="n">
        <v>637</v>
      </c>
      <c r="H166" s="81" t="n"/>
      <c r="I166" s="79">
        <f t="array" ref="I166">G166+F166</f>
        <v/>
      </c>
      <c r="J166" s="81" t="n"/>
      <c r="K166" s="81" t="n"/>
      <c r="L166" s="81" t="n"/>
    </row>
    <row r="167" ht="20.05" customHeight="1" s="215">
      <c r="A167" s="4" t="inlineStr">
        <is>
          <t>c4sd</t>
        </is>
      </c>
      <c r="B167" s="34" t="inlineStr">
        <is>
          <t>Sudan (the)</t>
        </is>
      </c>
      <c r="C167" s="29" t="inlineStr">
        <is>
          <t>SD</t>
        </is>
      </c>
      <c r="D167" s="81" t="n"/>
      <c r="E167" s="81" t="n"/>
      <c r="F167" s="225" t="n">
        <v>2991</v>
      </c>
      <c r="G167" s="225" t="n">
        <v>4755</v>
      </c>
      <c r="H167" s="81" t="n"/>
      <c r="I167" s="79">
        <f t="array" ref="I167">G167+F167</f>
        <v/>
      </c>
      <c r="J167" s="81" t="n"/>
      <c r="K167" s="81" t="n"/>
      <c r="L167" s="81" t="n"/>
    </row>
    <row r="168" ht="32.05" customHeight="1" s="215">
      <c r="A168" s="4" t="inlineStr">
        <is>
          <t>c4sh</t>
        </is>
      </c>
      <c r="B168" s="34" t="inlineStr">
        <is>
          <t>Saint Helena, Ascension Island, Tristan da Cunha</t>
        </is>
      </c>
      <c r="C168" s="29" t="inlineStr">
        <is>
          <t>SH</t>
        </is>
      </c>
      <c r="D168" s="81" t="n"/>
      <c r="E168" s="81" t="n"/>
      <c r="F168" s="116" t="n"/>
      <c r="G168" s="116" t="n"/>
      <c r="H168" s="81" t="n"/>
      <c r="I168" s="79">
        <f t="array" ref="I168">G168+F168</f>
        <v/>
      </c>
      <c r="J168" s="81" t="n"/>
      <c r="K168" s="81" t="n"/>
      <c r="L168" s="81" t="n"/>
    </row>
    <row r="169" ht="20.05" customHeight="1" s="215">
      <c r="A169" s="4" t="inlineStr">
        <is>
          <t>c4sl</t>
        </is>
      </c>
      <c r="B169" s="34" t="inlineStr">
        <is>
          <t>Sierra Leone</t>
        </is>
      </c>
      <c r="C169" s="29" t="inlineStr">
        <is>
          <t>SL</t>
        </is>
      </c>
      <c r="D169" s="81" t="n"/>
      <c r="E169" s="81" t="n"/>
      <c r="F169" s="225" t="n">
        <v>1537</v>
      </c>
      <c r="G169" s="225" t="n">
        <v>2683</v>
      </c>
      <c r="H169" s="81" t="n"/>
      <c r="I169" s="79">
        <f t="array" ref="I169">G169+F169</f>
        <v/>
      </c>
      <c r="J169" s="81" t="n"/>
      <c r="K169" s="81" t="n"/>
      <c r="L169" s="81" t="n"/>
    </row>
    <row r="170" ht="20.05" customHeight="1" s="215">
      <c r="A170" s="4" t="inlineStr">
        <is>
          <t>c4sn</t>
        </is>
      </c>
      <c r="B170" s="34" t="inlineStr">
        <is>
          <t>Senegal</t>
        </is>
      </c>
      <c r="C170" s="29" t="inlineStr">
        <is>
          <t>SN</t>
        </is>
      </c>
      <c r="D170" s="81" t="n"/>
      <c r="E170" s="81" t="n"/>
      <c r="F170" s="225" t="n">
        <v>586</v>
      </c>
      <c r="G170" s="225" t="n">
        <v>884</v>
      </c>
      <c r="H170" s="81" t="n"/>
      <c r="I170" s="79">
        <f t="array" ref="I170">G170+F170</f>
        <v/>
      </c>
      <c r="J170" s="81" t="n"/>
      <c r="K170" s="81" t="n"/>
      <c r="L170" s="81" t="n"/>
    </row>
    <row r="171" ht="20.05" customHeight="1" s="215">
      <c r="A171" s="4" t="inlineStr">
        <is>
          <t>c4so</t>
        </is>
      </c>
      <c r="B171" s="34" t="inlineStr">
        <is>
          <t>Somalia</t>
        </is>
      </c>
      <c r="C171" s="29" t="inlineStr">
        <is>
          <t>SO</t>
        </is>
      </c>
      <c r="D171" s="81" t="n"/>
      <c r="E171" s="81" t="n"/>
      <c r="F171" s="225" t="n">
        <v>14054</v>
      </c>
      <c r="G171" s="225" t="n">
        <v>14536</v>
      </c>
      <c r="H171" s="81" t="n"/>
      <c r="I171" s="79">
        <f t="array" ref="I171">G171+F171</f>
        <v/>
      </c>
      <c r="J171" s="81" t="n"/>
      <c r="K171" s="81" t="n"/>
      <c r="L171" s="81" t="n"/>
    </row>
    <row r="172" ht="20.05" customHeight="1" s="215">
      <c r="A172" s="4" t="inlineStr">
        <is>
          <t>c4ss</t>
        </is>
      </c>
      <c r="B172" s="34" t="inlineStr">
        <is>
          <t>South Sudan</t>
        </is>
      </c>
      <c r="C172" s="29" t="inlineStr">
        <is>
          <t>SS</t>
        </is>
      </c>
      <c r="D172" s="81" t="n"/>
      <c r="E172" s="81" t="n"/>
      <c r="F172" s="225" t="n">
        <v>25</v>
      </c>
      <c r="G172" s="225" t="n">
        <v>22</v>
      </c>
      <c r="H172" s="81" t="n"/>
      <c r="I172" s="79">
        <f t="array" ref="I172">G172+F172</f>
        <v/>
      </c>
      <c r="J172" s="81" t="n"/>
      <c r="K172" s="81" t="n"/>
      <c r="L172" s="81" t="n"/>
    </row>
    <row r="173" ht="20.05" customHeight="1" s="215">
      <c r="A173" s="4" t="inlineStr">
        <is>
          <t>c4st</t>
        </is>
      </c>
      <c r="B173" s="34" t="inlineStr">
        <is>
          <t>Sao Tome and Principe</t>
        </is>
      </c>
      <c r="C173" s="29" t="inlineStr">
        <is>
          <t>ST</t>
        </is>
      </c>
      <c r="D173" s="81" t="n"/>
      <c r="E173" s="81" t="n"/>
      <c r="F173" s="116" t="n"/>
      <c r="G173" s="116" t="n"/>
      <c r="H173" s="81" t="n"/>
      <c r="I173" s="79">
        <f t="array" ref="I173">G173+F173</f>
        <v/>
      </c>
      <c r="J173" s="81" t="n"/>
      <c r="K173" s="81" t="n"/>
      <c r="L173" s="81" t="n"/>
    </row>
    <row r="174" ht="20.05" customHeight="1" s="215">
      <c r="A174" s="4" t="inlineStr">
        <is>
          <t>c4sz</t>
        </is>
      </c>
      <c r="B174" s="34" t="inlineStr">
        <is>
          <t>Eswatini</t>
        </is>
      </c>
      <c r="C174" s="29" t="inlineStr">
        <is>
          <t>SZ</t>
        </is>
      </c>
      <c r="D174" s="81" t="n"/>
      <c r="E174" s="81" t="n"/>
      <c r="F174" s="225" t="n">
        <v>58</v>
      </c>
      <c r="G174" s="225" t="n">
        <v>51</v>
      </c>
      <c r="H174" s="81" t="n"/>
      <c r="I174" s="79">
        <f t="array" ref="I174">G174+F174</f>
        <v/>
      </c>
      <c r="J174" s="81" t="n"/>
      <c r="K174" s="81" t="n"/>
      <c r="L174" s="81" t="n"/>
    </row>
    <row r="175" ht="20.05" customHeight="1" s="215">
      <c r="A175" s="4" t="inlineStr">
        <is>
          <t>c4td</t>
        </is>
      </c>
      <c r="B175" s="34" t="inlineStr">
        <is>
          <t>Chad</t>
        </is>
      </c>
      <c r="C175" s="29" t="inlineStr">
        <is>
          <t>TD</t>
        </is>
      </c>
      <c r="D175" s="81" t="n"/>
      <c r="E175" s="81" t="n"/>
      <c r="F175" s="225" t="n">
        <v>49</v>
      </c>
      <c r="G175" s="225" t="n">
        <v>85</v>
      </c>
      <c r="H175" s="81" t="n"/>
      <c r="I175" s="79">
        <f t="array" ref="I175">G175+F175</f>
        <v/>
      </c>
      <c r="J175" s="81" t="n"/>
      <c r="K175" s="81" t="n"/>
      <c r="L175" s="81" t="n"/>
    </row>
    <row r="176" ht="20.05" customHeight="1" s="215">
      <c r="A176" s="4" t="inlineStr">
        <is>
          <t>c4tg</t>
        </is>
      </c>
      <c r="B176" s="34" t="inlineStr">
        <is>
          <t>Togo</t>
        </is>
      </c>
      <c r="C176" s="29" t="inlineStr">
        <is>
          <t>TG</t>
        </is>
      </c>
      <c r="D176" s="81" t="n"/>
      <c r="E176" s="81" t="n"/>
      <c r="F176" s="225" t="n">
        <v>462</v>
      </c>
      <c r="G176" s="225" t="n">
        <v>685</v>
      </c>
      <c r="H176" s="81" t="n"/>
      <c r="I176" s="79">
        <f t="array" ref="I176">G176+F176</f>
        <v/>
      </c>
      <c r="J176" s="81" t="n"/>
      <c r="K176" s="81" t="n"/>
      <c r="L176" s="81" t="n"/>
    </row>
    <row r="177" ht="20.05" customHeight="1" s="215">
      <c r="A177" s="4" t="inlineStr">
        <is>
          <t>c4tn</t>
        </is>
      </c>
      <c r="B177" s="34" t="inlineStr">
        <is>
          <t>Tunisia</t>
        </is>
      </c>
      <c r="C177" s="29" t="inlineStr">
        <is>
          <t>TN</t>
        </is>
      </c>
      <c r="D177" s="81" t="n"/>
      <c r="E177" s="81" t="n"/>
      <c r="F177" s="225" t="n">
        <v>2625</v>
      </c>
      <c r="G177" s="225" t="n">
        <v>3724</v>
      </c>
      <c r="H177" s="81" t="n"/>
      <c r="I177" s="79">
        <f t="array" ref="I177">G177+F177</f>
        <v/>
      </c>
      <c r="J177" s="81" t="n"/>
      <c r="K177" s="81" t="n"/>
      <c r="L177" s="81" t="n"/>
    </row>
    <row r="178" ht="20.05" customHeight="1" s="215">
      <c r="A178" s="4" t="inlineStr">
        <is>
          <t>c4tz</t>
        </is>
      </c>
      <c r="B178" s="34" t="inlineStr">
        <is>
          <t>Tanzania</t>
        </is>
      </c>
      <c r="C178" s="29" t="inlineStr">
        <is>
          <t>TZ</t>
        </is>
      </c>
      <c r="D178" s="81" t="n"/>
      <c r="E178" s="81" t="n"/>
      <c r="F178" s="225" t="n">
        <v>942</v>
      </c>
      <c r="G178" s="225" t="n">
        <v>787</v>
      </c>
      <c r="H178" s="81" t="n"/>
      <c r="I178" s="79">
        <f t="array" ref="I178">G178+F178</f>
        <v/>
      </c>
      <c r="J178" s="81" t="n"/>
      <c r="K178" s="81" t="n"/>
      <c r="L178" s="81" t="n"/>
    </row>
    <row r="179" ht="20.05" customHeight="1" s="215">
      <c r="A179" s="4" t="inlineStr">
        <is>
          <t>c4ug</t>
        </is>
      </c>
      <c r="B179" s="34" t="inlineStr">
        <is>
          <t>Uganda</t>
        </is>
      </c>
      <c r="C179" s="29" t="inlineStr">
        <is>
          <t>UG</t>
        </is>
      </c>
      <c r="D179" s="81" t="n"/>
      <c r="E179" s="81" t="n"/>
      <c r="F179" s="116" t="n"/>
      <c r="G179" s="116" t="n"/>
      <c r="H179" s="81" t="n"/>
      <c r="I179" s="79">
        <f t="array" ref="I179">G179+F179</f>
        <v/>
      </c>
      <c r="J179" s="81" t="n"/>
      <c r="K179" s="81" t="n"/>
      <c r="L179" s="81" t="n"/>
    </row>
    <row r="180" ht="20.05" customHeight="1" s="215">
      <c r="A180" s="4" t="inlineStr">
        <is>
          <t>c4yt</t>
        </is>
      </c>
      <c r="B180" s="34" t="inlineStr">
        <is>
          <t>Mayotte</t>
        </is>
      </c>
      <c r="C180" s="29" t="inlineStr">
        <is>
          <t>YT</t>
        </is>
      </c>
      <c r="D180" s="81" t="n"/>
      <c r="E180" s="81" t="n"/>
      <c r="F180" s="116" t="n"/>
      <c r="G180" s="116" t="n"/>
      <c r="H180" s="81" t="n"/>
      <c r="I180" s="79">
        <f t="array" ref="I180">G180+F180</f>
        <v/>
      </c>
      <c r="J180" s="81" t="n"/>
      <c r="K180" s="81" t="n"/>
      <c r="L180" s="81" t="n"/>
    </row>
    <row r="181" ht="20.05" customHeight="1" s="215">
      <c r="A181" s="4" t="inlineStr">
        <is>
          <t>c4za</t>
        </is>
      </c>
      <c r="B181" s="34" t="inlineStr">
        <is>
          <t>South Africa</t>
        </is>
      </c>
      <c r="C181" s="29" t="inlineStr">
        <is>
          <t>ZA</t>
        </is>
      </c>
      <c r="D181" s="81" t="n"/>
      <c r="E181" s="81" t="n"/>
      <c r="F181" s="225" t="n">
        <v>17667</v>
      </c>
      <c r="G181" s="225" t="n">
        <v>17386</v>
      </c>
      <c r="H181" s="81" t="n"/>
      <c r="I181" s="79">
        <f t="array" ref="I181">G181+F181</f>
        <v/>
      </c>
      <c r="J181" s="81" t="n"/>
      <c r="K181" s="81" t="n"/>
      <c r="L181" s="81" t="n"/>
    </row>
    <row r="182" ht="20.05" customHeight="1" s="215">
      <c r="A182" s="4" t="inlineStr">
        <is>
          <t>c4zm</t>
        </is>
      </c>
      <c r="B182" s="34" t="inlineStr">
        <is>
          <t>Zambia</t>
        </is>
      </c>
      <c r="C182" s="29" t="inlineStr">
        <is>
          <t>ZM</t>
        </is>
      </c>
      <c r="D182" s="81" t="n"/>
      <c r="E182" s="81" t="n"/>
      <c r="F182" s="225" t="n">
        <v>674</v>
      </c>
      <c r="G182" s="225" t="n">
        <v>551</v>
      </c>
      <c r="H182" s="81" t="n"/>
      <c r="I182" s="79">
        <f t="array" ref="I182">G182+F182</f>
        <v/>
      </c>
      <c r="J182" s="81" t="n"/>
      <c r="K182" s="81" t="n"/>
      <c r="L182" s="81" t="n"/>
    </row>
    <row r="183" ht="20.05" customHeight="1" s="215">
      <c r="A183" s="4" t="inlineStr">
        <is>
          <t>c4zw</t>
        </is>
      </c>
      <c r="B183" s="34" t="inlineStr">
        <is>
          <t>Zimbabwe</t>
        </is>
      </c>
      <c r="C183" s="29" t="inlineStr">
        <is>
          <t>ZW</t>
        </is>
      </c>
      <c r="D183" s="81" t="n"/>
      <c r="E183" s="81" t="n"/>
      <c r="F183" s="225" t="n">
        <v>1264</v>
      </c>
      <c r="G183" s="225" t="n">
        <v>1190</v>
      </c>
      <c r="H183" s="81" t="n"/>
      <c r="I183" s="79">
        <f t="array" ref="I183">G183+F183</f>
        <v/>
      </c>
      <c r="J183" s="81" t="n"/>
      <c r="K183" s="81" t="n"/>
      <c r="L183" s="81" t="n"/>
    </row>
    <row r="184" ht="20.05" customHeight="1" s="215">
      <c r="A184" s="4" t="inlineStr">
        <is>
          <t>c4</t>
        </is>
      </c>
      <c r="B184" s="178" t="inlineStr">
        <is>
          <t>Africa</t>
        </is>
      </c>
      <c r="C184" s="76" t="n"/>
      <c r="D184" s="81" t="n"/>
      <c r="E184" s="81" t="n"/>
      <c r="F184" s="79">
        <f t="array" ref="F184">SUM(F126:F183)</f>
        <v/>
      </c>
      <c r="G184" s="79">
        <f t="array" ref="G184">SUM(G126:G183)</f>
        <v/>
      </c>
      <c r="H184" s="81" t="n"/>
      <c r="I184" s="79">
        <f t="array" ref="I184">SUM(I126:I183)</f>
        <v/>
      </c>
      <c r="J184" s="81" t="n"/>
      <c r="K184" s="81" t="n"/>
      <c r="L184" s="81" t="n"/>
    </row>
    <row r="185" ht="20.05" customHeight="1" s="215">
      <c r="A185" s="3" t="n"/>
      <c r="B185" s="28" t="n"/>
      <c r="C185" s="17" t="n"/>
      <c r="D185" s="81" t="n"/>
      <c r="E185" s="81" t="n"/>
      <c r="F185" s="81" t="n"/>
      <c r="G185" s="81" t="n"/>
      <c r="H185" s="81" t="n"/>
      <c r="I185" s="81" t="n"/>
      <c r="J185" s="81" t="n"/>
      <c r="K185" s="81" t="n"/>
      <c r="L185" s="81" t="n"/>
    </row>
    <row r="186" ht="20.05" customHeight="1" s="215">
      <c r="A186" s="3" t="n"/>
      <c r="B186" s="34" t="inlineStr">
        <is>
          <t>Middle East</t>
        </is>
      </c>
      <c r="C186" s="17" t="n"/>
      <c r="D186" s="81" t="n"/>
      <c r="E186" s="81" t="n"/>
      <c r="F186" s="81" t="n"/>
      <c r="G186" s="81" t="n"/>
      <c r="H186" s="81" t="n"/>
      <c r="I186" s="81" t="n"/>
      <c r="J186" s="81" t="n"/>
      <c r="K186" s="81" t="n"/>
      <c r="L186" s="81" t="n"/>
    </row>
    <row r="187" ht="20.05" customHeight="1" s="215">
      <c r="A187" s="4" t="inlineStr">
        <is>
          <t>c5ae</t>
        </is>
      </c>
      <c r="B187" s="34" t="inlineStr">
        <is>
          <t>United Arab Emirates (the)</t>
        </is>
      </c>
      <c r="C187" s="29" t="inlineStr">
        <is>
          <t>AE</t>
        </is>
      </c>
      <c r="D187" s="81" t="n"/>
      <c r="E187" s="81" t="n"/>
      <c r="F187" s="225" t="n">
        <v>2183</v>
      </c>
      <c r="G187" s="225" t="n">
        <v>2707</v>
      </c>
      <c r="H187" s="81" t="n"/>
      <c r="I187" s="79">
        <f t="array" ref="I187">G187+F187</f>
        <v/>
      </c>
      <c r="J187" s="81" t="n"/>
      <c r="K187" s="81" t="n"/>
      <c r="L187" s="81" t="n"/>
    </row>
    <row r="188" ht="20.05" customHeight="1" s="215">
      <c r="A188" s="4" t="inlineStr">
        <is>
          <t>c5af</t>
        </is>
      </c>
      <c r="B188" s="34" t="inlineStr">
        <is>
          <t>Afghanistan</t>
        </is>
      </c>
      <c r="C188" s="29" t="inlineStr">
        <is>
          <t>AF</t>
        </is>
      </c>
      <c r="D188" s="81" t="n"/>
      <c r="E188" s="81" t="n"/>
      <c r="F188" s="225" t="n">
        <v>20380</v>
      </c>
      <c r="G188" s="225" t="n">
        <v>23022</v>
      </c>
      <c r="H188" s="81" t="n"/>
      <c r="I188" s="79">
        <f t="array" ref="I188">G188+F188</f>
        <v/>
      </c>
      <c r="J188" s="81" t="n"/>
      <c r="K188" s="81" t="n"/>
      <c r="L188" s="81" t="n"/>
    </row>
    <row r="189" ht="20.05" customHeight="1" s="215">
      <c r="A189" s="4" t="inlineStr">
        <is>
          <t>c5am</t>
        </is>
      </c>
      <c r="B189" s="34" t="inlineStr">
        <is>
          <t>Armenia</t>
        </is>
      </c>
      <c r="C189" s="29" t="inlineStr">
        <is>
          <t>AM</t>
        </is>
      </c>
      <c r="D189" s="81" t="n"/>
      <c r="E189" s="81" t="n"/>
      <c r="F189" s="225" t="n">
        <v>3565</v>
      </c>
      <c r="G189" s="225" t="n">
        <v>2814</v>
      </c>
      <c r="H189" s="81" t="n"/>
      <c r="I189" s="79">
        <f t="array" ref="I189">G189+F189</f>
        <v/>
      </c>
      <c r="J189" s="81" t="n"/>
      <c r="K189" s="81" t="n"/>
      <c r="L189" s="81" t="n"/>
    </row>
    <row r="190" ht="20.05" customHeight="1" s="215">
      <c r="A190" s="4" t="inlineStr">
        <is>
          <t>c5bh</t>
        </is>
      </c>
      <c r="B190" s="34" t="inlineStr">
        <is>
          <t>Bahrain</t>
        </is>
      </c>
      <c r="C190" s="29" t="inlineStr">
        <is>
          <t>BH</t>
        </is>
      </c>
      <c r="D190" s="81" t="n"/>
      <c r="E190" s="81" t="n"/>
      <c r="F190" s="225" t="n">
        <v>173</v>
      </c>
      <c r="G190" s="225" t="n">
        <v>191</v>
      </c>
      <c r="H190" s="81" t="n"/>
      <c r="I190" s="79">
        <f t="array" ref="I190">G190+F190</f>
        <v/>
      </c>
      <c r="J190" s="81" t="n"/>
      <c r="K190" s="81" t="n"/>
      <c r="L190" s="81" t="n"/>
    </row>
    <row r="191" ht="20.05" customHeight="1" s="215">
      <c r="A191" s="4" t="inlineStr">
        <is>
          <t>c5cy</t>
        </is>
      </c>
      <c r="B191" s="34" t="inlineStr">
        <is>
          <t>Cyprus</t>
        </is>
      </c>
      <c r="C191" s="29" t="inlineStr">
        <is>
          <t>CY</t>
        </is>
      </c>
      <c r="D191" s="81" t="n"/>
      <c r="E191" s="81" t="n"/>
      <c r="F191" s="225" t="n">
        <v>1265</v>
      </c>
      <c r="G191" s="225" t="n">
        <v>1324</v>
      </c>
      <c r="H191" s="81" t="n"/>
      <c r="I191" s="79">
        <f t="array" ref="I191">G191+F191</f>
        <v/>
      </c>
      <c r="J191" s="81" t="n"/>
      <c r="K191" s="81" t="n"/>
      <c r="L191" s="81" t="n"/>
    </row>
    <row r="192" ht="20.05" customHeight="1" s="215">
      <c r="A192" s="4" t="inlineStr">
        <is>
          <t>c5ge</t>
        </is>
      </c>
      <c r="B192" s="34" t="inlineStr">
        <is>
          <t>Georgia</t>
        </is>
      </c>
      <c r="C192" s="29" t="inlineStr">
        <is>
          <t>GE</t>
        </is>
      </c>
      <c r="D192" s="81" t="n"/>
      <c r="E192" s="81" t="n"/>
      <c r="F192" s="225" t="n">
        <v>2407</v>
      </c>
      <c r="G192" s="225" t="n">
        <v>2133</v>
      </c>
      <c r="H192" s="81" t="n"/>
      <c r="I192" s="79">
        <f t="array" ref="I192">G192+F192</f>
        <v/>
      </c>
      <c r="J192" s="81" t="n"/>
      <c r="K192" s="81" t="n"/>
      <c r="L192" s="81" t="n"/>
    </row>
    <row r="193" ht="20.05" customHeight="1" s="215">
      <c r="A193" s="4" t="inlineStr">
        <is>
          <t>c5il</t>
        </is>
      </c>
      <c r="B193" s="34" t="inlineStr">
        <is>
          <t>Israel</t>
        </is>
      </c>
      <c r="C193" s="29" t="inlineStr">
        <is>
          <t>IL</t>
        </is>
      </c>
      <c r="D193" s="81" t="n"/>
      <c r="E193" s="81" t="n"/>
      <c r="F193" s="225" t="n">
        <v>3847</v>
      </c>
      <c r="G193" s="225" t="n">
        <v>4614</v>
      </c>
      <c r="H193" s="81" t="n"/>
      <c r="I193" s="79">
        <f t="array" ref="I193">G193+F193</f>
        <v/>
      </c>
      <c r="J193" s="81" t="n"/>
      <c r="K193" s="81" t="n"/>
      <c r="L193" s="81" t="n"/>
    </row>
    <row r="194" ht="20.05" customHeight="1" s="215">
      <c r="A194" s="4" t="inlineStr">
        <is>
          <t>c5iq</t>
        </is>
      </c>
      <c r="B194" s="34" t="inlineStr">
        <is>
          <t>Iraq</t>
        </is>
      </c>
      <c r="C194" s="29" t="inlineStr">
        <is>
          <t>IQ</t>
        </is>
      </c>
      <c r="D194" s="81" t="n"/>
      <c r="E194" s="81" t="n"/>
      <c r="F194" s="225" t="n">
        <v>22503</v>
      </c>
      <c r="G194" s="225" t="n">
        <v>28409</v>
      </c>
      <c r="H194" s="81" t="n"/>
      <c r="I194" s="79">
        <f t="array" ref="I194">G194+F194</f>
        <v/>
      </c>
      <c r="J194" s="81" t="n"/>
      <c r="K194" s="81" t="n"/>
      <c r="L194" s="81" t="n"/>
    </row>
    <row r="195" ht="20.05" customHeight="1" s="215">
      <c r="A195" s="4" t="inlineStr">
        <is>
          <t>c5ir</t>
        </is>
      </c>
      <c r="B195" s="34" t="inlineStr">
        <is>
          <t>Iran (Islamic Republic of)</t>
        </is>
      </c>
      <c r="C195" s="29" t="inlineStr">
        <is>
          <t>IR</t>
        </is>
      </c>
      <c r="D195" s="81" t="n"/>
      <c r="E195" s="81" t="n"/>
      <c r="F195" s="225" t="n">
        <v>23073</v>
      </c>
      <c r="G195" s="225" t="n">
        <v>25374</v>
      </c>
      <c r="H195" s="81" t="n"/>
      <c r="I195" s="79">
        <f t="array" ref="I195">G195+F195</f>
        <v/>
      </c>
      <c r="J195" s="81" t="n"/>
      <c r="K195" s="81" t="n"/>
      <c r="L195" s="81" t="n"/>
    </row>
    <row r="196" ht="20.05" customHeight="1" s="215">
      <c r="A196" s="4" t="inlineStr">
        <is>
          <t>c5jo</t>
        </is>
      </c>
      <c r="B196" s="34" t="inlineStr">
        <is>
          <t>Jordan</t>
        </is>
      </c>
      <c r="C196" s="29" t="inlineStr">
        <is>
          <t>JO</t>
        </is>
      </c>
      <c r="D196" s="81" t="n"/>
      <c r="E196" s="81" t="n"/>
      <c r="F196" s="225" t="n">
        <v>1376</v>
      </c>
      <c r="G196" s="225" t="n">
        <v>1749</v>
      </c>
      <c r="H196" s="81" t="n"/>
      <c r="I196" s="79">
        <f t="array" ref="I196">G196+F196</f>
        <v/>
      </c>
      <c r="J196" s="81" t="n"/>
      <c r="K196" s="81" t="n"/>
      <c r="L196" s="81" t="n"/>
    </row>
    <row r="197" ht="20.05" customHeight="1" s="215">
      <c r="A197" s="4" t="inlineStr">
        <is>
          <t>c5kw</t>
        </is>
      </c>
      <c r="B197" s="34" t="inlineStr">
        <is>
          <t>Kuwait</t>
        </is>
      </c>
      <c r="C197" s="29" t="inlineStr">
        <is>
          <t>KW</t>
        </is>
      </c>
      <c r="D197" s="81" t="n"/>
      <c r="E197" s="81" t="n"/>
      <c r="F197" s="225" t="n">
        <v>983</v>
      </c>
      <c r="G197" s="225" t="n">
        <v>1401</v>
      </c>
      <c r="H197" s="81" t="n"/>
      <c r="I197" s="79">
        <f t="array" ref="I197">G197+F197</f>
        <v/>
      </c>
      <c r="J197" s="81" t="n"/>
      <c r="K197" s="81" t="n"/>
      <c r="L197" s="81" t="n"/>
    </row>
    <row r="198" ht="20.05" customHeight="1" s="215">
      <c r="A198" s="4" t="inlineStr">
        <is>
          <t>c5lb</t>
        </is>
      </c>
      <c r="B198" s="34" t="inlineStr">
        <is>
          <t>Lebanon</t>
        </is>
      </c>
      <c r="C198" s="29" t="inlineStr">
        <is>
          <t>LB</t>
        </is>
      </c>
      <c r="D198" s="81" t="n"/>
      <c r="E198" s="81" t="n"/>
      <c r="F198" s="225" t="n">
        <v>3553</v>
      </c>
      <c r="G198" s="225" t="n">
        <v>4160</v>
      </c>
      <c r="H198" s="81" t="n"/>
      <c r="I198" s="79">
        <f t="array" ref="I198">G198+F198</f>
        <v/>
      </c>
      <c r="J198" s="81" t="n"/>
      <c r="K198" s="81" t="n"/>
      <c r="L198" s="81" t="n"/>
    </row>
    <row r="199" ht="20.05" customHeight="1" s="215">
      <c r="A199" s="4" t="inlineStr">
        <is>
          <t>c5om</t>
        </is>
      </c>
      <c r="B199" s="34" t="inlineStr">
        <is>
          <t>Oman</t>
        </is>
      </c>
      <c r="C199" s="29" t="inlineStr">
        <is>
          <t>OM</t>
        </is>
      </c>
      <c r="D199" s="81" t="n"/>
      <c r="E199" s="81" t="n"/>
      <c r="F199" s="225" t="n">
        <v>401</v>
      </c>
      <c r="G199" s="225" t="n">
        <v>448</v>
      </c>
      <c r="H199" s="81" t="n"/>
      <c r="I199" s="79">
        <f t="array" ref="I199">G199+F199</f>
        <v/>
      </c>
      <c r="J199" s="81" t="n"/>
      <c r="K199" s="81" t="n"/>
      <c r="L199" s="81" t="n"/>
    </row>
    <row r="200" ht="20.05" customHeight="1" s="215">
      <c r="A200" s="4" t="inlineStr">
        <is>
          <t>c5pk</t>
        </is>
      </c>
      <c r="B200" s="34" t="inlineStr">
        <is>
          <t>Pakistan</t>
        </is>
      </c>
      <c r="C200" s="29" t="inlineStr">
        <is>
          <t>PK</t>
        </is>
      </c>
      <c r="D200" s="81" t="n"/>
      <c r="E200" s="81" t="n"/>
      <c r="F200" s="225" t="n">
        <v>8869</v>
      </c>
      <c r="G200" s="225" t="n">
        <v>11443</v>
      </c>
      <c r="H200" s="81" t="n"/>
      <c r="I200" s="79">
        <f t="array" ref="I200">G200+F200</f>
        <v/>
      </c>
      <c r="J200" s="81" t="n"/>
      <c r="K200" s="81" t="n"/>
      <c r="L200" s="81" t="n"/>
    </row>
    <row r="201" ht="20.05" customHeight="1" s="215">
      <c r="A201" s="4" t="inlineStr">
        <is>
          <t>c5ps</t>
        </is>
      </c>
      <c r="B201" s="34" t="inlineStr">
        <is>
          <t>Palestine</t>
        </is>
      </c>
      <c r="C201" s="29" t="inlineStr">
        <is>
          <t>PS</t>
        </is>
      </c>
      <c r="D201" s="81" t="n"/>
      <c r="E201" s="81" t="n"/>
      <c r="F201" s="116" t="n"/>
      <c r="G201" s="116" t="n"/>
      <c r="H201" s="81" t="n"/>
      <c r="I201" s="79">
        <f t="array" ref="I201">G201+F201</f>
        <v/>
      </c>
      <c r="J201" s="81" t="n"/>
      <c r="K201" s="81" t="n"/>
      <c r="L201" s="81" t="n"/>
    </row>
    <row r="202" ht="20.05" customHeight="1" s="215">
      <c r="A202" s="4" t="inlineStr">
        <is>
          <t>c5qa</t>
        </is>
      </c>
      <c r="B202" s="34" t="inlineStr">
        <is>
          <t>Qatar</t>
        </is>
      </c>
      <c r="C202" s="29" t="inlineStr">
        <is>
          <t>QA</t>
        </is>
      </c>
      <c r="D202" s="81" t="n"/>
      <c r="E202" s="81" t="n"/>
      <c r="F202" s="116" t="n"/>
      <c r="G202" s="116" t="n"/>
      <c r="H202" s="81" t="n"/>
      <c r="I202" s="79">
        <f t="array" ref="I202">G202+F202</f>
        <v/>
      </c>
      <c r="J202" s="81" t="n"/>
      <c r="K202" s="81" t="n"/>
      <c r="L202" s="81" t="n"/>
    </row>
    <row r="203" ht="20.05" customHeight="1" s="215">
      <c r="A203" s="4" t="inlineStr">
        <is>
          <t>c5sa</t>
        </is>
      </c>
      <c r="B203" s="34" t="inlineStr">
        <is>
          <t>Saudi Arabia</t>
        </is>
      </c>
      <c r="C203" s="29" t="inlineStr">
        <is>
          <t>SA</t>
        </is>
      </c>
      <c r="D203" s="81" t="n"/>
      <c r="E203" s="81" t="n"/>
      <c r="F203" s="225" t="n">
        <v>3136</v>
      </c>
      <c r="G203" s="225" t="n">
        <v>4254</v>
      </c>
      <c r="H203" s="81" t="n"/>
      <c r="I203" s="79">
        <f t="array" ref="I203">G203+F203</f>
        <v/>
      </c>
      <c r="J203" s="81" t="n"/>
      <c r="K203" s="81" t="n"/>
      <c r="L203" s="81" t="n"/>
    </row>
    <row r="204" ht="20.05" customHeight="1" s="215">
      <c r="A204" s="4" t="inlineStr">
        <is>
          <t>c5sy</t>
        </is>
      </c>
      <c r="B204" s="34" t="inlineStr">
        <is>
          <t>Syrian Arab Republic (the)</t>
        </is>
      </c>
      <c r="C204" s="29" t="inlineStr">
        <is>
          <t>SY</t>
        </is>
      </c>
      <c r="D204" s="81" t="n"/>
      <c r="E204" s="81" t="n"/>
      <c r="F204" s="225" t="n">
        <v>67211</v>
      </c>
      <c r="G204" s="225" t="n">
        <v>98795</v>
      </c>
      <c r="H204" s="81" t="n"/>
      <c r="I204" s="79">
        <f t="array" ref="I204">G204+F204</f>
        <v/>
      </c>
      <c r="J204" s="81" t="n"/>
      <c r="K204" s="81" t="n"/>
      <c r="L204" s="81" t="n"/>
    </row>
    <row r="205" ht="20.05" customHeight="1" s="215">
      <c r="A205" s="4" t="inlineStr">
        <is>
          <t>c5tl</t>
        </is>
      </c>
      <c r="B205" s="34" t="inlineStr">
        <is>
          <t>Timor-Leste</t>
        </is>
      </c>
      <c r="C205" s="29" t="inlineStr">
        <is>
          <t>TL</t>
        </is>
      </c>
      <c r="D205" s="81" t="n"/>
      <c r="E205" s="81" t="n"/>
      <c r="F205" s="116" t="n"/>
      <c r="G205" s="116" t="n"/>
      <c r="H205" s="81" t="n"/>
      <c r="I205" s="79">
        <f t="array" ref="I205">G205+F205</f>
        <v/>
      </c>
      <c r="J205" s="81" t="n"/>
      <c r="K205" s="81" t="n"/>
      <c r="L205" s="81" t="n"/>
    </row>
    <row r="206" ht="20.05" customHeight="1" s="215">
      <c r="A206" s="4" t="inlineStr">
        <is>
          <t>c5tr</t>
        </is>
      </c>
      <c r="B206" s="34" t="inlineStr">
        <is>
          <t>Türkiye</t>
        </is>
      </c>
      <c r="C206" s="29" t="inlineStr">
        <is>
          <t>TR</t>
        </is>
      </c>
      <c r="D206" s="81" t="n"/>
      <c r="E206" s="81" t="n"/>
      <c r="F206" s="225" t="n">
        <v>113546</v>
      </c>
      <c r="G206" s="225" t="n">
        <v>120903</v>
      </c>
      <c r="H206" s="81" t="n"/>
      <c r="I206" s="79">
        <f t="array" ref="I206">G206+F206</f>
        <v/>
      </c>
      <c r="J206" s="81" t="n"/>
      <c r="K206" s="81" t="n"/>
      <c r="L206" s="81" t="n"/>
    </row>
    <row r="207" ht="20.05" customHeight="1" s="215">
      <c r="A207" s="4" t="inlineStr">
        <is>
          <t>c5ye</t>
        </is>
      </c>
      <c r="B207" s="34" t="inlineStr">
        <is>
          <t>Yemen</t>
        </is>
      </c>
      <c r="C207" s="29" t="inlineStr">
        <is>
          <t>YE</t>
        </is>
      </c>
      <c r="D207" s="81" t="n"/>
      <c r="E207" s="81" t="n"/>
      <c r="F207" s="225" t="n">
        <v>3046</v>
      </c>
      <c r="G207" s="225" t="n">
        <v>6228</v>
      </c>
      <c r="H207" s="81" t="n"/>
      <c r="I207" s="79">
        <f t="array" ref="I207">G207+F207</f>
        <v/>
      </c>
      <c r="J207" s="81" t="n"/>
      <c r="K207" s="81" t="n"/>
      <c r="L207" s="81" t="n"/>
    </row>
    <row r="208" ht="20.05" customHeight="1" s="215">
      <c r="A208" s="4" t="inlineStr">
        <is>
          <t>c5</t>
        </is>
      </c>
      <c r="B208" s="178" t="inlineStr">
        <is>
          <t>Middle East</t>
        </is>
      </c>
      <c r="C208" s="76" t="n"/>
      <c r="D208" s="81" t="n"/>
      <c r="E208" s="81" t="n"/>
      <c r="F208" s="79">
        <f t="array" ref="F208">SUM(F187:F207)</f>
        <v/>
      </c>
      <c r="G208" s="79">
        <f t="array" ref="G208">SUM(G187:G207)</f>
        <v/>
      </c>
      <c r="H208" s="81" t="n"/>
      <c r="I208" s="79">
        <f t="array" ref="I208">SUM(I187:I207)</f>
        <v/>
      </c>
      <c r="J208" s="81" t="n"/>
      <c r="K208" s="81" t="n"/>
      <c r="L208" s="81" t="n"/>
    </row>
    <row r="209" ht="20.05" customHeight="1" s="215">
      <c r="A209" s="3" t="n"/>
      <c r="B209" s="28" t="n"/>
      <c r="C209" s="17" t="n"/>
      <c r="D209" s="81" t="n"/>
      <c r="E209" s="81" t="n"/>
      <c r="F209" s="81" t="n"/>
      <c r="G209" s="81" t="n"/>
      <c r="H209" s="81" t="n"/>
      <c r="I209" s="81" t="n"/>
      <c r="J209" s="81" t="n"/>
      <c r="K209" s="81" t="n"/>
      <c r="L209" s="81" t="n"/>
    </row>
    <row r="210" ht="20.05" customHeight="1" s="215">
      <c r="A210" s="3" t="n"/>
      <c r="B210" s="34" t="inlineStr">
        <is>
          <t>Far East</t>
        </is>
      </c>
      <c r="C210" s="17" t="n"/>
      <c r="D210" s="81" t="n"/>
      <c r="E210" s="81" t="n"/>
      <c r="F210" s="81" t="n"/>
      <c r="G210" s="81" t="n"/>
      <c r="H210" s="81" t="n"/>
      <c r="I210" s="81" t="n"/>
      <c r="J210" s="81" t="n"/>
      <c r="K210" s="81" t="n"/>
      <c r="L210" s="81" t="n"/>
    </row>
    <row r="211" ht="20.05" customHeight="1" s="215">
      <c r="A211" s="4" t="inlineStr">
        <is>
          <t>c6az</t>
        </is>
      </c>
      <c r="B211" s="34" t="inlineStr">
        <is>
          <t>Azerbaijan</t>
        </is>
      </c>
      <c r="C211" s="29" t="inlineStr">
        <is>
          <t>AZ</t>
        </is>
      </c>
      <c r="D211" s="81" t="n"/>
      <c r="E211" s="81" t="n"/>
      <c r="F211" s="225" t="n">
        <v>3990</v>
      </c>
      <c r="G211" s="225" t="n">
        <v>3623</v>
      </c>
      <c r="H211" s="81" t="n"/>
      <c r="I211" s="79">
        <f t="array" ref="I211">G211+F211</f>
        <v/>
      </c>
      <c r="J211" s="81" t="n"/>
      <c r="K211" s="81" t="n"/>
      <c r="L211" s="81" t="n"/>
    </row>
    <row r="212" ht="20.05" customHeight="1" s="215">
      <c r="A212" s="4" t="inlineStr">
        <is>
          <t>c6bd</t>
        </is>
      </c>
      <c r="B212" s="34" t="inlineStr">
        <is>
          <t>Bangladesh</t>
        </is>
      </c>
      <c r="C212" s="29" t="inlineStr">
        <is>
          <t>BD</t>
        </is>
      </c>
      <c r="D212" s="81" t="n"/>
      <c r="E212" s="81" t="n"/>
      <c r="F212" s="225" t="n">
        <v>1687</v>
      </c>
      <c r="G212" s="225" t="n">
        <v>2094</v>
      </c>
      <c r="H212" s="81" t="n"/>
      <c r="I212" s="79">
        <f t="array" ref="I212">G212+F212</f>
        <v/>
      </c>
      <c r="J212" s="81" t="n"/>
      <c r="K212" s="81" t="n"/>
      <c r="L212" s="81" t="n"/>
    </row>
    <row r="213" ht="20.05" customHeight="1" s="215">
      <c r="A213" s="4" t="inlineStr">
        <is>
          <t>c6bn</t>
        </is>
      </c>
      <c r="B213" s="34" t="inlineStr">
        <is>
          <t>Brunei Darussalam</t>
        </is>
      </c>
      <c r="C213" s="29" t="inlineStr">
        <is>
          <t>BN</t>
        </is>
      </c>
      <c r="D213" s="81" t="n"/>
      <c r="E213" s="81" t="n"/>
      <c r="F213" s="225" t="n">
        <v>314</v>
      </c>
      <c r="G213" s="225" t="n">
        <v>326</v>
      </c>
      <c r="H213" s="81" t="n"/>
      <c r="I213" s="79">
        <f t="array" ref="I213">G213+F213</f>
        <v/>
      </c>
      <c r="J213" s="81" t="n"/>
      <c r="K213" s="81" t="n"/>
      <c r="L213" s="81" t="n"/>
    </row>
    <row r="214" ht="20.05" customHeight="1" s="215">
      <c r="A214" s="4" t="inlineStr">
        <is>
          <t>c6bt</t>
        </is>
      </c>
      <c r="B214" s="34" t="inlineStr">
        <is>
          <t>Bhutan</t>
        </is>
      </c>
      <c r="C214" s="29" t="inlineStr">
        <is>
          <t>BT</t>
        </is>
      </c>
      <c r="D214" s="81" t="n"/>
      <c r="E214" s="81" t="n"/>
      <c r="F214" s="225" t="n">
        <v>128</v>
      </c>
      <c r="G214" s="225" t="n">
        <v>129</v>
      </c>
      <c r="H214" s="81" t="n"/>
      <c r="I214" s="79">
        <f t="array" ref="I214">G214+F214</f>
        <v/>
      </c>
      <c r="J214" s="81" t="n"/>
      <c r="K214" s="81" t="n"/>
      <c r="L214" s="81" t="n"/>
    </row>
    <row r="215" ht="20.05" customHeight="1" s="215">
      <c r="A215" s="4" t="inlineStr">
        <is>
          <t>c6cn</t>
        </is>
      </c>
      <c r="B215" s="34" t="inlineStr">
        <is>
          <t>China</t>
        </is>
      </c>
      <c r="C215" s="29" t="inlineStr">
        <is>
          <t>CN</t>
        </is>
      </c>
      <c r="D215" s="81" t="n"/>
      <c r="E215" s="81" t="n"/>
      <c r="F215" s="225" t="n">
        <v>43636</v>
      </c>
      <c r="G215" s="225" t="n">
        <v>32648</v>
      </c>
      <c r="H215" s="81" t="n"/>
      <c r="I215" s="79">
        <f t="array" ref="I215">G215+F215</f>
        <v/>
      </c>
      <c r="J215" s="81" t="n"/>
      <c r="K215" s="81" t="n"/>
      <c r="L215" s="81" t="n"/>
    </row>
    <row r="216" ht="20.05" customHeight="1" s="215">
      <c r="A216" s="4" t="inlineStr">
        <is>
          <t>c6cx</t>
        </is>
      </c>
      <c r="B216" s="34" t="inlineStr">
        <is>
          <t>Christmas Island</t>
        </is>
      </c>
      <c r="C216" s="29" t="inlineStr">
        <is>
          <t>CX</t>
        </is>
      </c>
      <c r="D216" s="81" t="n"/>
      <c r="E216" s="81" t="n"/>
      <c r="F216" s="116" t="n"/>
      <c r="G216" s="116" t="n"/>
      <c r="H216" s="81" t="n"/>
      <c r="I216" s="79">
        <f t="array" ref="I216">G216+F216</f>
        <v/>
      </c>
      <c r="J216" s="81" t="n"/>
      <c r="K216" s="81" t="n"/>
      <c r="L216" s="81" t="n"/>
    </row>
    <row r="217" ht="20.05" customHeight="1" s="215">
      <c r="A217" s="4" t="inlineStr">
        <is>
          <t>c6hk</t>
        </is>
      </c>
      <c r="B217" s="34" t="inlineStr">
        <is>
          <t>Hong Kong</t>
        </is>
      </c>
      <c r="C217" s="29" t="inlineStr">
        <is>
          <t>HK</t>
        </is>
      </c>
      <c r="D217" s="81" t="n"/>
      <c r="E217" s="81" t="n"/>
      <c r="F217" s="116" t="n"/>
      <c r="G217" s="116" t="n"/>
      <c r="H217" s="81" t="n"/>
      <c r="I217" s="79">
        <f t="array" ref="I217">G217+F217</f>
        <v/>
      </c>
      <c r="J217" s="81" t="n"/>
      <c r="K217" s="81" t="n"/>
      <c r="L217" s="81" t="n"/>
    </row>
    <row r="218" ht="20.05" customHeight="1" s="215">
      <c r="A218" s="4" t="inlineStr">
        <is>
          <t>c6id</t>
        </is>
      </c>
      <c r="B218" s="34" t="inlineStr">
        <is>
          <t>Indonesia</t>
        </is>
      </c>
      <c r="C218" s="29" t="inlineStr">
        <is>
          <t>ID</t>
        </is>
      </c>
      <c r="D218" s="81" t="n"/>
      <c r="E218" s="81" t="n"/>
      <c r="F218" s="225" t="n">
        <v>57073</v>
      </c>
      <c r="G218" s="225" t="n">
        <v>41582</v>
      </c>
      <c r="H218" s="81" t="n"/>
      <c r="I218" s="79">
        <f t="array" ref="I218">G218+F218</f>
        <v/>
      </c>
      <c r="J218" s="81" t="n"/>
      <c r="K218" s="81" t="n"/>
      <c r="L218" s="81" t="n"/>
    </row>
    <row r="219" ht="20.05" customHeight="1" s="215">
      <c r="A219" s="4" t="inlineStr">
        <is>
          <t>c6in</t>
        </is>
      </c>
      <c r="B219" s="34" t="inlineStr">
        <is>
          <t>India</t>
        </is>
      </c>
      <c r="C219" s="29" t="inlineStr">
        <is>
          <t>IN</t>
        </is>
      </c>
      <c r="D219" s="81" t="n"/>
      <c r="E219" s="81" t="n"/>
      <c r="F219" s="225" t="n">
        <v>35786</v>
      </c>
      <c r="G219" s="225" t="n">
        <v>41791</v>
      </c>
      <c r="H219" s="81" t="n"/>
      <c r="I219" s="79">
        <f t="array" ref="I219">G219+F219</f>
        <v/>
      </c>
      <c r="J219" s="81" t="n"/>
      <c r="K219" s="81" t="n"/>
      <c r="L219" s="81" t="n"/>
    </row>
    <row r="220" ht="20.05" customHeight="1" s="215">
      <c r="A220" s="4" t="inlineStr">
        <is>
          <t>c6jp</t>
        </is>
      </c>
      <c r="B220" s="34" t="inlineStr">
        <is>
          <t>Japan</t>
        </is>
      </c>
      <c r="C220" s="29" t="inlineStr">
        <is>
          <t>JP</t>
        </is>
      </c>
      <c r="D220" s="81" t="n"/>
      <c r="E220" s="81" t="n"/>
      <c r="F220" s="225" t="n">
        <v>5246</v>
      </c>
      <c r="G220" s="225" t="n">
        <v>3696</v>
      </c>
      <c r="H220" s="81" t="n"/>
      <c r="I220" s="79">
        <f t="array" ref="I220">G220+F220</f>
        <v/>
      </c>
      <c r="J220" s="81" t="n"/>
      <c r="K220" s="81" t="n"/>
      <c r="L220" s="81" t="n"/>
    </row>
    <row r="221" ht="20.05" customHeight="1" s="215">
      <c r="A221" s="4" t="inlineStr">
        <is>
          <t>c6kg</t>
        </is>
      </c>
      <c r="B221" s="34" t="inlineStr">
        <is>
          <t>Kyrgyzstan</t>
        </is>
      </c>
      <c r="C221" s="29" t="inlineStr">
        <is>
          <t>KG</t>
        </is>
      </c>
      <c r="D221" s="81" t="n"/>
      <c r="E221" s="81" t="n"/>
      <c r="F221" s="225" t="n">
        <v>480</v>
      </c>
      <c r="G221" s="225" t="n">
        <v>300</v>
      </c>
      <c r="H221" s="81" t="n"/>
      <c r="I221" s="79">
        <f t="array" ref="I221">G221+F221</f>
        <v/>
      </c>
      <c r="J221" s="81" t="n"/>
      <c r="K221" s="81" t="n"/>
      <c r="L221" s="81" t="n"/>
    </row>
    <row r="222" ht="20.05" customHeight="1" s="215">
      <c r="A222" s="4" t="inlineStr">
        <is>
          <t>c6kh</t>
        </is>
      </c>
      <c r="B222" s="34" t="inlineStr">
        <is>
          <t>Cambodia</t>
        </is>
      </c>
      <c r="C222" s="29" t="inlineStr">
        <is>
          <t>KH</t>
        </is>
      </c>
      <c r="D222" s="81" t="n"/>
      <c r="E222" s="81" t="n"/>
      <c r="F222" s="225" t="n">
        <v>586</v>
      </c>
      <c r="G222" s="225" t="n">
        <v>331</v>
      </c>
      <c r="H222" s="81" t="n"/>
      <c r="I222" s="79">
        <f t="array" ref="I222">G222+F222</f>
        <v/>
      </c>
      <c r="J222" s="81" t="n"/>
      <c r="K222" s="81" t="n"/>
      <c r="L222" s="81" t="n"/>
    </row>
    <row r="223" ht="32.05" customHeight="1" s="215">
      <c r="A223" s="4" t="inlineStr">
        <is>
          <t>c6kp</t>
        </is>
      </c>
      <c r="B223" s="34" t="inlineStr">
        <is>
          <t>Korea (the Democratic People's Republic of)</t>
        </is>
      </c>
      <c r="C223" s="29" t="inlineStr">
        <is>
          <t>KP</t>
        </is>
      </c>
      <c r="D223" s="81" t="n"/>
      <c r="E223" s="81" t="n"/>
      <c r="F223" s="225" t="n">
        <v>33</v>
      </c>
      <c r="G223" s="225" t="n">
        <v>49</v>
      </c>
      <c r="H223" s="81" t="n"/>
      <c r="I223" s="79">
        <f t="array" ref="I223">G223+F223</f>
        <v/>
      </c>
      <c r="J223" s="81" t="n"/>
      <c r="K223" s="81" t="n"/>
      <c r="L223" s="81" t="n"/>
    </row>
    <row r="224" ht="20.05" customHeight="1" s="215">
      <c r="A224" s="4" t="inlineStr">
        <is>
          <t>c6kr</t>
        </is>
      </c>
      <c r="B224" s="34" t="inlineStr">
        <is>
          <t>Korea (the Republic of)</t>
        </is>
      </c>
      <c r="C224" s="29" t="inlineStr">
        <is>
          <t>KR</t>
        </is>
      </c>
      <c r="D224" s="81" t="n"/>
      <c r="E224" s="81" t="n"/>
      <c r="F224" s="225" t="n">
        <v>6024</v>
      </c>
      <c r="G224" s="225" t="n">
        <v>3635</v>
      </c>
      <c r="H224" s="81" t="n"/>
      <c r="I224" s="79">
        <f t="array" ref="I224">G224+F224</f>
        <v/>
      </c>
      <c r="J224" s="81" t="n"/>
      <c r="K224" s="81" t="n"/>
      <c r="L224" s="81" t="n"/>
    </row>
    <row r="225" ht="20.05" customHeight="1" s="215">
      <c r="A225" s="4" t="inlineStr">
        <is>
          <t>c6kz</t>
        </is>
      </c>
      <c r="B225" s="34" t="inlineStr">
        <is>
          <t>Kazakhstan</t>
        </is>
      </c>
      <c r="C225" s="29" t="inlineStr">
        <is>
          <t>KZ</t>
        </is>
      </c>
      <c r="D225" s="81" t="n"/>
      <c r="E225" s="81" t="n"/>
      <c r="F225" s="225" t="n">
        <v>2196</v>
      </c>
      <c r="G225" s="225" t="n">
        <v>1279</v>
      </c>
      <c r="H225" s="81" t="n"/>
      <c r="I225" s="79">
        <f t="array" ref="I225">G225+F225</f>
        <v/>
      </c>
      <c r="J225" s="81" t="n"/>
      <c r="K225" s="81" t="n"/>
      <c r="L225" s="81" t="n"/>
    </row>
    <row r="226" ht="20.05" customHeight="1" s="215">
      <c r="A226" s="4" t="inlineStr">
        <is>
          <t>c6la</t>
        </is>
      </c>
      <c r="B226" s="34" t="inlineStr">
        <is>
          <t>Lao People's Democratic Republic (the)</t>
        </is>
      </c>
      <c r="C226" s="29" t="inlineStr">
        <is>
          <t>LA</t>
        </is>
      </c>
      <c r="D226" s="81" t="n"/>
      <c r="E226" s="81" t="n"/>
      <c r="F226" s="225" t="n">
        <v>149</v>
      </c>
      <c r="G226" s="225" t="n">
        <v>68</v>
      </c>
      <c r="H226" s="81" t="n"/>
      <c r="I226" s="79">
        <f t="array" ref="I226">G226+F226</f>
        <v/>
      </c>
      <c r="J226" s="81" t="n"/>
      <c r="K226" s="81" t="n"/>
      <c r="L226" s="81" t="n"/>
    </row>
    <row r="227" ht="20.05" customHeight="1" s="215">
      <c r="A227" s="4" t="inlineStr">
        <is>
          <t>c6lk</t>
        </is>
      </c>
      <c r="B227" s="34" t="inlineStr">
        <is>
          <t>Sri Lanka</t>
        </is>
      </c>
      <c r="C227" s="29" t="inlineStr">
        <is>
          <t>LK</t>
        </is>
      </c>
      <c r="D227" s="81" t="n"/>
      <c r="E227" s="81" t="n"/>
      <c r="F227" s="225" t="n">
        <v>5747</v>
      </c>
      <c r="G227" s="225" t="n">
        <v>5590</v>
      </c>
      <c r="H227" s="81" t="n"/>
      <c r="I227" s="79">
        <f t="array" ref="I227">G227+F227</f>
        <v/>
      </c>
      <c r="J227" s="81" t="n"/>
      <c r="K227" s="81" t="n"/>
      <c r="L227" s="81" t="n"/>
    </row>
    <row r="228" ht="20.05" customHeight="1" s="215">
      <c r="A228" s="4" t="inlineStr">
        <is>
          <t>c6mm</t>
        </is>
      </c>
      <c r="B228" s="34" t="inlineStr">
        <is>
          <t>Myanmar</t>
        </is>
      </c>
      <c r="C228" s="29" t="inlineStr">
        <is>
          <t>MM</t>
        </is>
      </c>
      <c r="D228" s="81" t="n"/>
      <c r="E228" s="81" t="n"/>
      <c r="F228" s="225" t="n">
        <v>752</v>
      </c>
      <c r="G228" s="225" t="n">
        <v>828</v>
      </c>
      <c r="H228" s="81" t="n"/>
      <c r="I228" s="79">
        <f t="array" ref="I228">G228+F228</f>
        <v/>
      </c>
      <c r="J228" s="81" t="n"/>
      <c r="K228" s="81" t="n"/>
      <c r="L228" s="81" t="n"/>
    </row>
    <row r="229" ht="20.05" customHeight="1" s="215">
      <c r="A229" s="4" t="inlineStr">
        <is>
          <t>c6mn</t>
        </is>
      </c>
      <c r="B229" s="34" t="inlineStr">
        <is>
          <t>Mongolia</t>
        </is>
      </c>
      <c r="C229" s="29" t="inlineStr">
        <is>
          <t>MN</t>
        </is>
      </c>
      <c r="D229" s="81" t="n"/>
      <c r="E229" s="81" t="n"/>
      <c r="F229" s="225" t="n">
        <v>439</v>
      </c>
      <c r="G229" s="225" t="n">
        <v>202</v>
      </c>
      <c r="H229" s="81" t="n"/>
      <c r="I229" s="79">
        <f t="array" ref="I229">G229+F229</f>
        <v/>
      </c>
      <c r="J229" s="81" t="n"/>
      <c r="K229" s="81" t="n"/>
      <c r="L229" s="81" t="n"/>
    </row>
    <row r="230" ht="20.05" customHeight="1" s="215">
      <c r="A230" s="4" t="inlineStr">
        <is>
          <t>c6mo</t>
        </is>
      </c>
      <c r="B230" s="34" t="inlineStr">
        <is>
          <t>Macao</t>
        </is>
      </c>
      <c r="C230" s="29" t="inlineStr">
        <is>
          <t>MO</t>
        </is>
      </c>
      <c r="D230" s="81" t="n"/>
      <c r="E230" s="81" t="n"/>
      <c r="F230" s="116" t="n"/>
      <c r="G230" s="116" t="n"/>
      <c r="H230" s="81" t="n"/>
      <c r="I230" s="79">
        <f t="array" ref="I230">G230+F230</f>
        <v/>
      </c>
      <c r="J230" s="81" t="n"/>
      <c r="K230" s="81" t="n"/>
      <c r="L230" s="81" t="n"/>
    </row>
    <row r="231" ht="20.05" customHeight="1" s="215">
      <c r="A231" s="4" t="inlineStr">
        <is>
          <t>c6mv</t>
        </is>
      </c>
      <c r="B231" s="34" t="inlineStr">
        <is>
          <t>Maldives</t>
        </is>
      </c>
      <c r="C231" s="29" t="inlineStr">
        <is>
          <t>MV</t>
        </is>
      </c>
      <c r="D231" s="81" t="n"/>
      <c r="E231" s="81" t="n"/>
      <c r="F231" s="225" t="n">
        <v>16</v>
      </c>
      <c r="G231" s="225" t="n">
        <v>16</v>
      </c>
      <c r="H231" s="81" t="n"/>
      <c r="I231" s="79">
        <f t="array" ref="I231">G231+F231</f>
        <v/>
      </c>
      <c r="J231" s="81" t="n"/>
      <c r="K231" s="81" t="n"/>
      <c r="L231" s="81" t="n"/>
    </row>
    <row r="232" ht="20.05" customHeight="1" s="215">
      <c r="A232" s="4" t="inlineStr">
        <is>
          <t>c6my</t>
        </is>
      </c>
      <c r="B232" s="34" t="inlineStr">
        <is>
          <t>Malaysia</t>
        </is>
      </c>
      <c r="C232" s="29" t="inlineStr">
        <is>
          <t>MY</t>
        </is>
      </c>
      <c r="D232" s="81" t="n"/>
      <c r="E232" s="81" t="n"/>
      <c r="F232" s="225" t="n">
        <v>2835</v>
      </c>
      <c r="G232" s="225" t="n">
        <v>2053</v>
      </c>
      <c r="H232" s="81" t="n"/>
      <c r="I232" s="79">
        <f t="array" ref="I232">G232+F232</f>
        <v/>
      </c>
      <c r="J232" s="81" t="n"/>
      <c r="K232" s="81" t="n"/>
      <c r="L232" s="81" t="n"/>
    </row>
    <row r="233" ht="20.05" customHeight="1" s="215">
      <c r="A233" s="4" t="inlineStr">
        <is>
          <t>c6np</t>
        </is>
      </c>
      <c r="B233" s="34" t="inlineStr">
        <is>
          <t>Nepal</t>
        </is>
      </c>
      <c r="C233" s="29" t="inlineStr">
        <is>
          <t>NP</t>
        </is>
      </c>
      <c r="D233" s="81" t="n"/>
      <c r="E233" s="81" t="n"/>
      <c r="F233" s="225" t="n">
        <v>1348</v>
      </c>
      <c r="G233" s="225" t="n">
        <v>1284</v>
      </c>
      <c r="H233" s="81" t="n"/>
      <c r="I233" s="79">
        <f t="array" ref="I233">G233+F233</f>
        <v/>
      </c>
      <c r="J233" s="81" t="n"/>
      <c r="K233" s="81" t="n"/>
      <c r="L233" s="81" t="n"/>
    </row>
    <row r="234" ht="20.05" customHeight="1" s="215">
      <c r="A234" s="4" t="inlineStr">
        <is>
          <t>c6ph</t>
        </is>
      </c>
      <c r="B234" s="34" t="inlineStr">
        <is>
          <t>Philippines (the)</t>
        </is>
      </c>
      <c r="C234" s="29" t="inlineStr">
        <is>
          <t>PH</t>
        </is>
      </c>
      <c r="D234" s="81" t="n"/>
      <c r="E234" s="81" t="n"/>
      <c r="F234" s="116" t="n"/>
      <c r="G234" s="116" t="n"/>
      <c r="H234" s="81" t="n"/>
      <c r="I234" s="79">
        <f t="array" ref="I234">G234+F234</f>
        <v/>
      </c>
      <c r="J234" s="81" t="n"/>
      <c r="K234" s="81" t="n"/>
      <c r="L234" s="81" t="n"/>
    </row>
    <row r="235" ht="20.05" customHeight="1" s="215">
      <c r="A235" s="4" t="inlineStr">
        <is>
          <t>c6sc</t>
        </is>
      </c>
      <c r="B235" s="34" t="inlineStr">
        <is>
          <t>Seychelles</t>
        </is>
      </c>
      <c r="C235" s="29" t="inlineStr">
        <is>
          <t>SC</t>
        </is>
      </c>
      <c r="D235" s="81" t="n"/>
      <c r="E235" s="81" t="n"/>
      <c r="F235" s="225" t="n">
        <v>61</v>
      </c>
      <c r="G235" s="225" t="n">
        <v>32</v>
      </c>
      <c r="H235" s="81" t="n"/>
      <c r="I235" s="79">
        <f t="array" ref="I235">G235+F235</f>
        <v/>
      </c>
      <c r="J235" s="81" t="n"/>
      <c r="K235" s="81" t="n"/>
      <c r="L235" s="81" t="n"/>
    </row>
    <row r="236" ht="20.05" customHeight="1" s="215">
      <c r="A236" s="4" t="inlineStr">
        <is>
          <t>c6sg</t>
        </is>
      </c>
      <c r="B236" s="34" t="inlineStr">
        <is>
          <t>Singapore</t>
        </is>
      </c>
      <c r="C236" s="29" t="inlineStr">
        <is>
          <t>SG</t>
        </is>
      </c>
      <c r="D236" s="81" t="n"/>
      <c r="E236" s="81" t="n"/>
      <c r="F236" s="225" t="n">
        <v>2743</v>
      </c>
      <c r="G236" s="225" t="n">
        <v>2264</v>
      </c>
      <c r="H236" s="81" t="n"/>
      <c r="I236" s="79">
        <f t="array" ref="I236">G236+F236</f>
        <v/>
      </c>
      <c r="J236" s="81" t="n"/>
      <c r="K236" s="81" t="n"/>
      <c r="L236" s="81" t="n"/>
    </row>
    <row r="237" ht="20.05" customHeight="1" s="215">
      <c r="A237" s="4" t="inlineStr">
        <is>
          <t>c6th</t>
        </is>
      </c>
      <c r="B237" s="34" t="inlineStr">
        <is>
          <t>Thailand</t>
        </is>
      </c>
      <c r="C237" s="29" t="inlineStr">
        <is>
          <t>TH</t>
        </is>
      </c>
      <c r="D237" s="81" t="n"/>
      <c r="E237" s="81" t="n"/>
      <c r="F237" s="225" t="n">
        <v>13866</v>
      </c>
      <c r="G237" s="225" t="n">
        <v>3913</v>
      </c>
      <c r="H237" s="81" t="n"/>
      <c r="I237" s="79">
        <f t="array" ref="I237">G237+F237</f>
        <v/>
      </c>
      <c r="J237" s="81" t="n"/>
      <c r="K237" s="81" t="n"/>
      <c r="L237" s="81" t="n"/>
    </row>
    <row r="238" ht="20.05" customHeight="1" s="215">
      <c r="A238" s="4" t="inlineStr">
        <is>
          <t>c6tj</t>
        </is>
      </c>
      <c r="B238" s="34" t="inlineStr">
        <is>
          <t>Tajikistan</t>
        </is>
      </c>
      <c r="C238" s="29" t="inlineStr">
        <is>
          <t>TJ</t>
        </is>
      </c>
      <c r="D238" s="81" t="n"/>
      <c r="E238" s="81" t="n"/>
      <c r="F238" s="225" t="n">
        <v>287</v>
      </c>
      <c r="G238" s="225" t="n">
        <v>234</v>
      </c>
      <c r="H238" s="81" t="n"/>
      <c r="I238" s="79">
        <f t="array" ref="I238">G238+F238</f>
        <v/>
      </c>
      <c r="J238" s="81" t="n"/>
      <c r="K238" s="81" t="n"/>
      <c r="L238" s="81" t="n"/>
    </row>
    <row r="239" ht="20.05" customHeight="1" s="215">
      <c r="A239" s="4" t="inlineStr">
        <is>
          <t>c6tm</t>
        </is>
      </c>
      <c r="B239" s="34" t="inlineStr">
        <is>
          <t>Turkmenistan</t>
        </is>
      </c>
      <c r="C239" s="29" t="inlineStr">
        <is>
          <t>TM</t>
        </is>
      </c>
      <c r="D239" s="81" t="n"/>
      <c r="E239" s="81" t="n"/>
      <c r="F239" s="225" t="n">
        <v>192</v>
      </c>
      <c r="G239" s="225" t="n">
        <v>266</v>
      </c>
      <c r="H239" s="81" t="n"/>
      <c r="I239" s="79">
        <f t="array" ref="I239">G239+F239</f>
        <v/>
      </c>
      <c r="J239" s="81" t="n"/>
      <c r="K239" s="81" t="n"/>
      <c r="L239" s="81" t="n"/>
    </row>
    <row r="240" ht="20.05" customHeight="1" s="215">
      <c r="A240" s="4" t="inlineStr">
        <is>
          <t>c6tw</t>
        </is>
      </c>
      <c r="B240" s="34" t="inlineStr">
        <is>
          <t>Taiwan (Province of China)</t>
        </is>
      </c>
      <c r="C240" s="29" t="inlineStr">
        <is>
          <t>TW</t>
        </is>
      </c>
      <c r="D240" s="81" t="n"/>
      <c r="E240" s="81" t="n"/>
      <c r="F240" s="116" t="n"/>
      <c r="G240" s="116" t="n"/>
      <c r="H240" s="81" t="n"/>
      <c r="I240" s="79">
        <f t="array" ref="I240">G240+F240</f>
        <v/>
      </c>
      <c r="J240" s="81" t="n"/>
      <c r="K240" s="81" t="n"/>
      <c r="L240" s="81" t="n"/>
    </row>
    <row r="241" ht="20.05" customHeight="1" s="215">
      <c r="A241" s="4" t="inlineStr">
        <is>
          <t>c6uz</t>
        </is>
      </c>
      <c r="B241" s="34" t="inlineStr">
        <is>
          <t>Uzbekistan</t>
        </is>
      </c>
      <c r="C241" s="29" t="inlineStr">
        <is>
          <t>UZ</t>
        </is>
      </c>
      <c r="D241" s="81" t="n"/>
      <c r="E241" s="81" t="n"/>
      <c r="F241" s="225" t="n">
        <v>1083</v>
      </c>
      <c r="G241" s="225" t="n">
        <v>820</v>
      </c>
      <c r="H241" s="81" t="n"/>
      <c r="I241" s="79">
        <f t="array" ref="I241">G241+F241</f>
        <v/>
      </c>
      <c r="J241" s="81" t="n"/>
      <c r="K241" s="81" t="n"/>
      <c r="L241" s="81" t="n"/>
    </row>
    <row r="242" ht="20.05" customHeight="1" s="215">
      <c r="A242" s="4" t="inlineStr">
        <is>
          <t>c6vn</t>
        </is>
      </c>
      <c r="B242" s="34" t="inlineStr">
        <is>
          <t>Viet Nam[ah]</t>
        </is>
      </c>
      <c r="C242" s="29" t="inlineStr">
        <is>
          <t>VN</t>
        </is>
      </c>
      <c r="D242" s="81" t="n"/>
      <c r="E242" s="81" t="n"/>
      <c r="F242" s="225" t="n">
        <v>10180</v>
      </c>
      <c r="G242" s="225" t="n">
        <v>6763</v>
      </c>
      <c r="H242" s="81" t="n"/>
      <c r="I242" s="79">
        <f t="array" ref="I242">G242+F242</f>
        <v/>
      </c>
      <c r="J242" s="81" t="n"/>
      <c r="K242" s="81" t="n"/>
      <c r="L242" s="81" t="n"/>
    </row>
    <row r="243" ht="20.05" customHeight="1" s="215">
      <c r="A243" s="4" t="inlineStr">
        <is>
          <t>c6</t>
        </is>
      </c>
      <c r="B243" s="178" t="inlineStr">
        <is>
          <t>Far East</t>
        </is>
      </c>
      <c r="C243" s="76" t="n"/>
      <c r="D243" s="81" t="n"/>
      <c r="E243" s="81" t="n"/>
      <c r="F243" s="79">
        <f t="array" ref="F243">SUM(F211:F242)</f>
        <v/>
      </c>
      <c r="G243" s="79">
        <f t="array" ref="G243">SUM(G211:G242)</f>
        <v/>
      </c>
      <c r="H243" s="81" t="n"/>
      <c r="I243" s="79">
        <f t="array" ref="I243">SUM(I211:I242)</f>
        <v/>
      </c>
      <c r="J243" s="81" t="n"/>
      <c r="K243" s="81" t="n"/>
      <c r="L243" s="81" t="n"/>
    </row>
    <row r="244" ht="20.05" customHeight="1" s="215">
      <c r="A244" s="3" t="n"/>
      <c r="B244" s="28" t="n"/>
      <c r="C244" s="17" t="n"/>
      <c r="D244" s="81" t="n"/>
      <c r="E244" s="81" t="n"/>
      <c r="F244" s="81" t="n"/>
      <c r="G244" s="81" t="n"/>
      <c r="H244" s="81" t="n"/>
      <c r="I244" s="81" t="n"/>
      <c r="J244" s="81" t="n"/>
      <c r="K244" s="81" t="n"/>
      <c r="L244" s="81" t="n"/>
    </row>
    <row r="245" ht="20.05" customHeight="1" s="215">
      <c r="A245" s="3" t="n"/>
      <c r="B245" s="179" t="inlineStr">
        <is>
          <t>Oceania</t>
        </is>
      </c>
      <c r="C245" s="17" t="n"/>
      <c r="D245" s="81" t="n"/>
      <c r="E245" s="81" t="n"/>
      <c r="F245" s="81" t="n"/>
      <c r="G245" s="81" t="n"/>
      <c r="H245" s="81" t="n"/>
      <c r="I245" s="81" t="n"/>
      <c r="J245" s="81" t="n"/>
      <c r="K245" s="81" t="n"/>
      <c r="L245" s="81" t="n"/>
    </row>
    <row r="246" ht="20.05" customHeight="1" s="215">
      <c r="A246" s="4" t="inlineStr">
        <is>
          <t>c7as</t>
        </is>
      </c>
      <c r="B246" s="34" t="inlineStr">
        <is>
          <t>American Samoa</t>
        </is>
      </c>
      <c r="C246" s="29" t="inlineStr">
        <is>
          <t>AS</t>
        </is>
      </c>
      <c r="D246" s="81" t="n"/>
      <c r="E246" s="81" t="n"/>
      <c r="F246" s="116" t="n"/>
      <c r="G246" s="116" t="n"/>
      <c r="H246" s="81" t="n"/>
      <c r="I246" s="79">
        <f t="array" ref="I246">G246+F246</f>
        <v/>
      </c>
      <c r="J246" s="81" t="n"/>
      <c r="K246" s="81" t="n"/>
      <c r="L246" s="81" t="n"/>
    </row>
    <row r="247" ht="20.05" customHeight="1" s="215">
      <c r="A247" s="4" t="inlineStr">
        <is>
          <t>c7au</t>
        </is>
      </c>
      <c r="B247" s="34" t="inlineStr">
        <is>
          <t>Australia[b]</t>
        </is>
      </c>
      <c r="C247" s="29" t="inlineStr">
        <is>
          <t>AU</t>
        </is>
      </c>
      <c r="D247" s="81" t="n"/>
      <c r="E247" s="81" t="n"/>
      <c r="F247" s="225" t="n">
        <v>6480</v>
      </c>
      <c r="G247" s="225" t="n">
        <v>6437</v>
      </c>
      <c r="H247" s="81" t="n"/>
      <c r="I247" s="79">
        <f t="array" ref="I247">G247+F247</f>
        <v/>
      </c>
      <c r="J247" s="81" t="n"/>
      <c r="K247" s="81" t="n"/>
      <c r="L247" s="81" t="n"/>
    </row>
    <row r="248" ht="20.05" customHeight="1" s="215">
      <c r="A248" s="4" t="inlineStr">
        <is>
          <t>c7cc</t>
        </is>
      </c>
      <c r="B248" s="34" t="inlineStr">
        <is>
          <t>Cocos (Keeling) Islands (the)</t>
        </is>
      </c>
      <c r="C248" s="29" t="inlineStr">
        <is>
          <t>CC</t>
        </is>
      </c>
      <c r="D248" s="81" t="n"/>
      <c r="E248" s="81" t="n"/>
      <c r="F248" s="116" t="n"/>
      <c r="G248" s="116" t="n"/>
      <c r="H248" s="81" t="n"/>
      <c r="I248" s="79">
        <f t="array" ref="I248">G248+F248</f>
        <v/>
      </c>
      <c r="J248" s="81" t="n"/>
      <c r="K248" s="81" t="n"/>
      <c r="L248" s="81" t="n"/>
    </row>
    <row r="249" ht="20.05" customHeight="1" s="215">
      <c r="A249" s="4" t="inlineStr">
        <is>
          <t>c7ck</t>
        </is>
      </c>
      <c r="B249" s="34" t="inlineStr">
        <is>
          <t>Cook Islands (the)</t>
        </is>
      </c>
      <c r="C249" s="29" t="inlineStr">
        <is>
          <t>CK</t>
        </is>
      </c>
      <c r="D249" s="81" t="n"/>
      <c r="E249" s="81" t="n"/>
      <c r="F249" s="116" t="n"/>
      <c r="G249" s="116" t="n"/>
      <c r="H249" s="81" t="n"/>
      <c r="I249" s="79">
        <f t="array" ref="I249">G249+F249</f>
        <v/>
      </c>
      <c r="J249" s="81" t="n"/>
      <c r="K249" s="81" t="n"/>
      <c r="L249" s="81" t="n"/>
    </row>
    <row r="250" ht="20.05" customHeight="1" s="215">
      <c r="A250" s="4" t="inlineStr">
        <is>
          <t>c7fj</t>
        </is>
      </c>
      <c r="B250" s="34" t="inlineStr">
        <is>
          <t>Fiji</t>
        </is>
      </c>
      <c r="C250" s="29" t="inlineStr">
        <is>
          <t>FJ</t>
        </is>
      </c>
      <c r="D250" s="81" t="n"/>
      <c r="E250" s="81" t="n"/>
      <c r="F250" s="225" t="n">
        <v>62</v>
      </c>
      <c r="G250" s="225" t="n">
        <v>47</v>
      </c>
      <c r="H250" s="81" t="n"/>
      <c r="I250" s="79">
        <f t="array" ref="I250">G250+F250</f>
        <v/>
      </c>
      <c r="J250" s="81" t="n"/>
      <c r="K250" s="81" t="n"/>
      <c r="L250" s="81" t="n"/>
    </row>
    <row r="251" ht="20.05" customHeight="1" s="215">
      <c r="A251" s="4" t="inlineStr">
        <is>
          <t>c7fm</t>
        </is>
      </c>
      <c r="B251" s="34" t="inlineStr">
        <is>
          <t>Micronesia (Federated States of)</t>
        </is>
      </c>
      <c r="C251" s="29" t="inlineStr">
        <is>
          <t>FM</t>
        </is>
      </c>
      <c r="D251" s="81" t="n"/>
      <c r="E251" s="81" t="n"/>
      <c r="F251" s="116" t="n"/>
      <c r="G251" s="116" t="n"/>
      <c r="H251" s="81" t="n"/>
      <c r="I251" s="79">
        <f t="array" ref="I251">G251+F251</f>
        <v/>
      </c>
      <c r="J251" s="81" t="n"/>
      <c r="K251" s="81" t="n"/>
      <c r="L251" s="81" t="n"/>
    </row>
    <row r="252" ht="20.05" customHeight="1" s="215">
      <c r="A252" s="4" t="inlineStr">
        <is>
          <t>c7gu</t>
        </is>
      </c>
      <c r="B252" s="34" t="inlineStr">
        <is>
          <t>Guam</t>
        </is>
      </c>
      <c r="C252" s="29" t="inlineStr">
        <is>
          <t>GU</t>
        </is>
      </c>
      <c r="D252" s="81" t="n"/>
      <c r="E252" s="81" t="n"/>
      <c r="F252" s="116" t="n"/>
      <c r="G252" s="116" t="n"/>
      <c r="H252" s="81" t="n"/>
      <c r="I252" s="79">
        <f t="array" ref="I252">G252+F252</f>
        <v/>
      </c>
      <c r="J252" s="81" t="n"/>
      <c r="K252" s="81" t="n"/>
      <c r="L252" s="81" t="n"/>
    </row>
    <row r="253" ht="20.05" customHeight="1" s="215">
      <c r="A253" s="4" t="inlineStr">
        <is>
          <t>c7ki</t>
        </is>
      </c>
      <c r="B253" s="34" t="inlineStr">
        <is>
          <t>Kiribati</t>
        </is>
      </c>
      <c r="C253" s="29" t="inlineStr">
        <is>
          <t>KI</t>
        </is>
      </c>
      <c r="D253" s="81" t="n"/>
      <c r="E253" s="81" t="n"/>
      <c r="F253" s="225" t="n">
        <v>2</v>
      </c>
      <c r="G253" s="225" t="n">
        <v>1</v>
      </c>
      <c r="H253" s="81" t="n"/>
      <c r="I253" s="79">
        <f t="array" ref="I253">G253+F253</f>
        <v/>
      </c>
      <c r="J253" s="81" t="n"/>
      <c r="K253" s="81" t="n"/>
      <c r="L253" s="81" t="n"/>
    </row>
    <row r="254" ht="20.05" customHeight="1" s="215">
      <c r="A254" s="4" t="inlineStr">
        <is>
          <t>c7mh</t>
        </is>
      </c>
      <c r="B254" s="34" t="inlineStr">
        <is>
          <t>Marshall Islands (the)</t>
        </is>
      </c>
      <c r="C254" s="29" t="inlineStr">
        <is>
          <t>MH</t>
        </is>
      </c>
      <c r="D254" s="81" t="n"/>
      <c r="E254" s="81" t="n"/>
      <c r="F254" s="116" t="n"/>
      <c r="G254" s="116" t="n"/>
      <c r="H254" s="81" t="n"/>
      <c r="I254" s="79">
        <f t="array" ref="I254">G254+F254</f>
        <v/>
      </c>
      <c r="J254" s="81" t="n"/>
      <c r="K254" s="81" t="n"/>
      <c r="L254" s="81" t="n"/>
    </row>
    <row r="255" ht="20.05" customHeight="1" s="215">
      <c r="A255" s="4" t="inlineStr">
        <is>
          <t>c7mp</t>
        </is>
      </c>
      <c r="B255" s="34" t="inlineStr">
        <is>
          <t>Northern Mariana Islands (the)</t>
        </is>
      </c>
      <c r="C255" s="29" t="inlineStr">
        <is>
          <t>MP</t>
        </is>
      </c>
      <c r="D255" s="81" t="n"/>
      <c r="E255" s="81" t="n"/>
      <c r="F255" s="116" t="n"/>
      <c r="G255" s="116" t="n"/>
      <c r="H255" s="81" t="n"/>
      <c r="I255" s="79">
        <f t="array" ref="I255">G255+F255</f>
        <v/>
      </c>
      <c r="J255" s="81" t="n"/>
      <c r="K255" s="81" t="n"/>
      <c r="L255" s="81" t="n"/>
    </row>
    <row r="256" ht="20.05" customHeight="1" s="215">
      <c r="A256" s="4" t="inlineStr">
        <is>
          <t>c7nc</t>
        </is>
      </c>
      <c r="B256" s="34" t="inlineStr">
        <is>
          <t>New Caledonia</t>
        </is>
      </c>
      <c r="C256" s="29" t="inlineStr">
        <is>
          <t>NC</t>
        </is>
      </c>
      <c r="D256" s="81" t="n"/>
      <c r="E256" s="81" t="n"/>
      <c r="F256" s="116" t="n"/>
      <c r="G256" s="116" t="n"/>
      <c r="H256" s="81" t="n"/>
      <c r="I256" s="79">
        <f t="array" ref="I256">G256+F256</f>
        <v/>
      </c>
      <c r="J256" s="81" t="n"/>
      <c r="K256" s="81" t="n"/>
      <c r="L256" s="81" t="n"/>
    </row>
    <row r="257" ht="20.05" customHeight="1" s="215">
      <c r="A257" s="4" t="inlineStr">
        <is>
          <t>c7nf</t>
        </is>
      </c>
      <c r="B257" s="34" t="inlineStr">
        <is>
          <t>Norfolk Island</t>
        </is>
      </c>
      <c r="C257" s="29" t="inlineStr">
        <is>
          <t>NF</t>
        </is>
      </c>
      <c r="D257" s="81" t="n"/>
      <c r="E257" s="81" t="n"/>
      <c r="F257" s="116" t="n"/>
      <c r="G257" s="116" t="n"/>
      <c r="H257" s="81" t="n"/>
      <c r="I257" s="79">
        <f t="array" ref="I257">G257+F257</f>
        <v/>
      </c>
      <c r="J257" s="81" t="n"/>
      <c r="K257" s="81" t="n"/>
      <c r="L257" s="81" t="n"/>
    </row>
    <row r="258" ht="20.05" customHeight="1" s="215">
      <c r="A258" s="4" t="inlineStr">
        <is>
          <t>c7nr</t>
        </is>
      </c>
      <c r="B258" s="34" t="inlineStr">
        <is>
          <t>Nauru</t>
        </is>
      </c>
      <c r="C258" s="29" t="inlineStr">
        <is>
          <t>NR</t>
        </is>
      </c>
      <c r="D258" s="81" t="n"/>
      <c r="E258" s="81" t="n"/>
      <c r="F258" s="225" t="n">
        <v>0</v>
      </c>
      <c r="G258" s="225" t="n">
        <v>1</v>
      </c>
      <c r="H258" s="81" t="n"/>
      <c r="I258" s="79">
        <f t="array" ref="I258">G258+F258</f>
        <v/>
      </c>
      <c r="J258" s="81" t="n"/>
      <c r="K258" s="81" t="n"/>
      <c r="L258" s="81" t="n"/>
    </row>
    <row r="259" ht="20.05" customHeight="1" s="215">
      <c r="A259" s="4" t="inlineStr">
        <is>
          <t>c7nu</t>
        </is>
      </c>
      <c r="B259" s="34" t="inlineStr">
        <is>
          <t>Niue</t>
        </is>
      </c>
      <c r="C259" s="29" t="inlineStr">
        <is>
          <t>NU</t>
        </is>
      </c>
      <c r="D259" s="81" t="n"/>
      <c r="E259" s="81" t="n"/>
      <c r="F259" s="116" t="n"/>
      <c r="G259" s="116" t="n"/>
      <c r="H259" s="81" t="n"/>
      <c r="I259" s="79">
        <f t="array" ref="I259">G259+F259</f>
        <v/>
      </c>
      <c r="J259" s="81" t="n"/>
      <c r="K259" s="81" t="n"/>
      <c r="L259" s="81" t="n"/>
    </row>
    <row r="260" ht="20.05" customHeight="1" s="215">
      <c r="A260" s="4" t="inlineStr">
        <is>
          <t>c7nz</t>
        </is>
      </c>
      <c r="B260" s="34" t="inlineStr">
        <is>
          <t>New Zealand</t>
        </is>
      </c>
      <c r="C260" s="29" t="inlineStr">
        <is>
          <t>NZ</t>
        </is>
      </c>
      <c r="D260" s="81" t="n"/>
      <c r="E260" s="81" t="n"/>
      <c r="F260" s="225" t="n">
        <v>2325</v>
      </c>
      <c r="G260" s="225" t="n">
        <v>2356</v>
      </c>
      <c r="H260" s="81" t="n"/>
      <c r="I260" s="79">
        <f t="array" ref="I260">G260+F260</f>
        <v/>
      </c>
      <c r="J260" s="81" t="n"/>
      <c r="K260" s="81" t="n"/>
      <c r="L260" s="81" t="n"/>
    </row>
    <row r="261" ht="20.05" customHeight="1" s="215">
      <c r="A261" s="4" t="inlineStr">
        <is>
          <t>c7pf</t>
        </is>
      </c>
      <c r="B261" s="34" t="inlineStr">
        <is>
          <t>French Polynesia</t>
        </is>
      </c>
      <c r="C261" s="29" t="inlineStr">
        <is>
          <t>PF</t>
        </is>
      </c>
      <c r="D261" s="81" t="n"/>
      <c r="E261" s="81" t="n"/>
      <c r="F261" s="116" t="n"/>
      <c r="G261" s="116" t="n"/>
      <c r="H261" s="81" t="n"/>
      <c r="I261" s="79">
        <f t="array" ref="I261">G261+F261</f>
        <v/>
      </c>
      <c r="J261" s="81" t="n"/>
      <c r="K261" s="81" t="n"/>
      <c r="L261" s="81" t="n"/>
    </row>
    <row r="262" ht="20.05" customHeight="1" s="215">
      <c r="A262" s="4" t="inlineStr">
        <is>
          <t>c7pg</t>
        </is>
      </c>
      <c r="B262" s="34" t="inlineStr">
        <is>
          <t>Papua New Guinea</t>
        </is>
      </c>
      <c r="C262" s="29" t="inlineStr">
        <is>
          <t>PG</t>
        </is>
      </c>
      <c r="D262" s="81" t="n"/>
      <c r="E262" s="81" t="n"/>
      <c r="F262" s="225" t="n">
        <v>70</v>
      </c>
      <c r="G262" s="225" t="n">
        <v>66</v>
      </c>
      <c r="H262" s="81" t="n"/>
      <c r="I262" s="79">
        <f t="array" ref="I262">G262+F262</f>
        <v/>
      </c>
      <c r="J262" s="81" t="n"/>
      <c r="K262" s="81" t="n"/>
      <c r="L262" s="81" t="n"/>
    </row>
    <row r="263" ht="20.05" customHeight="1" s="215">
      <c r="A263" s="4" t="inlineStr">
        <is>
          <t>c7pn</t>
        </is>
      </c>
      <c r="B263" s="34" t="inlineStr">
        <is>
          <t>Pitcairn</t>
        </is>
      </c>
      <c r="C263" s="29" t="inlineStr">
        <is>
          <t>PN</t>
        </is>
      </c>
      <c r="D263" s="81" t="n"/>
      <c r="E263" s="81" t="n"/>
      <c r="F263" s="116" t="n"/>
      <c r="G263" s="116" t="n"/>
      <c r="H263" s="81" t="n"/>
      <c r="I263" s="79">
        <f t="array" ref="I263">G263+F263</f>
        <v/>
      </c>
      <c r="J263" s="81" t="n"/>
      <c r="K263" s="81" t="n"/>
      <c r="L263" s="81" t="n"/>
    </row>
    <row r="264" ht="20.05" customHeight="1" s="215">
      <c r="A264" s="4" t="inlineStr">
        <is>
          <t>c7pw</t>
        </is>
      </c>
      <c r="B264" s="34" t="inlineStr">
        <is>
          <t>Palau</t>
        </is>
      </c>
      <c r="C264" s="29" t="inlineStr">
        <is>
          <t>PW</t>
        </is>
      </c>
      <c r="D264" s="81" t="n"/>
      <c r="E264" s="81" t="n"/>
      <c r="F264" s="225" t="n">
        <v>0</v>
      </c>
      <c r="G264" s="225" t="n">
        <v>1</v>
      </c>
      <c r="H264" s="81" t="n"/>
      <c r="I264" s="79">
        <f t="array" ref="I264">G264+F264</f>
        <v/>
      </c>
      <c r="J264" s="81" t="n"/>
      <c r="K264" s="81" t="n"/>
      <c r="L264" s="81" t="n"/>
    </row>
    <row r="265" ht="20.05" customHeight="1" s="215">
      <c r="A265" s="4" t="inlineStr">
        <is>
          <t>c7sb</t>
        </is>
      </c>
      <c r="B265" s="34" t="inlineStr">
        <is>
          <t>Solomon Islands</t>
        </is>
      </c>
      <c r="C265" s="29" t="inlineStr">
        <is>
          <t>SB</t>
        </is>
      </c>
      <c r="D265" s="81" t="n"/>
      <c r="E265" s="81" t="n"/>
      <c r="F265" s="225" t="n">
        <v>8</v>
      </c>
      <c r="G265" s="225" t="n">
        <v>5</v>
      </c>
      <c r="H265" s="81" t="n"/>
      <c r="I265" s="79">
        <f t="array" ref="I265">G265+F265</f>
        <v/>
      </c>
      <c r="J265" s="81" t="n"/>
      <c r="K265" s="81" t="n"/>
      <c r="L265" s="81" t="n"/>
    </row>
    <row r="266" ht="20.05" customHeight="1" s="215">
      <c r="A266" s="4" t="inlineStr">
        <is>
          <t>c7tk</t>
        </is>
      </c>
      <c r="B266" s="34" t="inlineStr">
        <is>
          <t>Tokelau</t>
        </is>
      </c>
      <c r="C266" s="29" t="inlineStr">
        <is>
          <t>TK</t>
        </is>
      </c>
      <c r="D266" s="81" t="n"/>
      <c r="E266" s="81" t="n"/>
      <c r="F266" s="116" t="n"/>
      <c r="G266" s="116" t="n"/>
      <c r="H266" s="81" t="n"/>
      <c r="I266" s="79">
        <f t="array" ref="I266">G266+F266</f>
        <v/>
      </c>
      <c r="J266" s="81" t="n"/>
      <c r="K266" s="81" t="n"/>
      <c r="L266" s="81" t="n"/>
    </row>
    <row r="267" ht="20.05" customHeight="1" s="215">
      <c r="A267" s="4" t="inlineStr">
        <is>
          <t>c7to</t>
        </is>
      </c>
      <c r="B267" s="34" t="inlineStr">
        <is>
          <t>Tonga</t>
        </is>
      </c>
      <c r="C267" s="29" t="inlineStr">
        <is>
          <t>TO</t>
        </is>
      </c>
      <c r="D267" s="81" t="n"/>
      <c r="E267" s="81" t="n"/>
      <c r="F267" s="225" t="n">
        <v>5</v>
      </c>
      <c r="G267" s="225" t="n">
        <v>6</v>
      </c>
      <c r="H267" s="81" t="n"/>
      <c r="I267" s="79">
        <f t="array" ref="I267">G267+F267</f>
        <v/>
      </c>
      <c r="J267" s="81" t="n"/>
      <c r="K267" s="81" t="n"/>
      <c r="L267" s="81" t="n"/>
    </row>
    <row r="268" ht="20.05" customHeight="1" s="215">
      <c r="A268" s="4" t="inlineStr">
        <is>
          <t>c7tv</t>
        </is>
      </c>
      <c r="B268" s="34" t="inlineStr">
        <is>
          <t>Tuvalu</t>
        </is>
      </c>
      <c r="C268" s="29" t="inlineStr">
        <is>
          <t>TV</t>
        </is>
      </c>
      <c r="D268" s="81" t="n"/>
      <c r="E268" s="81" t="n"/>
      <c r="F268" s="225" t="n">
        <v>0</v>
      </c>
      <c r="G268" s="225" t="n">
        <v>0</v>
      </c>
      <c r="H268" s="81" t="n"/>
      <c r="I268" s="79">
        <f t="array" ref="I268">G268+F268</f>
        <v/>
      </c>
      <c r="J268" s="81" t="n"/>
      <c r="K268" s="81" t="n"/>
      <c r="L268" s="81" t="n"/>
    </row>
    <row r="269" ht="32.05" customHeight="1" s="215">
      <c r="A269" s="4" t="inlineStr">
        <is>
          <t>c7um</t>
        </is>
      </c>
      <c r="B269" s="34" t="inlineStr">
        <is>
          <t>United States Minor Outlying Islands (the)</t>
        </is>
      </c>
      <c r="C269" s="29" t="inlineStr">
        <is>
          <t>UM</t>
        </is>
      </c>
      <c r="D269" s="81" t="n"/>
      <c r="E269" s="81" t="n"/>
      <c r="F269" s="116" t="n"/>
      <c r="G269" s="116" t="n"/>
      <c r="H269" s="81" t="n"/>
      <c r="I269" s="79">
        <f t="array" ref="I269">G269+F269</f>
        <v/>
      </c>
      <c r="J269" s="81" t="n"/>
      <c r="K269" s="81" t="n"/>
      <c r="L269" s="81" t="n"/>
    </row>
    <row r="270" ht="20.05" customHeight="1" s="215">
      <c r="A270" s="4" t="inlineStr">
        <is>
          <t>c7vu</t>
        </is>
      </c>
      <c r="B270" s="34" t="inlineStr">
        <is>
          <t>Vanuatu</t>
        </is>
      </c>
      <c r="C270" s="29" t="inlineStr">
        <is>
          <t>VU</t>
        </is>
      </c>
      <c r="D270" s="81" t="n"/>
      <c r="E270" s="81" t="n"/>
      <c r="F270" s="225" t="n">
        <v>6</v>
      </c>
      <c r="G270" s="225" t="n">
        <v>7</v>
      </c>
      <c r="H270" s="81" t="n"/>
      <c r="I270" s="79">
        <f t="array" ref="I270">G270+F270</f>
        <v/>
      </c>
      <c r="J270" s="81" t="n"/>
      <c r="K270" s="81" t="n"/>
      <c r="L270" s="81" t="n"/>
    </row>
    <row r="271" ht="20.05" customHeight="1" s="215">
      <c r="A271" s="4" t="inlineStr">
        <is>
          <t>c7wf</t>
        </is>
      </c>
      <c r="B271" s="34" t="inlineStr">
        <is>
          <t>Wallis and Futuna</t>
        </is>
      </c>
      <c r="C271" s="29" t="inlineStr">
        <is>
          <t>WF</t>
        </is>
      </c>
      <c r="D271" s="81" t="n"/>
      <c r="E271" s="81" t="n"/>
      <c r="F271" s="116" t="n"/>
      <c r="G271" s="116" t="n"/>
      <c r="H271" s="81" t="n"/>
      <c r="I271" s="79">
        <f t="array" ref="I271">G271+F271</f>
        <v/>
      </c>
      <c r="J271" s="81" t="n"/>
      <c r="K271" s="81" t="n"/>
      <c r="L271" s="81" t="n"/>
    </row>
    <row r="272" ht="20.05" customHeight="1" s="215">
      <c r="A272" s="4" t="inlineStr">
        <is>
          <t>c7ws</t>
        </is>
      </c>
      <c r="B272" s="34" t="inlineStr">
        <is>
          <t>Samoa</t>
        </is>
      </c>
      <c r="C272" s="29" t="inlineStr">
        <is>
          <t>WS</t>
        </is>
      </c>
      <c r="D272" s="81" t="n"/>
      <c r="E272" s="81" t="n"/>
      <c r="F272" s="225" t="n">
        <v>14</v>
      </c>
      <c r="G272" s="225" t="n">
        <v>16</v>
      </c>
      <c r="H272" s="81" t="n"/>
      <c r="I272" s="79">
        <f t="array" ref="I272">G272+F272</f>
        <v/>
      </c>
      <c r="J272" s="81" t="n"/>
      <c r="K272" s="81" t="n"/>
      <c r="L272" s="81" t="n"/>
    </row>
    <row r="273" ht="20.05" customHeight="1" s="215">
      <c r="A273" s="4" t="inlineStr">
        <is>
          <t>c7</t>
        </is>
      </c>
      <c r="B273" s="178" t="inlineStr">
        <is>
          <t>Oceania</t>
        </is>
      </c>
      <c r="C273" s="76" t="n"/>
      <c r="D273" s="81" t="n"/>
      <c r="E273" s="81" t="n"/>
      <c r="F273" s="79">
        <f t="array" ref="F273">SUM(F246:F272)</f>
        <v/>
      </c>
      <c r="G273" s="79">
        <f t="array" ref="G273">SUM(G246:G272)</f>
        <v/>
      </c>
      <c r="H273" s="81" t="n"/>
      <c r="I273" s="79">
        <f t="array" ref="I273">SUM(I246:I272)</f>
        <v/>
      </c>
      <c r="J273" s="81" t="n"/>
      <c r="K273" s="81" t="n"/>
      <c r="L273" s="81" t="n"/>
    </row>
    <row r="274" ht="20.05" customHeight="1" s="215">
      <c r="A274" s="3" t="n"/>
      <c r="B274" s="28" t="n"/>
      <c r="C274" s="17" t="n"/>
      <c r="D274" s="81" t="n"/>
      <c r="E274" s="81" t="n"/>
      <c r="F274" s="81" t="n"/>
      <c r="G274" s="81" t="n"/>
      <c r="H274" s="81" t="n"/>
      <c r="I274" s="81" t="n"/>
      <c r="J274" s="81" t="n"/>
      <c r="K274" s="81" t="n"/>
      <c r="L274" s="81" t="n"/>
    </row>
    <row r="275" ht="20.05" customHeight="1" s="215">
      <c r="A275" s="3" t="n"/>
      <c r="B275" s="34" t="inlineStr">
        <is>
          <t>Antarctica</t>
        </is>
      </c>
      <c r="C275" s="17" t="n"/>
      <c r="D275" s="81" t="n"/>
      <c r="E275" s="81" t="n"/>
      <c r="F275" s="81" t="n"/>
      <c r="G275" s="81" t="n"/>
      <c r="H275" s="81" t="n"/>
      <c r="I275" s="81" t="n"/>
      <c r="J275" s="81" t="n"/>
      <c r="K275" s="81" t="n"/>
      <c r="L275" s="81" t="n"/>
    </row>
    <row r="276" ht="20.05" customHeight="1" s="215">
      <c r="A276" s="4" t="inlineStr">
        <is>
          <t>c8aq</t>
        </is>
      </c>
      <c r="B276" s="34" t="inlineStr">
        <is>
          <t>Antarctica</t>
        </is>
      </c>
      <c r="C276" s="29" t="inlineStr">
        <is>
          <t>AQ</t>
        </is>
      </c>
      <c r="D276" s="81" t="n"/>
      <c r="E276" s="81" t="n"/>
      <c r="F276" s="116" t="n"/>
      <c r="G276" s="116" t="n"/>
      <c r="H276" s="81" t="n"/>
      <c r="I276" s="79">
        <f t="array" ref="I276">G276+F276</f>
        <v/>
      </c>
      <c r="J276" s="81" t="n"/>
      <c r="K276" s="81" t="n"/>
      <c r="L276" s="81" t="n"/>
    </row>
    <row r="277" ht="20.05" customHeight="1" s="215">
      <c r="A277" s="4" t="inlineStr">
        <is>
          <t>c8bv</t>
        </is>
      </c>
      <c r="B277" s="34" t="inlineStr">
        <is>
          <t>Bouvet Island</t>
        </is>
      </c>
      <c r="C277" s="29" t="inlineStr">
        <is>
          <t>BV</t>
        </is>
      </c>
      <c r="D277" s="81" t="n"/>
      <c r="E277" s="81" t="n"/>
      <c r="F277" s="116" t="n"/>
      <c r="G277" s="116" t="n"/>
      <c r="H277" s="81" t="n"/>
      <c r="I277" s="79">
        <f t="array" ref="I277">G277+F277</f>
        <v/>
      </c>
      <c r="J277" s="81" t="n"/>
      <c r="K277" s="81" t="n"/>
      <c r="L277" s="81" t="n"/>
    </row>
    <row r="278" ht="32.05" customHeight="1" s="215">
      <c r="A278" s="4" t="inlineStr">
        <is>
          <t>c8gs</t>
        </is>
      </c>
      <c r="B278" s="34" t="inlineStr">
        <is>
          <t>South Georgia and the South Sandwich Islands</t>
        </is>
      </c>
      <c r="C278" s="29" t="inlineStr">
        <is>
          <t>GS</t>
        </is>
      </c>
      <c r="D278" s="81" t="n"/>
      <c r="E278" s="81" t="n"/>
      <c r="F278" s="116" t="n"/>
      <c r="G278" s="116" t="n"/>
      <c r="H278" s="81" t="n"/>
      <c r="I278" s="79">
        <f t="array" ref="I278">G278+F278</f>
        <v/>
      </c>
      <c r="J278" s="81" t="n"/>
      <c r="K278" s="81" t="n"/>
      <c r="L278" s="81" t="n"/>
    </row>
    <row r="279" ht="20.05" customHeight="1" s="215">
      <c r="A279" s="4" t="inlineStr">
        <is>
          <t>c8hm</t>
        </is>
      </c>
      <c r="B279" s="34" t="inlineStr">
        <is>
          <t>Heard Island and McDonald Islands</t>
        </is>
      </c>
      <c r="C279" s="29" t="inlineStr">
        <is>
          <t>HM</t>
        </is>
      </c>
      <c r="D279" s="81" t="n"/>
      <c r="E279" s="81" t="n"/>
      <c r="F279" s="116" t="n"/>
      <c r="G279" s="116" t="n"/>
      <c r="H279" s="81" t="n"/>
      <c r="I279" s="79">
        <f t="array" ref="I279">G279+F279</f>
        <v/>
      </c>
      <c r="J279" s="81" t="n"/>
      <c r="K279" s="81" t="n"/>
      <c r="L279" s="81" t="n"/>
    </row>
    <row r="280" ht="20.05" customHeight="1" s="215">
      <c r="A280" s="4" t="inlineStr">
        <is>
          <t>c8tf</t>
        </is>
      </c>
      <c r="B280" s="34" t="inlineStr">
        <is>
          <t>French Southern Territories (the)</t>
        </is>
      </c>
      <c r="C280" s="29" t="inlineStr">
        <is>
          <t>TF</t>
        </is>
      </c>
      <c r="D280" s="81" t="n"/>
      <c r="E280" s="81" t="n"/>
      <c r="F280" s="116" t="n"/>
      <c r="G280" s="116" t="n"/>
      <c r="H280" s="81" t="n"/>
      <c r="I280" s="79">
        <f t="array" ref="I280">G280+F280</f>
        <v/>
      </c>
      <c r="J280" s="81" t="n"/>
      <c r="K280" s="81" t="n"/>
      <c r="L280" s="81" t="n"/>
    </row>
    <row r="281" ht="20.05" customHeight="1" s="215">
      <c r="A281" s="4" t="inlineStr">
        <is>
          <t>c8</t>
        </is>
      </c>
      <c r="B281" s="178" t="inlineStr">
        <is>
          <t>Antarctica</t>
        </is>
      </c>
      <c r="C281" s="76" t="n"/>
      <c r="D281" s="81" t="n"/>
      <c r="E281" s="81" t="n"/>
      <c r="F281" s="79">
        <f t="array" ref="F281">SUM(F276:F280)</f>
        <v/>
      </c>
      <c r="G281" s="79">
        <f t="array" ref="G281">SUM(G276:G280)</f>
        <v/>
      </c>
      <c r="H281" s="81" t="n"/>
      <c r="I281" s="79">
        <f t="array" ref="I281">SUM(I276:I280)</f>
        <v/>
      </c>
      <c r="J281" s="81" t="n"/>
      <c r="K281" s="81" t="n"/>
      <c r="L281" s="81" t="n"/>
    </row>
    <row r="282" ht="20.05" customHeight="1" s="215">
      <c r="A282" s="3" t="n"/>
      <c r="B282" s="28" t="n"/>
      <c r="C282" s="76" t="n"/>
      <c r="D282" s="81" t="n"/>
      <c r="E282" s="81" t="n"/>
      <c r="F282" s="81" t="n"/>
      <c r="G282" s="81" t="n"/>
      <c r="H282" s="81" t="n"/>
      <c r="I282" s="81" t="n"/>
      <c r="J282" s="81" t="n"/>
      <c r="K282" s="81" t="n"/>
      <c r="L282" s="81" t="n"/>
    </row>
    <row r="283" ht="20.05" customHeight="1" s="215">
      <c r="A283" s="4" t="inlineStr">
        <is>
          <t>c9</t>
        </is>
      </c>
      <c r="B283" s="34" t="inlineStr">
        <is>
          <t>Other / Unknown</t>
        </is>
      </c>
      <c r="C283" s="17" t="n"/>
      <c r="D283" s="81" t="n"/>
      <c r="E283" s="81" t="n"/>
      <c r="F283" s="225" t="n">
        <v>129091</v>
      </c>
      <c r="G283" s="225" t="n">
        <v>102567</v>
      </c>
      <c r="H283" s="81" t="n"/>
      <c r="I283" s="79">
        <f t="array" ref="I283">G283+F283</f>
        <v/>
      </c>
      <c r="J283" s="81" t="n"/>
      <c r="K283" s="81" t="n"/>
      <c r="L283" s="81" t="n"/>
    </row>
    <row r="284" ht="20.05" customHeight="1" s="215">
      <c r="A284" s="3" t="n"/>
      <c r="B284" s="28" t="n"/>
      <c r="C284" s="76" t="n"/>
      <c r="D284" s="81" t="n"/>
      <c r="E284" s="81" t="n"/>
      <c r="F284" s="81" t="n"/>
      <c r="G284" s="81" t="n"/>
      <c r="H284" s="81" t="n"/>
      <c r="I284" s="81" t="n"/>
      <c r="J284" s="81" t="n"/>
      <c r="K284" s="81" t="n"/>
      <c r="L284" s="81" t="n"/>
    </row>
    <row r="285" ht="20.05" customHeight="1" s="215">
      <c r="A285" s="180" t="inlineStr">
        <is>
          <t>ct</t>
        </is>
      </c>
      <c r="B285" s="181" t="inlineStr">
        <is>
          <t>Total</t>
        </is>
      </c>
      <c r="C285" s="151" t="n"/>
      <c r="D285" s="105" t="n"/>
      <c r="E285" s="105" t="n"/>
      <c r="F285" s="106">
        <f t="array" ref="F285">F62+F107+F123+F184+F208+F243+F273+F281+F283</f>
        <v/>
      </c>
      <c r="G285" s="106">
        <f t="array" ref="G285">G62+G107+G123+G184+G208+G243+G273+G281+G283</f>
        <v/>
      </c>
      <c r="H285" s="105" t="n"/>
      <c r="I285" s="106">
        <f t="array" ref="I285">I62+I107+I123+I184+I208+I243+I273+I281+I283</f>
        <v/>
      </c>
      <c r="J285" s="81" t="n"/>
      <c r="K285" s="81" t="n"/>
      <c r="L285" s="81" t="n"/>
    </row>
    <row r="286" ht="20.05" customHeight="1" s="215">
      <c r="A286" s="12" t="n"/>
      <c r="B286" s="182" t="inlineStr">
        <is>
          <t>For checking: Total of migrants</t>
        </is>
      </c>
      <c r="C286" s="183" t="n"/>
      <c r="D286" s="109" t="n"/>
      <c r="E286" s="109" t="n"/>
      <c r="F286" s="110">
        <f t="array" ref="F286">'population'!F109</f>
        <v/>
      </c>
      <c r="G286" s="110">
        <f t="array" ref="G286">'population'!G109</f>
        <v/>
      </c>
      <c r="H286" s="109" t="n"/>
      <c r="I286" s="110">
        <f t="array" ref="I286">'population'!I109</f>
        <v/>
      </c>
      <c r="J286" s="81" t="n"/>
      <c r="K286" s="81" t="n"/>
      <c r="L286" s="81" t="n"/>
    </row>
    <row r="287" ht="20.05" customHeight="1" s="215">
      <c r="A287" s="12" t="n"/>
      <c r="B287" s="182" t="inlineStr">
        <is>
          <t>For checking: Total of migration</t>
        </is>
      </c>
      <c r="C287" s="183" t="n"/>
      <c r="D287" s="109" t="n"/>
      <c r="E287" s="109" t="n"/>
      <c r="F287" s="110">
        <f t="array" ref="F287">'migration'!F111</f>
        <v/>
      </c>
      <c r="G287" s="110">
        <f t="array" ref="G287">'migration'!G111</f>
        <v/>
      </c>
      <c r="H287" s="109" t="n"/>
      <c r="I287" s="110">
        <f t="array" ref="I287">'migration'!I111</f>
        <v/>
      </c>
      <c r="J287" s="81" t="n"/>
      <c r="K287" s="81" t="n"/>
      <c r="L287" s="81" t="n"/>
    </row>
    <row r="288" ht="20.05" customHeight="1" s="215">
      <c r="A288" s="62" t="n"/>
      <c r="B288" s="63" t="n"/>
      <c r="C288" s="147" t="n"/>
      <c r="D288" s="184" t="n"/>
      <c r="E288" s="184" t="n"/>
      <c r="F288" s="184" t="n"/>
      <c r="G288" s="184" t="n"/>
      <c r="H288" s="184" t="n"/>
      <c r="I288" s="184" t="n"/>
      <c r="J288" s="87" t="n"/>
      <c r="K288" s="87" t="n"/>
      <c r="L288" s="87" t="n"/>
    </row>
  </sheetData>
  <mergeCells count="3">
    <mergeCell ref="A1:L1"/>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patria</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73" t="n"/>
      <c r="B5" s="74" t="inlineStr">
        <is>
          <t>Naturalisation</t>
        </is>
      </c>
      <c r="C5" s="75" t="inlineStr">
        <is>
          <t>Fill in the numbers of people being naturalized in the specified year. This is not relevant for the calculation of version 1 but it is important for future versions.</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222"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76" t="n"/>
      <c r="K8" s="76" t="n"/>
      <c r="L8" s="76" t="n"/>
    </row>
    <row r="9" ht="20.05" customHeight="1" s="215">
      <c r="A9" s="12" t="n"/>
      <c r="B9" s="165">
        <f t="array" ref="B9">$B10-1</f>
        <v/>
      </c>
      <c r="C9" s="110">
        <f t="array" ref="C9">I9</f>
        <v/>
      </c>
      <c r="D9" s="109" t="n"/>
      <c r="E9" s="109" t="n"/>
      <c r="F9" s="186" t="n"/>
      <c r="G9" s="186" t="n"/>
      <c r="H9" s="109" t="n"/>
      <c r="I9" s="238" t="n">
        <v>3000</v>
      </c>
      <c r="J9" s="81" t="n"/>
      <c r="K9" s="81" t="n"/>
      <c r="L9" s="81" t="n"/>
    </row>
    <row r="10" ht="20.05" customHeight="1" s="215">
      <c r="A10" s="12" t="n"/>
      <c r="B10" s="165">
        <f t="array" ref="B10">$B11-1</f>
        <v/>
      </c>
      <c r="C10" s="110">
        <f t="array" ref="C10">I10</f>
        <v/>
      </c>
      <c r="D10" s="109" t="n"/>
      <c r="E10" s="109" t="n"/>
      <c r="F10" s="186" t="n"/>
      <c r="G10" s="186" t="n"/>
      <c r="H10" s="109" t="n"/>
      <c r="I10" s="238" t="n">
        <v>3000</v>
      </c>
      <c r="J10" s="81" t="n"/>
      <c r="K10" s="81" t="n"/>
      <c r="L10" s="81" t="n"/>
    </row>
    <row r="11" ht="20.05" customHeight="1" s="215">
      <c r="A11" s="12" t="n"/>
      <c r="B11" s="165">
        <f t="array" ref="B11">$B12-1</f>
        <v/>
      </c>
      <c r="C11" s="110">
        <f t="array" ref="C11">I11</f>
        <v/>
      </c>
      <c r="D11" s="109" t="n"/>
      <c r="E11" s="109" t="n"/>
      <c r="F11" s="186" t="n"/>
      <c r="G11" s="186" t="n"/>
      <c r="H11" s="109" t="n"/>
      <c r="I11" s="238" t="n">
        <v>3000</v>
      </c>
      <c r="J11" s="81" t="n"/>
      <c r="K11" s="81" t="n"/>
      <c r="L11" s="81" t="n"/>
    </row>
    <row r="12" ht="20.05" customHeight="1" s="215">
      <c r="A12" s="12" t="n"/>
      <c r="B12" s="165">
        <f t="array" ref="B12">$B13-1</f>
        <v/>
      </c>
      <c r="C12" s="110">
        <f t="array" ref="C12">I12</f>
        <v/>
      </c>
      <c r="D12" s="109" t="n"/>
      <c r="E12" s="109" t="n"/>
      <c r="F12" s="186" t="n"/>
      <c r="G12" s="186" t="n"/>
      <c r="H12" s="109" t="n"/>
      <c r="I12" s="238" t="n">
        <v>4000</v>
      </c>
      <c r="J12" s="81" t="n"/>
      <c r="K12" s="81" t="n"/>
      <c r="L12" s="81" t="n"/>
    </row>
    <row r="13" ht="20.05" customHeight="1" s="215">
      <c r="A13" s="12" t="n"/>
      <c r="B13" s="165">
        <f t="array" ref="B13">$B14-1</f>
        <v/>
      </c>
      <c r="C13" s="110">
        <f t="array" ref="C13">I13</f>
        <v/>
      </c>
      <c r="D13" s="109" t="n"/>
      <c r="E13" s="109" t="n"/>
      <c r="F13" s="186" t="n"/>
      <c r="G13" s="186" t="n"/>
      <c r="H13" s="109" t="n"/>
      <c r="I13" s="238" t="n">
        <v>3000</v>
      </c>
      <c r="J13" s="81" t="n"/>
      <c r="K13" s="81" t="n"/>
      <c r="L13" s="81" t="n"/>
    </row>
    <row r="14" ht="20.05" customHeight="1" s="215">
      <c r="A14" s="12" t="n"/>
      <c r="B14" s="165">
        <f t="array" ref="B14">$B15-1</f>
        <v/>
      </c>
      <c r="C14" s="110">
        <f t="array" ref="C14">I14</f>
        <v/>
      </c>
      <c r="D14" s="109" t="n"/>
      <c r="E14" s="109" t="n"/>
      <c r="F14" s="186" t="n"/>
      <c r="G14" s="186" t="n"/>
      <c r="H14" s="109" t="n"/>
      <c r="I14" s="238" t="n">
        <v>7000</v>
      </c>
      <c r="J14" s="81" t="n"/>
      <c r="K14" s="81" t="n"/>
      <c r="L14" s="81" t="n"/>
    </row>
    <row r="15" ht="20.05" customHeight="1" s="215">
      <c r="A15" s="12" t="n"/>
      <c r="B15" s="165">
        <f t="array" ref="B15">$B16-1</f>
        <v/>
      </c>
      <c r="C15" s="110">
        <f t="array" ref="C15">I15</f>
        <v/>
      </c>
      <c r="D15" s="109" t="n"/>
      <c r="E15" s="109" t="n"/>
      <c r="F15" s="186" t="n"/>
      <c r="G15" s="186" t="n"/>
      <c r="H15" s="109" t="n"/>
      <c r="I15" s="238" t="n">
        <v>4000</v>
      </c>
      <c r="J15" s="81" t="n"/>
      <c r="K15" s="81" t="n"/>
      <c r="L15" s="81" t="n"/>
    </row>
    <row r="16" ht="20.05" customHeight="1" s="215">
      <c r="A16" s="12" t="n"/>
      <c r="B16" s="165">
        <f t="array" ref="B16">$B17-1</f>
        <v/>
      </c>
      <c r="C16" s="110">
        <f t="array" ref="C16">I16</f>
        <v/>
      </c>
      <c r="D16" s="109" t="n"/>
      <c r="E16" s="109" t="n"/>
      <c r="F16" s="186" t="n"/>
      <c r="G16" s="186" t="n"/>
      <c r="H16" s="109" t="n"/>
      <c r="I16" s="238" t="n">
        <v>3000</v>
      </c>
      <c r="J16" s="81" t="n"/>
      <c r="K16" s="81" t="n"/>
      <c r="L16" s="81" t="n"/>
    </row>
    <row r="17" ht="20.05" customHeight="1" s="215">
      <c r="A17" s="12" t="n"/>
      <c r="B17" s="165">
        <f t="array" ref="B17">$B18-1</f>
        <v/>
      </c>
      <c r="C17" s="110">
        <f t="array" ref="C17">I17</f>
        <v/>
      </c>
      <c r="D17" s="109" t="n"/>
      <c r="E17" s="109" t="n"/>
      <c r="F17" s="186" t="n"/>
      <c r="G17" s="186" t="n"/>
      <c r="H17" s="109" t="n"/>
      <c r="I17" s="238" t="n">
        <v>4000</v>
      </c>
      <c r="J17" s="81" t="n"/>
      <c r="K17" s="81" t="n"/>
      <c r="L17" s="81" t="n"/>
    </row>
    <row r="18" ht="20.05" customHeight="1" s="215">
      <c r="A18" s="12" t="n"/>
      <c r="B18" s="165">
        <f t="array" ref="B18">$B19-1</f>
        <v/>
      </c>
      <c r="C18" s="110">
        <f t="array" ref="C18">I18</f>
        <v/>
      </c>
      <c r="D18" s="109" t="n"/>
      <c r="E18" s="109" t="n"/>
      <c r="F18" s="186" t="n"/>
      <c r="G18" s="186" t="n"/>
      <c r="H18" s="109" t="n"/>
      <c r="I18" s="238" t="n">
        <v>3000</v>
      </c>
      <c r="J18" s="81" t="n"/>
      <c r="K18" s="81" t="n"/>
      <c r="L18" s="81" t="n"/>
    </row>
    <row r="19" ht="20.05" customHeight="1" s="215">
      <c r="A19" s="12" t="n"/>
      <c r="B19" s="165">
        <f t="array" ref="B19">$B20-1</f>
        <v/>
      </c>
      <c r="C19" s="110">
        <f t="array" ref="C19">I19</f>
        <v/>
      </c>
      <c r="D19" s="109" t="n"/>
      <c r="E19" s="109" t="n"/>
      <c r="F19" s="186" t="n"/>
      <c r="G19" s="186" t="n"/>
      <c r="H19" s="109" t="n"/>
      <c r="I19" s="238" t="n">
        <v>2000</v>
      </c>
      <c r="J19" s="81" t="n"/>
      <c r="K19" s="81" t="n"/>
      <c r="L19" s="81" t="n"/>
    </row>
    <row r="20" ht="20.05" customHeight="1" s="215">
      <c r="A20" s="12" t="n"/>
      <c r="B20" s="165">
        <f t="array" ref="B20">$B21-1</f>
        <v/>
      </c>
      <c r="C20" s="110">
        <f t="array" ref="C20">I20</f>
        <v/>
      </c>
      <c r="D20" s="109" t="n"/>
      <c r="E20" s="109" t="n"/>
      <c r="F20" s="186" t="n"/>
      <c r="G20" s="186" t="n"/>
      <c r="H20" s="109" t="n"/>
      <c r="I20" s="238" t="n">
        <v>3000</v>
      </c>
      <c r="J20" s="81" t="n"/>
      <c r="K20" s="81" t="n"/>
      <c r="L20" s="81" t="n"/>
    </row>
    <row r="21" ht="20.05" customHeight="1" s="215">
      <c r="A21" s="12" t="n"/>
      <c r="B21" s="165">
        <f t="array" ref="B21">$B22-1</f>
        <v/>
      </c>
      <c r="C21" s="110">
        <f t="array" ref="C21">I21</f>
        <v/>
      </c>
      <c r="D21" s="109" t="n"/>
      <c r="E21" s="109" t="n"/>
      <c r="F21" s="186" t="n"/>
      <c r="G21" s="186" t="n"/>
      <c r="H21" s="109" t="n"/>
      <c r="I21" s="238" t="n">
        <v>4000</v>
      </c>
      <c r="J21" s="81" t="n"/>
      <c r="K21" s="81" t="n"/>
      <c r="L21" s="81" t="n"/>
    </row>
    <row r="22" ht="20.05" customHeight="1" s="215">
      <c r="A22" s="12" t="n"/>
      <c r="B22" s="165">
        <f t="array" ref="B22">$B23-1</f>
        <v/>
      </c>
      <c r="C22" s="110">
        <f t="array" ref="C22">I22</f>
        <v/>
      </c>
      <c r="D22" s="109" t="n"/>
      <c r="E22" s="109" t="n"/>
      <c r="F22" s="186" t="n"/>
      <c r="G22" s="186" t="n"/>
      <c r="H22" s="109" t="n"/>
      <c r="I22" s="238" t="n">
        <v>4000</v>
      </c>
      <c r="J22" s="81" t="n"/>
      <c r="K22" s="81" t="n"/>
      <c r="L22" s="81" t="n"/>
    </row>
    <row r="23" ht="20.05" customHeight="1" s="215">
      <c r="A23" s="12" t="n"/>
      <c r="B23" s="165">
        <f t="array" ref="B23">$B24-1</f>
        <v/>
      </c>
      <c r="C23" s="110">
        <f t="array" ref="C23">I23</f>
        <v/>
      </c>
      <c r="D23" s="109" t="n"/>
      <c r="E23" s="109" t="n"/>
      <c r="F23" s="186" t="n"/>
      <c r="G23" s="186" t="n"/>
      <c r="H23" s="109" t="n"/>
      <c r="I23" s="238" t="n">
        <v>6000</v>
      </c>
      <c r="J23" s="81" t="n"/>
      <c r="K23" s="81" t="n"/>
      <c r="L23" s="81" t="n"/>
    </row>
    <row r="24" ht="20.05" customHeight="1" s="215">
      <c r="A24" s="12" t="n"/>
      <c r="B24" s="165">
        <f t="array" ref="B24">$B25-1</f>
        <v/>
      </c>
      <c r="C24" s="110">
        <f t="array" ref="C24">I24</f>
        <v/>
      </c>
      <c r="D24" s="109" t="n"/>
      <c r="E24" s="109" t="n"/>
      <c r="F24" s="186" t="n"/>
      <c r="G24" s="186" t="n"/>
      <c r="H24" s="109" t="n"/>
      <c r="I24" s="238" t="n">
        <v>3000</v>
      </c>
      <c r="J24" s="81" t="n"/>
      <c r="K24" s="81" t="n"/>
      <c r="L24" s="81" t="n"/>
    </row>
    <row r="25" ht="20.05" customHeight="1" s="215">
      <c r="A25" s="12" t="n"/>
      <c r="B25" s="165">
        <f t="array" ref="B25">$B26-1</f>
        <v/>
      </c>
      <c r="C25" s="110">
        <f t="array" ref="C25">I25</f>
        <v/>
      </c>
      <c r="D25" s="109" t="n"/>
      <c r="E25" s="109" t="n"/>
      <c r="F25" s="186" t="n"/>
      <c r="G25" s="186" t="n"/>
      <c r="H25" s="109" t="n"/>
      <c r="I25" s="238" t="n">
        <v>7000</v>
      </c>
      <c r="J25" s="81" t="n"/>
      <c r="K25" s="81" t="n"/>
      <c r="L25" s="81" t="n"/>
    </row>
    <row r="26" ht="20.05" customHeight="1" s="215">
      <c r="A26" s="12" t="n"/>
      <c r="B26" s="165">
        <f t="array" ref="B26">$B27-1</f>
        <v/>
      </c>
      <c r="C26" s="110">
        <f t="array" ref="C26">I26</f>
        <v/>
      </c>
      <c r="D26" s="109" t="n"/>
      <c r="E26" s="109" t="n"/>
      <c r="F26" s="186" t="n"/>
      <c r="G26" s="186" t="n"/>
      <c r="H26" s="109" t="n"/>
      <c r="I26" s="238" t="n">
        <v>6000</v>
      </c>
      <c r="J26" s="81" t="n"/>
      <c r="K26" s="81" t="n"/>
      <c r="L26" s="81" t="n"/>
    </row>
    <row r="27" ht="20.05" customHeight="1" s="215">
      <c r="A27" s="12" t="n"/>
      <c r="B27" s="165">
        <f t="array" ref="B27">$B28-1</f>
        <v/>
      </c>
      <c r="C27" s="110">
        <f t="array" ref="C27">I27</f>
        <v/>
      </c>
      <c r="D27" s="109" t="n"/>
      <c r="E27" s="109" t="n"/>
      <c r="F27" s="186" t="n"/>
      <c r="G27" s="186" t="n"/>
      <c r="H27" s="109" t="n"/>
      <c r="I27" s="238" t="n">
        <v>5000</v>
      </c>
      <c r="J27" s="81" t="n"/>
      <c r="K27" s="81" t="n"/>
      <c r="L27" s="81" t="n"/>
    </row>
    <row r="28" ht="20.05" customHeight="1" s="215">
      <c r="A28" s="12" t="n"/>
      <c r="B28" s="165">
        <f t="array" ref="B28">$B29-1</f>
        <v/>
      </c>
      <c r="C28" s="110">
        <f t="array" ref="C28">I28</f>
        <v/>
      </c>
      <c r="D28" s="109" t="n"/>
      <c r="E28" s="109" t="n"/>
      <c r="F28" s="186" t="n"/>
      <c r="G28" s="186" t="n"/>
      <c r="H28" s="109" t="n"/>
      <c r="I28" s="238" t="n">
        <v>6000</v>
      </c>
      <c r="J28" s="81" t="n"/>
      <c r="K28" s="81" t="n"/>
      <c r="L28" s="81" t="n"/>
    </row>
    <row r="29" ht="20.05" customHeight="1" s="215">
      <c r="A29" s="12" t="n"/>
      <c r="B29" s="165">
        <f t="array" ref="B29">$B30-1</f>
        <v/>
      </c>
      <c r="C29" s="110">
        <f t="array" ref="C29">I29</f>
        <v/>
      </c>
      <c r="D29" s="109" t="n"/>
      <c r="E29" s="109" t="n"/>
      <c r="F29" s="186" t="n"/>
      <c r="G29" s="186" t="n"/>
      <c r="H29" s="109" t="n"/>
      <c r="I29" s="238" t="n">
        <v>4000</v>
      </c>
      <c r="J29" s="81" t="n"/>
      <c r="K29" s="81" t="n"/>
      <c r="L29" s="81" t="n"/>
    </row>
    <row r="30" ht="20.05" customHeight="1" s="215">
      <c r="A30" s="12" t="n"/>
      <c r="B30" s="165">
        <f t="array" ref="B30">$B31-1</f>
        <v/>
      </c>
      <c r="C30" s="110">
        <f t="array" ref="C30">I30</f>
        <v/>
      </c>
      <c r="D30" s="109" t="n"/>
      <c r="E30" s="109" t="n"/>
      <c r="F30" s="186" t="n"/>
      <c r="G30" s="186" t="n"/>
      <c r="H30" s="109" t="n"/>
      <c r="I30" s="238" t="n">
        <v>4000</v>
      </c>
      <c r="J30" s="81" t="n"/>
      <c r="K30" s="81" t="n"/>
      <c r="L30" s="81" t="n"/>
    </row>
    <row r="31" ht="20.05" customHeight="1" s="215">
      <c r="A31" s="12" t="n"/>
      <c r="B31" s="165">
        <f t="array" ref="B31">$B32-1</f>
        <v/>
      </c>
      <c r="C31" s="110">
        <f t="array" ref="C31">I31</f>
        <v/>
      </c>
      <c r="D31" s="109" t="n"/>
      <c r="E31" s="109" t="n"/>
      <c r="F31" s="186" t="n"/>
      <c r="G31" s="186" t="n"/>
      <c r="H31" s="109" t="n"/>
      <c r="I31" s="238" t="n">
        <v>4000</v>
      </c>
      <c r="J31" s="81" t="n"/>
      <c r="K31" s="81" t="n"/>
      <c r="L31" s="81" t="n"/>
    </row>
    <row r="32" ht="20.05" customHeight="1" s="215">
      <c r="A32" s="12" t="n"/>
      <c r="B32" s="165">
        <f t="array" ref="B32">$B33-1</f>
        <v/>
      </c>
      <c r="C32" s="110">
        <f t="array" ref="C32">I32</f>
        <v/>
      </c>
      <c r="D32" s="109" t="n"/>
      <c r="E32" s="109" t="n"/>
      <c r="F32" s="186" t="n"/>
      <c r="G32" s="186" t="n"/>
      <c r="H32" s="109" t="n"/>
      <c r="I32" s="238" t="n">
        <v>4000</v>
      </c>
      <c r="J32" s="81" t="n"/>
      <c r="K32" s="81" t="n"/>
      <c r="L32" s="81" t="n"/>
    </row>
    <row r="33" ht="20.05" customHeight="1" s="215">
      <c r="A33" s="12" t="n"/>
      <c r="B33" s="165">
        <f t="array" ref="B33">$B34-1</f>
        <v/>
      </c>
      <c r="C33" s="110">
        <f t="array" ref="C33">I33</f>
        <v/>
      </c>
      <c r="D33" s="109" t="n"/>
      <c r="E33" s="109" t="n"/>
      <c r="F33" s="186" t="n"/>
      <c r="G33" s="186" t="n"/>
      <c r="H33" s="109" t="n"/>
      <c r="I33" s="238" t="n">
        <v>5000</v>
      </c>
      <c r="J33" s="81" t="n"/>
      <c r="K33" s="81" t="n"/>
      <c r="L33" s="81" t="n"/>
    </row>
    <row r="34" ht="20.05" customHeight="1" s="215">
      <c r="A34" s="12" t="n"/>
      <c r="B34" s="165">
        <f t="array" ref="B34">$B35-1</f>
        <v/>
      </c>
      <c r="C34" s="110">
        <f t="array" ref="C34">I34</f>
        <v/>
      </c>
      <c r="D34" s="109" t="n"/>
      <c r="E34" s="109" t="n"/>
      <c r="F34" s="186" t="n"/>
      <c r="G34" s="186" t="n"/>
      <c r="H34" s="109" t="n"/>
      <c r="I34" s="238" t="n">
        <v>5000</v>
      </c>
      <c r="J34" s="81" t="n"/>
      <c r="K34" s="81" t="n"/>
      <c r="L34" s="81" t="n"/>
    </row>
    <row r="35" ht="20.05" customHeight="1" s="215">
      <c r="A35" s="12" t="n"/>
      <c r="B35" s="165">
        <f t="array" ref="B35">$B36-1</f>
        <v/>
      </c>
      <c r="C35" s="110">
        <f t="array" ref="C35">I35</f>
        <v/>
      </c>
      <c r="D35" s="109" t="n"/>
      <c r="E35" s="109" t="n"/>
      <c r="F35" s="186" t="n"/>
      <c r="G35" s="186" t="n"/>
      <c r="H35" s="109" t="n"/>
      <c r="I35" s="238" t="n">
        <v>6000</v>
      </c>
      <c r="J35" s="81" t="n"/>
      <c r="K35" s="81" t="n"/>
      <c r="L35" s="81" t="n"/>
    </row>
    <row r="36" ht="20.05" customHeight="1" s="215">
      <c r="A36" s="12" t="n"/>
      <c r="B36" s="165">
        <f t="array" ref="B36">$B37-1</f>
        <v/>
      </c>
      <c r="C36" s="110">
        <f t="array" ref="C36">I36</f>
        <v/>
      </c>
      <c r="D36" s="109" t="n"/>
      <c r="E36" s="109" t="n"/>
      <c r="F36" s="186" t="n"/>
      <c r="G36" s="186" t="n"/>
      <c r="H36" s="109" t="n"/>
      <c r="I36" s="238" t="n">
        <v>5000</v>
      </c>
      <c r="J36" s="81" t="n"/>
      <c r="K36" s="81" t="n"/>
      <c r="L36" s="81" t="n"/>
    </row>
    <row r="37" ht="20.05" customHeight="1" s="215">
      <c r="A37" s="12" t="n"/>
      <c r="B37" s="165">
        <f t="array" ref="B37">$B38-1</f>
        <v/>
      </c>
      <c r="C37" s="110">
        <f t="array" ref="C37">I37</f>
        <v/>
      </c>
      <c r="D37" s="109" t="n"/>
      <c r="E37" s="109" t="n"/>
      <c r="F37" s="186" t="n"/>
      <c r="G37" s="186" t="n"/>
      <c r="H37" s="109" t="n"/>
      <c r="I37" s="238" t="n">
        <v>7000</v>
      </c>
      <c r="J37" s="81" t="n"/>
      <c r="K37" s="81" t="n"/>
      <c r="L37" s="81" t="n"/>
    </row>
    <row r="38" ht="20.05" customHeight="1" s="215">
      <c r="A38" s="12" t="n"/>
      <c r="B38" s="165">
        <f t="array" ref="B38">$B39-1</f>
        <v/>
      </c>
      <c r="C38" s="110">
        <f t="array" ref="C38">I38</f>
        <v/>
      </c>
      <c r="D38" s="109" t="n"/>
      <c r="E38" s="109" t="n"/>
      <c r="F38" s="186" t="n"/>
      <c r="G38" s="186" t="n"/>
      <c r="H38" s="109" t="n"/>
      <c r="I38" s="238" t="n">
        <v>7000</v>
      </c>
      <c r="J38" s="81" t="n"/>
      <c r="K38" s="81" t="n"/>
      <c r="L38" s="81" t="n"/>
    </row>
    <row r="39" ht="20.05" customHeight="1" s="215">
      <c r="A39" s="12" t="n"/>
      <c r="B39" s="165">
        <f t="array" ref="B39">$B40-1</f>
        <v/>
      </c>
      <c r="C39" s="110">
        <f t="array" ref="C39">I39</f>
        <v/>
      </c>
      <c r="D39" s="109" t="n"/>
      <c r="E39" s="109" t="n"/>
      <c r="F39" s="186" t="n"/>
      <c r="G39" s="186" t="n"/>
      <c r="H39" s="109" t="n"/>
      <c r="I39" s="238" t="n">
        <v>12000</v>
      </c>
      <c r="J39" s="81" t="n"/>
      <c r="K39" s="81" t="n"/>
      <c r="L39" s="81" t="n"/>
    </row>
    <row r="40" ht="20.05" customHeight="1" s="215">
      <c r="A40" s="12" t="n"/>
      <c r="B40" s="165">
        <f t="array" ref="B40">$B41-1</f>
        <v/>
      </c>
      <c r="C40" s="110">
        <f t="array" ref="C40">I40</f>
        <v/>
      </c>
      <c r="D40" s="109" t="n"/>
      <c r="E40" s="109" t="n"/>
      <c r="F40" s="186" t="n"/>
      <c r="G40" s="186" t="n"/>
      <c r="H40" s="109" t="n"/>
      <c r="I40" s="238" t="n">
        <v>15000</v>
      </c>
      <c r="J40" s="81" t="n"/>
      <c r="K40" s="81" t="n"/>
      <c r="L40" s="81" t="n"/>
    </row>
    <row r="41" ht="20.05" customHeight="1" s="215">
      <c r="A41" s="12" t="n"/>
      <c r="B41" s="165">
        <f t="array" ref="B41">$B42-1</f>
        <v/>
      </c>
      <c r="C41" s="110">
        <f t="array" ref="C41">I41</f>
        <v/>
      </c>
      <c r="D41" s="109" t="n"/>
      <c r="E41" s="109" t="n"/>
      <c r="F41" s="186" t="n"/>
      <c r="G41" s="186" t="n"/>
      <c r="H41" s="109" t="n"/>
      <c r="I41" s="238" t="n">
        <v>15000</v>
      </c>
      <c r="J41" s="81" t="n"/>
      <c r="K41" s="81" t="n"/>
      <c r="L41" s="81" t="n"/>
    </row>
    <row r="42" ht="20.05" customHeight="1" s="215">
      <c r="A42" s="12" t="n"/>
      <c r="B42" s="165">
        <f t="array" ref="B42">$B43-1</f>
        <v/>
      </c>
      <c r="C42" s="110">
        <f t="array" ref="C42">I42</f>
        <v/>
      </c>
      <c r="D42" s="109" t="n"/>
      <c r="E42" s="109" t="n"/>
      <c r="F42" s="186" t="n"/>
      <c r="G42" s="186" t="n"/>
      <c r="H42" s="109" t="n"/>
      <c r="I42" s="238" t="n">
        <v>15000</v>
      </c>
      <c r="J42" s="81" t="n"/>
      <c r="K42" s="81" t="n"/>
      <c r="L42" s="81" t="n"/>
    </row>
    <row r="43" ht="20.05" customHeight="1" s="215">
      <c r="A43" s="12" t="n"/>
      <c r="B43" s="165">
        <f t="array" ref="B43">$B44-1</f>
        <v/>
      </c>
      <c r="C43" s="110">
        <f t="array" ref="C43">I43</f>
        <v/>
      </c>
      <c r="D43" s="109" t="n"/>
      <c r="E43" s="109" t="n"/>
      <c r="F43" s="186" t="n"/>
      <c r="G43" s="186" t="n"/>
      <c r="H43" s="109" t="n"/>
      <c r="I43" s="238" t="n">
        <v>7000</v>
      </c>
      <c r="J43" s="81" t="n"/>
      <c r="K43" s="81" t="n"/>
      <c r="L43" s="81" t="n"/>
    </row>
    <row r="44" ht="20.05" customHeight="1" s="215">
      <c r="A44" s="12" t="n"/>
      <c r="B44" s="165">
        <f t="array" ref="B44">$B45-1</f>
        <v/>
      </c>
      <c r="C44" s="110">
        <f t="array" ref="C44">I44</f>
        <v/>
      </c>
      <c r="D44" s="109" t="n"/>
      <c r="E44" s="109" t="n"/>
      <c r="F44" s="186" t="n"/>
      <c r="G44" s="186" t="n"/>
      <c r="H44" s="109" t="n"/>
      <c r="I44" s="238" t="n">
        <v>9000</v>
      </c>
      <c r="J44" s="81" t="n"/>
      <c r="K44" s="81" t="n"/>
      <c r="L44" s="81" t="n"/>
    </row>
    <row r="45" ht="20.05" customHeight="1" s="215">
      <c r="A45" s="12" t="n"/>
      <c r="B45" s="165">
        <f t="array" ref="B45">$B46-1</f>
        <v/>
      </c>
      <c r="C45" s="110">
        <f t="array" ref="C45">I45</f>
        <v/>
      </c>
      <c r="D45" s="109" t="n"/>
      <c r="E45" s="109" t="n"/>
      <c r="F45" s="238" t="n">
        <v>15485</v>
      </c>
      <c r="G45" s="238" t="n">
        <v>19186</v>
      </c>
      <c r="H45" s="109" t="n"/>
      <c r="I45" s="110">
        <f t="array" ref="I45">G45+F45</f>
        <v/>
      </c>
      <c r="J45" s="81" t="n"/>
      <c r="K45" s="81" t="n"/>
      <c r="L45" s="81" t="n"/>
    </row>
    <row r="46" ht="20.05" customHeight="1" s="215">
      <c r="A46" s="12" t="n"/>
      <c r="B46" s="165">
        <f t="array" ref="B46">$B47-1</f>
        <v/>
      </c>
      <c r="C46" s="110">
        <f t="array" ref="C46">I46</f>
        <v/>
      </c>
      <c r="D46" s="109" t="n"/>
      <c r="E46" s="109" t="n"/>
      <c r="F46" s="238" t="n">
        <v>8112</v>
      </c>
      <c r="G46" s="238" t="n">
        <v>10646</v>
      </c>
      <c r="H46" s="109" t="n"/>
      <c r="I46" s="110">
        <f t="array" ref="I46">G46+F46</f>
        <v/>
      </c>
      <c r="J46" s="81" t="n"/>
      <c r="K46" s="81" t="n"/>
      <c r="L46" s="81" t="n"/>
    </row>
    <row r="47" ht="20.05" customHeight="1" s="215">
      <c r="A47" s="12" t="n"/>
      <c r="B47" s="165">
        <f t="array" ref="B47">$B48-1</f>
        <v/>
      </c>
      <c r="C47" s="110">
        <f t="array" ref="C47">I47</f>
        <v/>
      </c>
      <c r="D47" s="109" t="n"/>
      <c r="E47" s="109" t="n"/>
      <c r="F47" s="238" t="n">
        <v>8824</v>
      </c>
      <c r="G47" s="238" t="n">
        <v>10434</v>
      </c>
      <c r="H47" s="109" t="n"/>
      <c r="I47" s="110">
        <f t="array" ref="I47">G47+F47</f>
        <v/>
      </c>
      <c r="J47" s="81" t="n"/>
      <c r="K47" s="81" t="n"/>
      <c r="L47" s="81" t="n"/>
    </row>
    <row r="48" ht="20.05" customHeight="1" s="215">
      <c r="A48" s="12" t="n"/>
      <c r="B48" s="165">
        <f t="array" ref="B48">$B49-1</f>
        <v/>
      </c>
      <c r="C48" s="110">
        <f t="array" ref="C48">I48</f>
        <v/>
      </c>
      <c r="D48" s="109" t="n"/>
      <c r="E48" s="109" t="n"/>
      <c r="F48" s="238" t="n">
        <v>3976</v>
      </c>
      <c r="G48" s="238" t="n">
        <v>5138</v>
      </c>
      <c r="H48" s="109" t="n"/>
      <c r="I48" s="110">
        <f t="array" ref="I48">G48+F48</f>
        <v/>
      </c>
      <c r="J48" s="81" t="n"/>
      <c r="K48" s="81" t="n"/>
      <c r="L48" s="81" t="n"/>
    </row>
    <row r="49" ht="20.05" customHeight="1" s="215">
      <c r="A49" s="12" t="n"/>
      <c r="B49" s="165">
        <f t="array" ref="B49">$B50-1</f>
        <v/>
      </c>
      <c r="C49" s="110">
        <f t="array" ref="C49">I49</f>
        <v/>
      </c>
      <c r="D49" s="109" t="n"/>
      <c r="E49" s="109" t="n"/>
      <c r="F49" s="238" t="n">
        <v>12329</v>
      </c>
      <c r="G49" s="238" t="n">
        <v>16401</v>
      </c>
      <c r="H49" s="109" t="n"/>
      <c r="I49" s="110">
        <f t="array" ref="I49">G49+F49</f>
        <v/>
      </c>
      <c r="J49" s="81" t="n"/>
      <c r="K49" s="81" t="n"/>
      <c r="L49" s="81" t="n"/>
    </row>
    <row r="50" ht="20.05" customHeight="1" s="215">
      <c r="A50" s="12" t="n"/>
      <c r="B50" s="165">
        <f t="array" ref="B50">$B51-1</f>
        <v/>
      </c>
      <c r="C50" s="110">
        <f t="array" ref="C50">I50</f>
        <v/>
      </c>
      <c r="D50" s="109" t="n"/>
      <c r="E50" s="109" t="n"/>
      <c r="F50" s="238" t="n">
        <v>5697</v>
      </c>
      <c r="G50" s="238" t="n">
        <v>7097</v>
      </c>
      <c r="H50" s="109" t="n"/>
      <c r="I50" s="110">
        <f t="array" ref="I50">G50+F50</f>
        <v/>
      </c>
      <c r="J50" s="81" t="n"/>
      <c r="K50" s="81" t="n"/>
      <c r="L50" s="81" t="n"/>
    </row>
    <row r="51" ht="20.05" customHeight="1" s="215">
      <c r="A51" s="12" t="n"/>
      <c r="B51" s="165">
        <f t="array" ref="B51">$B52-1</f>
        <v/>
      </c>
      <c r="C51" s="110">
        <f t="array" ref="C51">I51</f>
        <v/>
      </c>
      <c r="D51" s="109" t="n"/>
      <c r="E51" s="109" t="n"/>
      <c r="F51" s="238" t="n">
        <v>13406</v>
      </c>
      <c r="G51" s="238" t="n">
        <v>15706</v>
      </c>
      <c r="H51" s="109" t="n"/>
      <c r="I51" s="110">
        <f t="array" ref="I51">G51+F51</f>
        <v/>
      </c>
      <c r="J51" s="81" t="n"/>
      <c r="K51" s="81" t="n"/>
      <c r="L51" s="81" t="n"/>
    </row>
    <row r="52" ht="20.05" customHeight="1" s="215">
      <c r="A52" s="12" t="n"/>
      <c r="B52" s="165">
        <f t="array" ref="B52">$B53-1</f>
        <v/>
      </c>
      <c r="C52" s="110">
        <f t="array" ref="C52">I52</f>
        <v/>
      </c>
      <c r="D52" s="109" t="n"/>
      <c r="E52" s="109" t="n"/>
      <c r="F52" s="238" t="n">
        <v>16884</v>
      </c>
      <c r="G52" s="238" t="n">
        <v>19353</v>
      </c>
      <c r="H52" s="109" t="n"/>
      <c r="I52" s="110">
        <f t="array" ref="I52">G52+F52</f>
        <v/>
      </c>
      <c r="J52" s="81" t="n"/>
      <c r="K52" s="81" t="n"/>
      <c r="L52" s="81" t="n"/>
    </row>
    <row r="53" ht="20.05" customHeight="1" s="215">
      <c r="A53" s="12" t="n"/>
      <c r="B53" s="165">
        <f t="array" ref="B53">$B54-1</f>
        <v/>
      </c>
      <c r="C53" s="110">
        <f t="array" ref="C53">I53</f>
        <v/>
      </c>
      <c r="D53" s="109" t="n"/>
      <c r="E53" s="109" t="n"/>
      <c r="F53" s="238" t="n">
        <v>20593</v>
      </c>
      <c r="G53" s="238" t="n">
        <v>22476</v>
      </c>
      <c r="H53" s="109" t="n"/>
      <c r="I53" s="110">
        <f t="array" ref="I53">G53+F53</f>
        <v/>
      </c>
      <c r="J53" s="81" t="n"/>
      <c r="K53" s="81" t="n"/>
      <c r="L53" s="81" t="n"/>
    </row>
    <row r="54" ht="20.05" customHeight="1" s="215">
      <c r="A54" s="12" t="n"/>
      <c r="B54" s="165">
        <f t="array" ref="B54">$B55-1</f>
        <v/>
      </c>
      <c r="C54" s="110">
        <f t="array" ref="C54">I54</f>
        <v/>
      </c>
      <c r="D54" s="109" t="n"/>
      <c r="E54" s="109" t="n"/>
      <c r="F54" s="238" t="n">
        <v>23372</v>
      </c>
      <c r="G54" s="238" t="n">
        <v>26076</v>
      </c>
      <c r="H54" s="109" t="n"/>
      <c r="I54" s="110">
        <f t="array" ref="I54">G54+F54</f>
        <v/>
      </c>
      <c r="J54" s="81" t="n"/>
      <c r="K54" s="81" t="n"/>
      <c r="L54" s="81" t="n"/>
    </row>
    <row r="55" ht="20.05" customHeight="1" s="215">
      <c r="A55" s="12" t="n"/>
      <c r="B55" s="165">
        <f t="array" ref="B55">$B56-1</f>
        <v/>
      </c>
      <c r="C55" s="110">
        <f t="array" ref="C55">I55</f>
        <v/>
      </c>
      <c r="D55" s="109" t="n"/>
      <c r="E55" s="109" t="n"/>
      <c r="F55" s="238" t="n">
        <v>33713</v>
      </c>
      <c r="G55" s="238" t="n">
        <v>37731</v>
      </c>
      <c r="H55" s="109" t="n"/>
      <c r="I55" s="110">
        <f t="array" ref="I55">G55+F55</f>
        <v/>
      </c>
      <c r="J55" s="81" t="n"/>
      <c r="K55" s="81" t="n"/>
      <c r="L55" s="81" t="n"/>
    </row>
    <row r="56" ht="20.05" customHeight="1" s="215">
      <c r="A56" s="12" t="n"/>
      <c r="B56" s="165">
        <f t="array" ref="B56">$B57-1</f>
        <v/>
      </c>
      <c r="C56" s="110">
        <f t="array" ref="C56">I56</f>
        <v/>
      </c>
      <c r="D56" s="109" t="n"/>
      <c r="E56" s="109" t="n"/>
      <c r="F56" s="238" t="n">
        <v>38951</v>
      </c>
      <c r="G56" s="238" t="n">
        <v>43736</v>
      </c>
      <c r="H56" s="109" t="n"/>
      <c r="I56" s="110">
        <f t="array" ref="I56">G56+F56</f>
        <v/>
      </c>
      <c r="J56" s="81" t="n"/>
      <c r="K56" s="81" t="n"/>
      <c r="L56" s="81" t="n"/>
    </row>
    <row r="57" ht="20.05" customHeight="1" s="215">
      <c r="A57" s="12" t="n"/>
      <c r="B57" s="165">
        <f t="array" ref="B57">$B58-1</f>
        <v/>
      </c>
      <c r="C57" s="110">
        <f t="array" ref="C57">I57</f>
        <v/>
      </c>
      <c r="D57" s="109" t="n"/>
      <c r="E57" s="109" t="n"/>
      <c r="F57" s="238" t="n">
        <v>28673</v>
      </c>
      <c r="G57" s="238" t="n">
        <v>31158</v>
      </c>
      <c r="H57" s="109" t="n"/>
      <c r="I57" s="110">
        <f t="array" ref="I57">G57+F57</f>
        <v/>
      </c>
      <c r="J57" s="81" t="n"/>
      <c r="K57" s="81" t="n"/>
      <c r="L57" s="81" t="n"/>
    </row>
    <row r="58" ht="20.05" customHeight="1" s="215">
      <c r="A58" s="12" t="n"/>
      <c r="B58" s="165">
        <f t="array" ref="B58">$B59-1</f>
        <v/>
      </c>
      <c r="C58" s="110">
        <f t="array" ref="C58">I58</f>
        <v/>
      </c>
      <c r="D58" s="109" t="n"/>
      <c r="E58" s="109" t="n"/>
      <c r="F58" s="238" t="n">
        <v>28334</v>
      </c>
      <c r="G58" s="238" t="n">
        <v>30839</v>
      </c>
      <c r="H58" s="109" t="n"/>
      <c r="I58" s="110">
        <f t="array" ref="I58">G58+F58</f>
        <v/>
      </c>
      <c r="J58" s="81" t="n"/>
      <c r="K58" s="81" t="n"/>
      <c r="L58" s="81" t="n"/>
    </row>
    <row r="59" ht="20.05" customHeight="1" s="215">
      <c r="A59" s="12" t="n"/>
      <c r="B59" s="165">
        <f t="array" ref="B59">$B60-1</f>
        <v/>
      </c>
      <c r="C59" s="110">
        <f t="array" ref="C59">I59</f>
        <v/>
      </c>
      <c r="D59" s="109" t="n"/>
      <c r="E59" s="109" t="n"/>
      <c r="F59" s="238" t="n">
        <v>29239</v>
      </c>
      <c r="G59" s="238" t="n">
        <v>32854</v>
      </c>
      <c r="H59" s="109" t="n"/>
      <c r="I59" s="110">
        <f t="array" ref="I59">G59+F59</f>
        <v/>
      </c>
      <c r="J59" s="81" t="n"/>
      <c r="K59" s="81" t="n"/>
      <c r="L59" s="81" t="n"/>
    </row>
    <row r="60" ht="20.05" customHeight="1" s="215">
      <c r="A60" s="12" t="n"/>
      <c r="B60" s="165">
        <f t="array" ref="B60">$B61-1</f>
        <v/>
      </c>
      <c r="C60" s="110">
        <f t="array" ref="C60">I60</f>
        <v/>
      </c>
      <c r="D60" s="109" t="n"/>
      <c r="E60" s="109" t="n"/>
      <c r="F60" s="238" t="n">
        <v>24233</v>
      </c>
      <c r="G60" s="238" t="n">
        <v>25735</v>
      </c>
      <c r="H60" s="109" t="n"/>
      <c r="I60" s="110">
        <f t="array" ref="I60">G60+F60</f>
        <v/>
      </c>
      <c r="J60" s="81" t="n"/>
      <c r="K60" s="81" t="n"/>
      <c r="L60" s="81" t="n"/>
    </row>
    <row r="61" ht="20.05" customHeight="1" s="215">
      <c r="A61" s="12" t="n"/>
      <c r="B61" s="165">
        <f t="array" ref="B61">$B62-1</f>
        <v/>
      </c>
      <c r="C61" s="110">
        <f t="array" ref="C61">I61</f>
        <v/>
      </c>
      <c r="D61" s="109" t="n"/>
      <c r="E61" s="109" t="n"/>
      <c r="F61" s="238" t="n">
        <v>23291</v>
      </c>
      <c r="G61" s="238" t="n">
        <v>23376</v>
      </c>
      <c r="H61" s="109" t="n"/>
      <c r="I61" s="110">
        <f t="array" ref="I61">G61+F61</f>
        <v/>
      </c>
      <c r="J61" s="81" t="n"/>
      <c r="K61" s="81" t="n"/>
      <c r="L61" s="81" t="n"/>
    </row>
    <row r="62" ht="20.05" customHeight="1" s="215">
      <c r="A62" s="12" t="n"/>
      <c r="B62" s="165">
        <f t="array" ref="B62">$B63-1</f>
        <v/>
      </c>
      <c r="C62" s="110">
        <f t="array" ref="C62">I62</f>
        <v/>
      </c>
      <c r="D62" s="109" t="n"/>
      <c r="E62" s="109" t="n"/>
      <c r="F62" s="238" t="n">
        <v>23050</v>
      </c>
      <c r="G62" s="238" t="n">
        <v>22271</v>
      </c>
      <c r="H62" s="109" t="n"/>
      <c r="I62" s="110">
        <f t="array" ref="I62">G62+F62</f>
        <v/>
      </c>
      <c r="J62" s="81" t="n"/>
      <c r="K62" s="81" t="n"/>
      <c r="L62" s="81" t="n"/>
    </row>
    <row r="63" ht="20.05" customHeight="1" s="215">
      <c r="A63" s="12" t="n"/>
      <c r="B63" s="165">
        <f t="array" ref="B63">$B64-1</f>
        <v/>
      </c>
      <c r="C63" s="110">
        <f t="array" ref="C63">I63</f>
        <v/>
      </c>
      <c r="D63" s="109" t="n"/>
      <c r="E63" s="109" t="n"/>
      <c r="F63" s="238" t="n">
        <v>14921</v>
      </c>
      <c r="G63" s="238" t="n">
        <v>13878</v>
      </c>
      <c r="H63" s="109" t="n"/>
      <c r="I63" s="110">
        <f t="array" ref="I63">G63+F63</f>
        <v/>
      </c>
      <c r="J63" s="81" t="n"/>
      <c r="K63" s="81" t="n"/>
      <c r="L63" s="81" t="n"/>
    </row>
    <row r="64" ht="20.05" customHeight="1" s="215">
      <c r="A64" s="12" t="n"/>
      <c r="B64" s="165">
        <f t="array" ref="B64">$B65-1</f>
        <v/>
      </c>
      <c r="C64" s="110">
        <f t="array" ref="C64">I64</f>
        <v/>
      </c>
      <c r="D64" s="109" t="n"/>
      <c r="E64" s="109" t="n"/>
      <c r="F64" s="238" t="n">
        <v>13864</v>
      </c>
      <c r="G64" s="238" t="n">
        <v>12309</v>
      </c>
      <c r="H64" s="109" t="n"/>
      <c r="I64" s="110">
        <f t="array" ref="I64">G64+F64</f>
        <v/>
      </c>
      <c r="J64" s="81" t="n"/>
      <c r="K64" s="81" t="n"/>
      <c r="L64" s="81" t="n"/>
    </row>
    <row r="65" ht="20.05" customHeight="1" s="215">
      <c r="A65" s="12" t="n"/>
      <c r="B65" s="165">
        <f t="array" ref="B65">$B66-1</f>
        <v/>
      </c>
      <c r="C65" s="110">
        <f t="array" ref="C65">I65</f>
        <v/>
      </c>
      <c r="D65" s="109" t="n"/>
      <c r="E65" s="109" t="n"/>
      <c r="F65" s="238" t="n">
        <v>15759</v>
      </c>
      <c r="G65" s="238" t="n">
        <v>12729</v>
      </c>
      <c r="H65" s="109" t="n"/>
      <c r="I65" s="110">
        <f t="array" ref="I65">G65+F65</f>
        <v/>
      </c>
      <c r="J65" s="81" t="n"/>
      <c r="K65" s="81" t="n"/>
      <c r="L65" s="81" t="n"/>
    </row>
    <row r="66" ht="20.05" customHeight="1" s="215">
      <c r="A66" s="12" t="n"/>
      <c r="B66" s="165">
        <f t="array" ref="B66">$B67-1</f>
        <v/>
      </c>
      <c r="C66" s="110">
        <f t="array" ref="C66">I66</f>
        <v/>
      </c>
      <c r="D66" s="109" t="n"/>
      <c r="E66" s="109" t="n"/>
      <c r="F66" s="238" t="n">
        <v>15848</v>
      </c>
      <c r="G66" s="238" t="n">
        <v>13241</v>
      </c>
      <c r="H66" s="109" t="n"/>
      <c r="I66" s="110">
        <f t="array" ref="I66">G66+F66</f>
        <v/>
      </c>
      <c r="J66" s="81" t="n"/>
      <c r="K66" s="81" t="n"/>
      <c r="L66" s="81" t="n"/>
    </row>
    <row r="67" ht="20.05" customHeight="1" s="215">
      <c r="A67" s="12" t="n"/>
      <c r="B67" s="165">
        <f t="array" ref="B67">$B68-1</f>
        <v/>
      </c>
      <c r="C67" s="110">
        <f t="array" ref="C67">I67</f>
        <v/>
      </c>
      <c r="D67" s="109" t="n"/>
      <c r="E67" s="109" t="n"/>
      <c r="F67" s="238" t="n">
        <v>16679</v>
      </c>
      <c r="G67" s="238" t="n">
        <v>13974</v>
      </c>
      <c r="H67" s="109" t="n"/>
      <c r="I67" s="110">
        <f t="array" ref="I67">G67+F67</f>
        <v/>
      </c>
      <c r="J67" s="81" t="n"/>
      <c r="K67" s="81" t="n"/>
      <c r="L67" s="81" t="n"/>
    </row>
    <row r="68" ht="20.05" customHeight="1" s="215">
      <c r="A68" s="12" t="n"/>
      <c r="B68" s="165">
        <f t="array" ref="B68">$B69-1</f>
        <v/>
      </c>
      <c r="C68" s="110">
        <f t="array" ref="C68">I68</f>
        <v/>
      </c>
      <c r="D68" s="109" t="n"/>
      <c r="E68" s="109" t="n"/>
      <c r="F68" s="238" t="n">
        <v>15317</v>
      </c>
      <c r="G68" s="238" t="n">
        <v>12912</v>
      </c>
      <c r="H68" s="109" t="n"/>
      <c r="I68" s="110">
        <f t="array" ref="I68">G68+F68</f>
        <v/>
      </c>
      <c r="J68" s="81" t="n"/>
      <c r="K68" s="81" t="n"/>
      <c r="L68" s="81" t="n"/>
    </row>
    <row r="69" ht="20.05" customHeight="1" s="215">
      <c r="A69" s="12" t="n"/>
      <c r="B69" s="165">
        <f t="array" ref="B69">$B70-1</f>
        <v/>
      </c>
      <c r="C69" s="110">
        <f t="array" ref="C69">I69</f>
        <v/>
      </c>
      <c r="D69" s="109" t="n"/>
      <c r="E69" s="109" t="n"/>
      <c r="F69" s="238" t="n">
        <v>16765</v>
      </c>
      <c r="G69" s="238" t="n">
        <v>12989</v>
      </c>
      <c r="H69" s="109" t="n"/>
      <c r="I69" s="110">
        <f t="array" ref="I69">G69+F69</f>
        <v/>
      </c>
      <c r="J69" s="81" t="n"/>
      <c r="K69" s="81" t="n"/>
      <c r="L69" s="81" t="n"/>
    </row>
    <row r="70" ht="20.05" customHeight="1" s="215">
      <c r="A70" s="12" t="n"/>
      <c r="B70" s="165">
        <f t="array" ref="B70">$B71-1</f>
        <v/>
      </c>
      <c r="C70" s="110">
        <f t="array" ref="C70">I70</f>
        <v/>
      </c>
      <c r="D70" s="109" t="n"/>
      <c r="E70" s="109" t="n"/>
      <c r="F70" s="238" t="n">
        <v>15006</v>
      </c>
      <c r="G70" s="238" t="n">
        <v>11269</v>
      </c>
      <c r="H70" s="109" t="n"/>
      <c r="I70" s="110">
        <f t="array" ref="I70">G70+F70</f>
        <v/>
      </c>
      <c r="J70" s="81" t="n"/>
      <c r="K70" s="81" t="n"/>
      <c r="L70" s="81" t="n"/>
    </row>
    <row r="71" ht="20.05" customHeight="1" s="215">
      <c r="A71" s="12" t="n"/>
      <c r="B71" s="165">
        <f t="array" ref="B71">$B72-1</f>
        <v/>
      </c>
      <c r="C71" s="110">
        <f t="array" ref="C71">I71</f>
        <v/>
      </c>
      <c r="D71" s="109" t="n"/>
      <c r="E71" s="109" t="n"/>
      <c r="F71" s="238" t="n">
        <v>16390</v>
      </c>
      <c r="G71" s="238" t="n">
        <v>12222</v>
      </c>
      <c r="H71" s="109" t="n"/>
      <c r="I71" s="110">
        <f t="array" ref="I71">G71+F71</f>
        <v/>
      </c>
      <c r="J71" s="81" t="n"/>
      <c r="K71" s="81" t="n"/>
      <c r="L71" s="81" t="n"/>
    </row>
    <row r="72" ht="20.35" customHeight="1" s="215">
      <c r="A72" s="12" t="n"/>
      <c r="B72" s="165">
        <f t="array" ref="B72">$B73-1</f>
        <v/>
      </c>
      <c r="C72" s="110">
        <f t="array" ref="C72">I72</f>
        <v/>
      </c>
      <c r="D72" s="187" t="n"/>
      <c r="E72" s="187" t="n"/>
      <c r="F72" s="238" t="n">
        <v>17582</v>
      </c>
      <c r="G72" s="238" t="n">
        <v>13373</v>
      </c>
      <c r="H72" s="109" t="n"/>
      <c r="I72" s="110">
        <f t="array" ref="I72">G72+F72</f>
        <v/>
      </c>
      <c r="J72" s="141" t="n"/>
      <c r="K72" s="141" t="n"/>
      <c r="L72" s="81" t="n"/>
    </row>
    <row r="73" ht="20.7" customHeight="1" s="215">
      <c r="A73" s="12" t="n"/>
      <c r="B73" s="165">
        <f t="array" ref="B73">$B74-1</f>
        <v/>
      </c>
      <c r="C73" s="110">
        <f t="array" ref="C73">I73</f>
        <v/>
      </c>
      <c r="D73" s="188" t="n"/>
      <c r="E73" s="189" t="n"/>
      <c r="F73" s="239" t="n">
        <v>13766</v>
      </c>
      <c r="G73" s="238" t="n">
        <v>12116</v>
      </c>
      <c r="H73" s="109" t="n"/>
      <c r="I73" s="110">
        <f t="array" ref="I73">G73+F73</f>
        <v/>
      </c>
      <c r="J73" s="188" t="n"/>
      <c r="K73" s="189" t="n"/>
      <c r="L73" s="169" t="n"/>
    </row>
    <row r="74" ht="20.7" customHeight="1" s="215">
      <c r="A74" s="12" t="n"/>
      <c r="B74" s="165">
        <f t="array" ref="B74">$B75-1</f>
        <v/>
      </c>
      <c r="C74" s="110">
        <f t="array" ref="C74">I74</f>
        <v/>
      </c>
      <c r="D74" s="188" t="n"/>
      <c r="E74" s="189" t="n"/>
      <c r="F74" s="239" t="n">
        <v>17812</v>
      </c>
      <c r="G74" s="238" t="n">
        <v>14863</v>
      </c>
      <c r="H74" s="109" t="n"/>
      <c r="I74" s="110">
        <f t="array" ref="I74">G74+F74</f>
        <v/>
      </c>
      <c r="J74" s="188" t="n"/>
      <c r="K74" s="189" t="n"/>
      <c r="L74" s="169" t="n"/>
    </row>
    <row r="75" ht="20.7" customHeight="1" s="215">
      <c r="A75" s="12" t="n"/>
      <c r="B75" s="165">
        <f t="array" ref="B75">$B76-1</f>
        <v/>
      </c>
      <c r="C75" s="110">
        <f t="array" ref="C75">I75</f>
        <v/>
      </c>
      <c r="D75" s="188" t="n"/>
      <c r="E75" s="189" t="n"/>
      <c r="F75" s="239" t="n">
        <v>15149</v>
      </c>
      <c r="G75" s="238" t="n">
        <v>12728</v>
      </c>
      <c r="H75" s="109" t="n"/>
      <c r="I75" s="110">
        <f t="array" ref="I75">G75+F75</f>
        <v/>
      </c>
      <c r="J75" s="188" t="n"/>
      <c r="K75" s="189" t="n"/>
      <c r="L75" s="169" t="n"/>
    </row>
    <row r="76" ht="20.7" customHeight="1" s="215">
      <c r="A76" s="12" t="n"/>
      <c r="B76" s="165">
        <f t="array" ref="B76">$B77-1</f>
        <v/>
      </c>
      <c r="C76" s="110">
        <f t="array" ref="C76">I76</f>
        <v/>
      </c>
      <c r="D76" s="188" t="n"/>
      <c r="E76" s="189" t="n"/>
      <c r="F76" s="239" t="n">
        <v>15628</v>
      </c>
      <c r="G76" s="238" t="n">
        <v>12906</v>
      </c>
      <c r="H76" s="109" t="n"/>
      <c r="I76" s="110">
        <f t="array" ref="I76">G76+F76</f>
        <v/>
      </c>
      <c r="J76" s="188" t="n"/>
      <c r="K76" s="189" t="n"/>
      <c r="L76" s="169" t="n"/>
    </row>
    <row r="77" ht="20.7" customHeight="1" s="215">
      <c r="A77" s="12" t="n"/>
      <c r="B77" s="165">
        <f t="array" ref="B77">$B78-1</f>
        <v/>
      </c>
      <c r="C77" s="110">
        <f t="array" ref="C77">I77</f>
        <v/>
      </c>
      <c r="D77" s="188" t="n"/>
      <c r="E77" s="189" t="n"/>
      <c r="F77" s="239" t="n">
        <v>15159</v>
      </c>
      <c r="G77" s="238" t="n">
        <v>12504</v>
      </c>
      <c r="H77" s="109" t="n"/>
      <c r="I77" s="110">
        <f t="array" ref="I77">G77+F77</f>
        <v/>
      </c>
      <c r="J77" s="188" t="n"/>
      <c r="K77" s="189" t="n"/>
      <c r="L77" s="169" t="n"/>
    </row>
    <row r="78" ht="20.7" customHeight="1" s="215">
      <c r="A78" s="12" t="n"/>
      <c r="B78" s="165">
        <f t="array" ref="B78">$B79-1</f>
        <v/>
      </c>
      <c r="C78" s="110">
        <f t="array" ref="C78">I78</f>
        <v/>
      </c>
      <c r="D78" s="188" t="n"/>
      <c r="E78" s="189" t="n"/>
      <c r="F78" s="239" t="n">
        <v>14941</v>
      </c>
      <c r="G78" s="238" t="n">
        <v>12911</v>
      </c>
      <c r="H78" s="109" t="n"/>
      <c r="I78" s="110">
        <f t="array" ref="I78">G78+F78</f>
        <v/>
      </c>
      <c r="J78" s="188" t="n"/>
      <c r="K78" s="189" t="n"/>
      <c r="L78" s="169" t="n"/>
    </row>
    <row r="79" ht="20.7" customHeight="1" s="215">
      <c r="A79" s="12" t="n"/>
      <c r="B79" s="165">
        <f t="array" ref="B79">$B80-1</f>
        <v/>
      </c>
      <c r="C79" s="110">
        <f t="array" ref="C79">I79</f>
        <v/>
      </c>
      <c r="D79" s="188" t="n"/>
      <c r="E79" s="189" t="n"/>
      <c r="F79" s="239" t="n">
        <v>17915</v>
      </c>
      <c r="G79" s="238" t="n">
        <v>16276</v>
      </c>
      <c r="H79" s="109" t="n"/>
      <c r="I79" s="110">
        <f t="array" ref="I79">G79+F79</f>
        <v/>
      </c>
      <c r="J79" s="188" t="n"/>
      <c r="K79" s="189" t="n"/>
      <c r="L79" s="169" t="n"/>
    </row>
    <row r="80" ht="20.7" customHeight="1" s="215">
      <c r="A80" s="12" t="n"/>
      <c r="B80" s="165">
        <f t="array" ref="B80">$B81-1</f>
        <v/>
      </c>
      <c r="C80" s="110">
        <f t="array" ref="C80">I80</f>
        <v/>
      </c>
      <c r="D80" s="188" t="n"/>
      <c r="E80" s="189" t="n"/>
      <c r="F80" s="239" t="n">
        <v>27364</v>
      </c>
      <c r="G80" s="238" t="n">
        <v>28579</v>
      </c>
      <c r="H80" s="109" t="n"/>
      <c r="I80" s="110">
        <f t="array" ref="I80">G80+F80</f>
        <v/>
      </c>
      <c r="J80" s="188" t="n"/>
      <c r="K80" s="189" t="n"/>
      <c r="L80" s="169" t="n"/>
    </row>
    <row r="81" ht="20.7" customHeight="1" s="215">
      <c r="A81" s="12" t="n"/>
      <c r="B81" s="165">
        <f t="array" ref="B81">$B82-1</f>
        <v/>
      </c>
      <c r="C81" s="110">
        <f t="array" ref="C81">I81</f>
        <v/>
      </c>
      <c r="D81" s="188" t="n"/>
      <c r="E81" s="189" t="n"/>
      <c r="F81" s="239" t="n">
        <v>29400</v>
      </c>
      <c r="G81" s="238" t="n">
        <v>33559</v>
      </c>
      <c r="H81" s="109" t="n"/>
      <c r="I81" s="110">
        <f t="array" ref="I81">G81+F81</f>
        <v/>
      </c>
      <c r="J81" s="188" t="n"/>
      <c r="K81" s="189" t="n"/>
      <c r="L81" s="169" t="n"/>
    </row>
    <row r="82" ht="20.7" customHeight="1" s="215">
      <c r="A82" s="12" t="n"/>
      <c r="B82" s="165">
        <f t="array" ref="B82">$B83-1</f>
        <v/>
      </c>
      <c r="C82" s="110">
        <f t="array" ref="C82">I82</f>
        <v/>
      </c>
      <c r="D82" s="188" t="n"/>
      <c r="E82" s="189" t="n"/>
      <c r="F82" s="239" t="n">
        <v>28443</v>
      </c>
      <c r="G82" s="238" t="n">
        <v>25235</v>
      </c>
      <c r="H82" s="109" t="n"/>
      <c r="I82" s="110">
        <f t="array" ref="I82">G82+F82</f>
        <v/>
      </c>
      <c r="J82" s="188" t="n"/>
      <c r="K82" s="189" t="n"/>
      <c r="L82" s="169" t="n"/>
    </row>
    <row r="83" ht="20.7" customHeight="1" s="215">
      <c r="A83" s="12" t="n"/>
      <c r="B83" s="165">
        <f t="array" ref="B83">$B84-1</f>
        <v/>
      </c>
      <c r="C83" s="110">
        <f t="array" ref="C83">I83</f>
        <v/>
      </c>
      <c r="D83" s="188" t="n"/>
      <c r="E83" s="189" t="n"/>
      <c r="F83" s="239" t="n">
        <v>30382</v>
      </c>
      <c r="G83" s="238" t="n">
        <v>26519</v>
      </c>
      <c r="H83" s="109" t="n"/>
      <c r="I83" s="110">
        <f t="array" ref="I83">G83+F83</f>
        <v/>
      </c>
      <c r="J83" s="188" t="n"/>
      <c r="K83" s="189" t="n"/>
      <c r="L83" s="169" t="n"/>
    </row>
    <row r="84" ht="20.35" customHeight="1" s="215">
      <c r="A84" s="12" t="n"/>
      <c r="B84" s="165">
        <f t="array" ref="B84">$C$7</f>
        <v/>
      </c>
      <c r="C84" s="110">
        <f t="array" ref="C84">I84</f>
        <v/>
      </c>
      <c r="D84" s="191" t="n"/>
      <c r="E84" s="192" t="n"/>
      <c r="F84" s="238" t="n">
        <v>30714</v>
      </c>
      <c r="G84" s="238" t="n">
        <v>28285</v>
      </c>
      <c r="H84" s="109" t="n"/>
      <c r="I84" s="110">
        <f t="array" ref="I84">G84+F84</f>
        <v/>
      </c>
      <c r="J84" s="193" t="n"/>
      <c r="K84" s="194" t="n"/>
      <c r="L84" s="169" t="n"/>
    </row>
    <row r="85" ht="20.05" customHeight="1" s="215">
      <c r="A85" s="23" t="n"/>
      <c r="B85" s="24" t="n"/>
      <c r="C85" s="154">
        <f t="array" ref="C85">SUM(C9:C84)</f>
        <v/>
      </c>
      <c r="D85" s="26" t="n"/>
      <c r="E85" s="26" t="n"/>
      <c r="F85" s="154">
        <f t="array" ref="F85">SUM(F9:F84)</f>
        <v/>
      </c>
      <c r="G85" s="154">
        <f t="array" ref="G85">SUM(G9:G84)</f>
        <v/>
      </c>
      <c r="H85" s="26" t="n"/>
      <c r="I85" s="154">
        <f t="array" ref="I85">SUM(I9:I84)</f>
        <v/>
      </c>
      <c r="J85" s="17" t="n"/>
      <c r="K85" s="17" t="n"/>
      <c r="L85" s="17" t="n"/>
    </row>
    <row r="86" ht="20.05" customHeight="1" s="215">
      <c r="A86" s="3" t="n"/>
      <c r="B86" s="28" t="n"/>
      <c r="C86" s="17" t="n"/>
      <c r="D86" s="17" t="n"/>
      <c r="E86" s="17" t="n"/>
      <c r="F86" s="17" t="n"/>
      <c r="G86" s="17" t="n"/>
      <c r="H86" s="17" t="n"/>
      <c r="I86" s="17" t="n"/>
      <c r="J86" s="17" t="n"/>
      <c r="K86" s="17" t="n"/>
      <c r="L86" s="17" t="n"/>
    </row>
    <row r="87" ht="20.05" customHeight="1" s="215">
      <c r="A87" s="37" t="n"/>
      <c r="B87" s="34" t="inlineStr">
        <is>
          <t>Source of the data (verbal)</t>
        </is>
      </c>
      <c r="C87" s="58">
        <f t="array" ref="C87">IF(C88="","?",C88)&amp;IF(C89="","","; downloaded "&amp;C89)&amp;IF(C90="","","; "&amp;C90)</f>
        <v/>
      </c>
      <c r="D87" s="218" t="n"/>
      <c r="E87" s="218" t="n"/>
      <c r="F87" s="218" t="n"/>
      <c r="G87" s="218" t="n"/>
      <c r="H87" s="218" t="n"/>
      <c r="I87" s="218" t="n"/>
      <c r="J87" s="218" t="n"/>
      <c r="K87" s="218" t="n"/>
      <c r="L87" s="17" t="n"/>
    </row>
    <row r="88" ht="20.05" customHeight="1" s="215">
      <c r="A88" s="23" t="n"/>
      <c r="B88" s="34" t="inlineStr">
        <is>
          <t>URLs, where the data was found</t>
        </is>
      </c>
      <c r="C88" s="59" t="inlineStr">
        <is>
          <t>https://opendata.cbs.nl/ODataApi/odata/37199NED/TypedDataSet (1985-2024 mit Sex-Split + Optie/Verlening-Aufschlüsselung); https://opendata.cbs.nl/ODataApi/odata/85524NED/TypedDataSet (1946-1984 Total)</t>
        </is>
      </c>
      <c r="D88" s="218" t="n"/>
      <c r="E88" s="218" t="n"/>
      <c r="F88" s="218" t="n"/>
      <c r="G88" s="218" t="n"/>
      <c r="H88" s="218" t="n"/>
      <c r="I88" s="218" t="n"/>
      <c r="J88" s="218" t="n"/>
      <c r="K88" s="218" t="n"/>
      <c r="L88" s="17" t="n"/>
    </row>
    <row r="89" ht="20.05" customHeight="1" s="215">
      <c r="A89" s="37" t="n"/>
      <c r="B89" s="47" t="inlineStr">
        <is>
          <t>Date, when the data was downloaded</t>
        </is>
      </c>
      <c r="C89" s="59" t="inlineStr">
        <is>
          <t>2026-05-26</t>
        </is>
      </c>
      <c r="D89" s="218" t="n"/>
      <c r="E89" s="218" t="n"/>
      <c r="F89" s="218" t="n"/>
      <c r="G89" s="218" t="n"/>
      <c r="H89" s="218" t="n"/>
      <c r="I89" s="218" t="n"/>
      <c r="J89" s="218" t="n"/>
      <c r="K89" s="218" t="n"/>
      <c r="L89" s="17" t="n"/>
    </row>
    <row r="90" ht="20.05" customHeight="1" s="215">
      <c r="A90" s="12" t="n"/>
      <c r="B90" s="13" t="inlineStr">
        <is>
          <t>Manual remarks (not for AI!)</t>
        </is>
      </c>
      <c r="C90" s="155" t="n"/>
      <c r="D90" s="219" t="n"/>
      <c r="E90" s="219" t="n"/>
      <c r="F90" s="219" t="n"/>
      <c r="G90" s="219" t="n"/>
      <c r="H90" s="219" t="n"/>
      <c r="I90" s="219" t="n"/>
      <c r="J90" s="219" t="n"/>
      <c r="K90" s="219" t="n"/>
      <c r="L90" s="17" t="n"/>
    </row>
    <row r="91" ht="20.05" customHeight="1" s="215">
      <c r="A91" s="12" t="n"/>
      <c r="B91" s="13" t="inlineStr">
        <is>
          <t>Remarks of the AI (e.g. calculation)</t>
        </is>
      </c>
      <c r="C91" s="158" t="inlineStr">
        <is>
          <t>Naturalisationen 1949-2024 aus zwei CBS-Tabellen (CLAUDE.md-V1-Pflicht historische Reihen, nicht V1.x). 1985-2024: CBS 37199NED 'Nationaliteitswijziging' mit Geschlechts-Split und Aufschlüsselung TotaalVerkrijgingNederlanderschap_1 (= Naturalisatie/Verlening + Optie + Medenaturalisation + Adoption + Erkenning). Ersetzt Eurostat migr_acq als Primärquelle (Eurostat-Werte = direkte CBS-Übermittlung dieser Tabelle; nationale Quelle gemäß CLAUDE.md Vorrang). Optie-vs-Naturalisatie-Trennung direkt verfügbar: 2024 Total 58.999 = Verlening 52.056 + Optie 6.567 + Medenaturalisation + Adoption + Erkenning. Beide rein-resident → keine Filterung nötig. 1949-1984: CBS 85524NED 'Bevolking, huishoudens en bevolkingsontwikkeling; vanaf 1899' Topic 'Naturalisatie_206' (in Tausend, klassische Naturalisatie ohne Optie). Lücken-Konvention I-Spalte (Total only, kein Sex-Split publiziert für diesen Zeitraum, AT-V3-Präzedenz). Originalformel I=F+G mit Total überschrieben. **Methodenbruch 1976/1977 (resident-only-Filter)**: 1946-1976 schließt 85524NED-Naturalisatie-Reihe Auslands-Einbürgerungen mit ein (Personen außerhalb NL die durch Naturalisationsverfahren NL-Bürger wurden — analog AT-§58c-Effekt). Ab 1977 resident-only-Filter durch RWN-Verschärfung. Pre-1977-Werte daher leicht überzeichnet (Größenordnung ~10-20% zusätzlich, schwankend). 1985-2024-Reihe (37199NED) ist definitionsgemäß resident-only. **Methodenbrüche RWN**: 1985 (neues StAng-Gesetz, ablöste Wet op het Nederlanderschap 1892), 2003-04-01 (strengere Inburgering-Anforderungen, Sprung-erwartet), 2010, 2017 (Inburgering-Plicht erweitert). Historische Reihen (1949-1994) liegen außerhalb des 10-J-Ø-Kipppunkt-Fensters 2015-2024 — sie beeinflussen die overview-Berechnung nicht. CLAUDE.md-V1-Pflicht zur publizistischen Tiefe und Cross-Country-Konsistenz.</t>
        </is>
      </c>
      <c r="D91" s="217" t="n"/>
      <c r="E91" s="217" t="n"/>
      <c r="F91" s="217" t="n"/>
      <c r="G91" s="217" t="n"/>
      <c r="H91" s="217" t="n"/>
      <c r="I91" s="217" t="n"/>
      <c r="J91" s="217" t="n"/>
      <c r="K91" s="217" t="n"/>
      <c r="L91" s="17" t="n"/>
    </row>
    <row r="92" ht="20.05" customHeight="1" s="215">
      <c r="A92" s="12" t="n"/>
      <c r="B92" s="13" t="inlineStr">
        <is>
          <t>Internal remarks</t>
        </is>
      </c>
      <c r="C92" s="57" t="n"/>
      <c r="D92" s="218" t="n"/>
      <c r="E92" s="218" t="n"/>
      <c r="F92" s="218" t="n"/>
      <c r="G92" s="218" t="n"/>
      <c r="H92" s="218" t="n"/>
      <c r="I92" s="218" t="n"/>
      <c r="J92" s="218" t="n"/>
      <c r="K92" s="218" t="n"/>
      <c r="L92" s="17" t="n"/>
    </row>
    <row r="93" ht="20.05" customHeight="1" s="215">
      <c r="A93" s="23" t="n"/>
      <c r="B93" s="24" t="n"/>
      <c r="C93" s="81" t="n"/>
      <c r="D93" s="81" t="n"/>
      <c r="E93" s="81" t="n"/>
      <c r="F93" s="81" t="n"/>
      <c r="G93" s="81" t="n"/>
      <c r="H93" s="81" t="n"/>
      <c r="I93" s="81" t="n"/>
      <c r="J93" s="81" t="n"/>
      <c r="K93" s="81" t="n"/>
      <c r="L93" s="81" t="n"/>
    </row>
    <row r="94" ht="26.85" customHeight="1" s="215">
      <c r="A94" s="159" t="n"/>
      <c r="B94" s="160" t="inlineStr">
        <is>
          <t>Expatriation</t>
        </is>
      </c>
      <c r="C94" s="195" t="inlineStr">
        <is>
          <t>Fill in the numbers of people being expatriated in the specified year. This is not relevant for the calculation of version 1 but it is important for future versions.</t>
        </is>
      </c>
      <c r="D94" s="219" t="n"/>
      <c r="E94" s="219" t="n"/>
      <c r="F94" s="219" t="n"/>
      <c r="G94" s="219" t="n"/>
      <c r="H94" s="219" t="n"/>
      <c r="I94" s="219" t="n"/>
      <c r="J94" s="219" t="n"/>
      <c r="K94" s="219" t="n"/>
      <c r="L94" s="33" t="n"/>
    </row>
    <row r="95" ht="20.05" customHeight="1" s="215">
      <c r="A95" s="12" t="n"/>
      <c r="B95" s="18" t="n"/>
      <c r="C95" s="109" t="n"/>
      <c r="D95" s="109" t="n"/>
      <c r="E95" s="109" t="n"/>
      <c r="F95" s="109" t="n"/>
      <c r="G95" s="109" t="n"/>
      <c r="H95" s="109" t="n"/>
      <c r="I95" s="113" t="n"/>
      <c r="J95" s="113" t="n"/>
      <c r="K95" s="113" t="n"/>
      <c r="L95" s="81" t="n"/>
    </row>
    <row r="96" ht="20.05" customHeight="1" s="215">
      <c r="A96" s="12" t="n"/>
      <c r="B96" s="165">
        <f t="array" ref="B96">$B97-1</f>
        <v/>
      </c>
      <c r="C96" s="110">
        <f t="array" ref="C96">H96</f>
        <v/>
      </c>
      <c r="D96" s="186" t="n"/>
      <c r="E96" s="186" t="n"/>
      <c r="F96" s="109" t="n"/>
      <c r="G96" s="109" t="n"/>
      <c r="H96" s="110">
        <f t="array" ref="H96">E96+D96</f>
        <v/>
      </c>
      <c r="I96" s="81" t="n"/>
      <c r="J96" s="81" t="n"/>
      <c r="K96" s="81" t="n"/>
      <c r="L96" s="81" t="n"/>
    </row>
    <row r="97" ht="20.05" customHeight="1" s="215">
      <c r="A97" s="12" t="n"/>
      <c r="B97" s="165">
        <f t="array" ref="B97">$B98-1</f>
        <v/>
      </c>
      <c r="C97" s="110">
        <f t="array" ref="C97">H97</f>
        <v/>
      </c>
      <c r="D97" s="186" t="n"/>
      <c r="E97" s="186" t="n"/>
      <c r="F97" s="109" t="n"/>
      <c r="G97" s="109" t="n"/>
      <c r="H97" s="154">
        <f t="array" ref="H97">E97+D97</f>
        <v/>
      </c>
      <c r="I97" s="81" t="n"/>
      <c r="J97" s="81" t="n"/>
      <c r="K97" s="81" t="n"/>
      <c r="L97" s="81" t="n"/>
    </row>
    <row r="98" ht="20.05" customHeight="1" s="215">
      <c r="A98" s="12" t="n"/>
      <c r="B98" s="165">
        <f t="array" ref="B98">$B99-1</f>
        <v/>
      </c>
      <c r="C98" s="110">
        <f t="array" ref="C98">H98</f>
        <v/>
      </c>
      <c r="D98" s="186" t="n"/>
      <c r="E98" s="186" t="n"/>
      <c r="F98" s="109" t="n"/>
      <c r="G98" s="109" t="n"/>
      <c r="H98" s="79">
        <f t="array" ref="H98">E98+D98</f>
        <v/>
      </c>
      <c r="I98" s="81" t="n"/>
      <c r="J98" s="81" t="n"/>
      <c r="K98" s="81" t="n"/>
      <c r="L98" s="81" t="n"/>
    </row>
    <row r="99" ht="20.05" customHeight="1" s="215">
      <c r="A99" s="12" t="n"/>
      <c r="B99" s="165">
        <f t="array" ref="B99">$B100-1</f>
        <v/>
      </c>
      <c r="C99" s="110">
        <f t="array" ref="C99">H99</f>
        <v/>
      </c>
      <c r="D99" s="186" t="n"/>
      <c r="E99" s="186" t="n"/>
      <c r="F99" s="109" t="n"/>
      <c r="G99" s="109" t="n"/>
      <c r="H99" s="79">
        <f t="array" ref="H99">E99+D99</f>
        <v/>
      </c>
      <c r="I99" s="81" t="n"/>
      <c r="J99" s="81" t="n"/>
      <c r="K99" s="81" t="n"/>
      <c r="L99" s="81" t="n"/>
    </row>
    <row r="100" ht="20.05" customHeight="1" s="215">
      <c r="A100" s="12" t="n"/>
      <c r="B100" s="165">
        <f t="array" ref="B100">$B101-1</f>
        <v/>
      </c>
      <c r="C100" s="110">
        <f t="array" ref="C100">H100</f>
        <v/>
      </c>
      <c r="D100" s="186" t="n"/>
      <c r="E100" s="186" t="n"/>
      <c r="F100" s="109" t="n"/>
      <c r="G100" s="109" t="n"/>
      <c r="H100" s="79">
        <f t="array" ref="H100">E100+D100</f>
        <v/>
      </c>
      <c r="I100" s="81" t="n"/>
      <c r="J100" s="81" t="n"/>
      <c r="K100" s="81" t="n"/>
      <c r="L100" s="81" t="n"/>
    </row>
    <row r="101" ht="20.05" customHeight="1" s="215">
      <c r="A101" s="12" t="n"/>
      <c r="B101" s="165">
        <f t="array" ref="B101">$B102-1</f>
        <v/>
      </c>
      <c r="C101" s="110">
        <f t="array" ref="C101">H101</f>
        <v/>
      </c>
      <c r="D101" s="186" t="n"/>
      <c r="E101" s="186" t="n"/>
      <c r="F101" s="109" t="n"/>
      <c r="G101" s="109" t="n"/>
      <c r="H101" s="79">
        <f t="array" ref="H101">E101+D101</f>
        <v/>
      </c>
      <c r="I101" s="81" t="n"/>
      <c r="J101" s="81" t="n"/>
      <c r="K101" s="81" t="n"/>
      <c r="L101" s="81" t="n"/>
    </row>
    <row r="102" ht="20.05" customHeight="1" s="215">
      <c r="A102" s="12" t="n"/>
      <c r="B102" s="165">
        <f t="array" ref="B102">$B103-1</f>
        <v/>
      </c>
      <c r="C102" s="110">
        <f t="array" ref="C102">H102</f>
        <v/>
      </c>
      <c r="D102" s="186" t="n"/>
      <c r="E102" s="186" t="n"/>
      <c r="F102" s="109" t="n"/>
      <c r="G102" s="109" t="n"/>
      <c r="H102" s="79">
        <f t="array" ref="H102">E102+D102</f>
        <v/>
      </c>
      <c r="I102" s="81" t="n"/>
      <c r="J102" s="81" t="n"/>
      <c r="K102" s="81" t="n"/>
      <c r="L102" s="81" t="n"/>
    </row>
    <row r="103" ht="20.05" customHeight="1" s="215">
      <c r="A103" s="12" t="n"/>
      <c r="B103" s="165">
        <f t="array" ref="B103">$B104-1</f>
        <v/>
      </c>
      <c r="C103" s="110">
        <f t="array" ref="C103">H103</f>
        <v/>
      </c>
      <c r="D103" s="186" t="n"/>
      <c r="E103" s="186" t="n"/>
      <c r="F103" s="109" t="n"/>
      <c r="G103" s="109" t="n"/>
      <c r="H103" s="79">
        <f t="array" ref="H103">E103+D103</f>
        <v/>
      </c>
      <c r="I103" s="81" t="n"/>
      <c r="J103" s="81" t="n"/>
      <c r="K103" s="81" t="n"/>
      <c r="L103" s="81" t="n"/>
    </row>
    <row r="104" ht="20.05" customHeight="1" s="215">
      <c r="A104" s="12" t="n"/>
      <c r="B104" s="165">
        <f t="array" ref="B104">$B105-1</f>
        <v/>
      </c>
      <c r="C104" s="110">
        <f t="array" ref="C104">H104</f>
        <v/>
      </c>
      <c r="D104" s="186" t="n"/>
      <c r="E104" s="186" t="n"/>
      <c r="F104" s="109" t="n"/>
      <c r="G104" s="109" t="n"/>
      <c r="H104" s="79">
        <f t="array" ref="H104">E104+D104</f>
        <v/>
      </c>
      <c r="I104" s="81" t="n"/>
      <c r="J104" s="81" t="n"/>
      <c r="K104" s="81" t="n"/>
      <c r="L104" s="81" t="n"/>
    </row>
    <row r="105" ht="20.05" customHeight="1" s="215">
      <c r="A105" s="12" t="n"/>
      <c r="B105" s="165">
        <f t="array" ref="B105">$B106-1</f>
        <v/>
      </c>
      <c r="C105" s="110">
        <f t="array" ref="C105">H105</f>
        <v/>
      </c>
      <c r="D105" s="186" t="n"/>
      <c r="E105" s="186" t="n"/>
      <c r="F105" s="109" t="n"/>
      <c r="G105" s="109" t="n"/>
      <c r="H105" s="79">
        <f t="array" ref="H105">E105+D105</f>
        <v/>
      </c>
      <c r="I105" s="81" t="n"/>
      <c r="J105" s="81" t="n"/>
      <c r="K105" s="81" t="n"/>
      <c r="L105" s="81" t="n"/>
    </row>
    <row r="106" ht="20.05" customHeight="1" s="215">
      <c r="A106" s="12" t="n"/>
      <c r="B106" s="165">
        <f t="array" ref="B106">$B107-1</f>
        <v/>
      </c>
      <c r="C106" s="110">
        <f t="array" ref="C106">H106</f>
        <v/>
      </c>
      <c r="D106" s="186" t="n"/>
      <c r="E106" s="186" t="n"/>
      <c r="F106" s="109" t="n"/>
      <c r="G106" s="109" t="n"/>
      <c r="H106" s="79">
        <f t="array" ref="H106">E106+D106</f>
        <v/>
      </c>
      <c r="I106" s="81" t="n"/>
      <c r="J106" s="81" t="n"/>
      <c r="K106" s="81" t="n"/>
      <c r="L106" s="81" t="n"/>
    </row>
    <row r="107" ht="20.05" customHeight="1" s="215">
      <c r="A107" s="12" t="n"/>
      <c r="B107" s="165">
        <f t="array" ref="B107">$B108-1</f>
        <v/>
      </c>
      <c r="C107" s="110">
        <f t="array" ref="C107">H107</f>
        <v/>
      </c>
      <c r="D107" s="186" t="n"/>
      <c r="E107" s="186" t="n"/>
      <c r="F107" s="109" t="n"/>
      <c r="G107" s="109" t="n"/>
      <c r="H107" s="79">
        <f t="array" ref="H107">E107+D107</f>
        <v/>
      </c>
      <c r="I107" s="81" t="n"/>
      <c r="J107" s="81" t="n"/>
      <c r="K107" s="81" t="n"/>
      <c r="L107" s="81" t="n"/>
    </row>
    <row r="108" ht="20.05" customHeight="1" s="215">
      <c r="A108" s="12" t="n"/>
      <c r="B108" s="165">
        <f t="array" ref="B108">$B109-1</f>
        <v/>
      </c>
      <c r="C108" s="110">
        <f t="array" ref="C108">H108</f>
        <v/>
      </c>
      <c r="D108" s="186" t="n"/>
      <c r="E108" s="186" t="n"/>
      <c r="F108" s="109" t="n"/>
      <c r="G108" s="109" t="n"/>
      <c r="H108" s="79">
        <f t="array" ref="H108">E108+D108</f>
        <v/>
      </c>
      <c r="I108" s="81" t="n"/>
      <c r="J108" s="81" t="n"/>
      <c r="K108" s="81" t="n"/>
      <c r="L108" s="81" t="n"/>
    </row>
    <row r="109" ht="20.05" customHeight="1" s="215">
      <c r="A109" s="12" t="n"/>
      <c r="B109" s="165">
        <f t="array" ref="B109">$B110-1</f>
        <v/>
      </c>
      <c r="C109" s="110">
        <f t="array" ref="C109">H109</f>
        <v/>
      </c>
      <c r="D109" s="186" t="n"/>
      <c r="E109" s="186" t="n"/>
      <c r="F109" s="109" t="n"/>
      <c r="G109" s="109" t="n"/>
      <c r="H109" s="79">
        <f t="array" ref="H109">E109+D109</f>
        <v/>
      </c>
      <c r="I109" s="81" t="n"/>
      <c r="J109" s="81" t="n"/>
      <c r="K109" s="81" t="n"/>
      <c r="L109" s="81" t="n"/>
    </row>
    <row r="110" ht="20.05" customHeight="1" s="215">
      <c r="A110" s="12" t="n"/>
      <c r="B110" s="165">
        <f t="array" ref="B110">$B111-1</f>
        <v/>
      </c>
      <c r="C110" s="110">
        <f t="array" ref="C110">H110</f>
        <v/>
      </c>
      <c r="D110" s="186" t="n"/>
      <c r="E110" s="186" t="n"/>
      <c r="F110" s="109" t="n"/>
      <c r="G110" s="109" t="n"/>
      <c r="H110" s="79">
        <f t="array" ref="H110">E110+D110</f>
        <v/>
      </c>
      <c r="I110" s="81" t="n"/>
      <c r="J110" s="81" t="n"/>
      <c r="K110" s="81" t="n"/>
      <c r="L110" s="81" t="n"/>
    </row>
    <row r="111" ht="20.05" customHeight="1" s="215">
      <c r="A111" s="12" t="n"/>
      <c r="B111" s="165">
        <f t="array" ref="B111">$B112-1</f>
        <v/>
      </c>
      <c r="C111" s="110">
        <f t="array" ref="C111">H111</f>
        <v/>
      </c>
      <c r="D111" s="186" t="n"/>
      <c r="E111" s="186" t="n"/>
      <c r="F111" s="109" t="n"/>
      <c r="G111" s="109" t="n"/>
      <c r="H111" s="79">
        <f t="array" ref="H111">E111+D111</f>
        <v/>
      </c>
      <c r="I111" s="81" t="n"/>
      <c r="J111" s="81" t="n"/>
      <c r="K111" s="81" t="n"/>
      <c r="L111" s="81" t="n"/>
    </row>
    <row r="112" ht="20.05" customHeight="1" s="215">
      <c r="A112" s="12" t="n"/>
      <c r="B112" s="165">
        <f t="array" ref="B112">$B113-1</f>
        <v/>
      </c>
      <c r="C112" s="110">
        <f t="array" ref="C112">H112</f>
        <v/>
      </c>
      <c r="D112" s="186" t="n"/>
      <c r="E112" s="186" t="n"/>
      <c r="F112" s="109" t="n"/>
      <c r="G112" s="109" t="n"/>
      <c r="H112" s="79">
        <f t="array" ref="H112">E112+D112</f>
        <v/>
      </c>
      <c r="I112" s="81" t="n"/>
      <c r="J112" s="81" t="n"/>
      <c r="K112" s="81" t="n"/>
      <c r="L112" s="81" t="n"/>
    </row>
    <row r="113" ht="20.05" customHeight="1" s="215">
      <c r="A113" s="12" t="n"/>
      <c r="B113" s="165">
        <f t="array" ref="B113">$B114-1</f>
        <v/>
      </c>
      <c r="C113" s="110">
        <f t="array" ref="C113">H113</f>
        <v/>
      </c>
      <c r="D113" s="186" t="n"/>
      <c r="E113" s="186" t="n"/>
      <c r="F113" s="109" t="n"/>
      <c r="G113" s="109" t="n"/>
      <c r="H113" s="79">
        <f t="array" ref="H113">E113+D113</f>
        <v/>
      </c>
      <c r="I113" s="81" t="n"/>
      <c r="J113" s="81" t="n"/>
      <c r="K113" s="81" t="n"/>
      <c r="L113" s="81" t="n"/>
    </row>
    <row r="114" ht="20.05" customHeight="1" s="215">
      <c r="A114" s="12" t="n"/>
      <c r="B114" s="165">
        <f t="array" ref="B114">$B115-1</f>
        <v/>
      </c>
      <c r="C114" s="110">
        <f t="array" ref="C114">H114</f>
        <v/>
      </c>
      <c r="D114" s="186" t="n"/>
      <c r="E114" s="186" t="n"/>
      <c r="F114" s="109" t="n"/>
      <c r="G114" s="109" t="n"/>
      <c r="H114" s="79">
        <f t="array" ref="H114">E114+D114</f>
        <v/>
      </c>
      <c r="I114" s="81" t="n"/>
      <c r="J114" s="81" t="n"/>
      <c r="K114" s="81" t="n"/>
      <c r="L114" s="81" t="n"/>
    </row>
    <row r="115" ht="20.05" customHeight="1" s="215">
      <c r="A115" s="12" t="n"/>
      <c r="B115" s="165">
        <f t="array" ref="B115">$B116-1</f>
        <v/>
      </c>
      <c r="C115" s="110">
        <f t="array" ref="C115">H115</f>
        <v/>
      </c>
      <c r="D115" s="186" t="n"/>
      <c r="E115" s="186" t="n"/>
      <c r="F115" s="109" t="n"/>
      <c r="G115" s="109" t="n"/>
      <c r="H115" s="79">
        <f t="array" ref="H115">E115+D115</f>
        <v/>
      </c>
      <c r="I115" s="81" t="n"/>
      <c r="J115" s="81" t="n"/>
      <c r="K115" s="81" t="n"/>
      <c r="L115" s="81" t="n"/>
    </row>
    <row r="116" ht="20.05" customHeight="1" s="215">
      <c r="A116" s="12" t="n"/>
      <c r="B116" s="165">
        <f t="array" ref="B116">$B117-1</f>
        <v/>
      </c>
      <c r="C116" s="110">
        <f t="array" ref="C116">H116</f>
        <v/>
      </c>
      <c r="D116" s="186" t="n"/>
      <c r="E116" s="186" t="n"/>
      <c r="F116" s="109" t="n"/>
      <c r="G116" s="109" t="n"/>
      <c r="H116" s="79">
        <f t="array" ref="H116">E116+D116</f>
        <v/>
      </c>
      <c r="I116" s="81" t="n"/>
      <c r="J116" s="81" t="n"/>
      <c r="K116" s="81" t="n"/>
      <c r="L116" s="81" t="n"/>
    </row>
    <row r="117" ht="20.05" customHeight="1" s="215">
      <c r="A117" s="12" t="n"/>
      <c r="B117" s="165">
        <f t="array" ref="B117">$B118-1</f>
        <v/>
      </c>
      <c r="C117" s="110">
        <f t="array" ref="C117">H117</f>
        <v/>
      </c>
      <c r="D117" s="186" t="n"/>
      <c r="E117" s="186" t="n"/>
      <c r="F117" s="109" t="n"/>
      <c r="G117" s="109" t="n"/>
      <c r="H117" s="79">
        <f t="array" ref="H117">E117+D117</f>
        <v/>
      </c>
      <c r="I117" s="81" t="n"/>
      <c r="J117" s="81" t="n"/>
      <c r="K117" s="81" t="n"/>
      <c r="L117" s="81" t="n"/>
    </row>
    <row r="118" ht="20.05" customHeight="1" s="215">
      <c r="A118" s="12" t="n"/>
      <c r="B118" s="165">
        <f t="array" ref="B118">$B119-1</f>
        <v/>
      </c>
      <c r="C118" s="110">
        <f t="array" ref="C118">H118</f>
        <v/>
      </c>
      <c r="D118" s="186" t="n"/>
      <c r="E118" s="186" t="n"/>
      <c r="F118" s="109" t="n"/>
      <c r="G118" s="109" t="n"/>
      <c r="H118" s="79">
        <f t="array" ref="H118">E118+D118</f>
        <v/>
      </c>
      <c r="I118" s="81" t="n"/>
      <c r="J118" s="81" t="n"/>
      <c r="K118" s="81" t="n"/>
      <c r="L118" s="81" t="n"/>
    </row>
    <row r="119" ht="20.05" customHeight="1" s="215">
      <c r="A119" s="12" t="n"/>
      <c r="B119" s="165">
        <f t="array" ref="B119">$B120-1</f>
        <v/>
      </c>
      <c r="C119" s="110">
        <f t="array" ref="C119">H119</f>
        <v/>
      </c>
      <c r="D119" s="186" t="n"/>
      <c r="E119" s="186" t="n"/>
      <c r="F119" s="109" t="n"/>
      <c r="G119" s="109" t="n"/>
      <c r="H119" s="79">
        <f t="array" ref="H119">E119+D119</f>
        <v/>
      </c>
      <c r="I119" s="81" t="n"/>
      <c r="J119" s="81" t="n"/>
      <c r="K119" s="81" t="n"/>
      <c r="L119" s="81" t="n"/>
    </row>
    <row r="120" ht="20.05" customHeight="1" s="215">
      <c r="A120" s="12" t="n"/>
      <c r="B120" s="165">
        <f t="array" ref="B120">$B121-1</f>
        <v/>
      </c>
      <c r="C120" s="110">
        <f t="array" ref="C120">H120</f>
        <v/>
      </c>
      <c r="D120" s="186" t="n"/>
      <c r="E120" s="186" t="n"/>
      <c r="F120" s="109" t="n"/>
      <c r="G120" s="109" t="n"/>
      <c r="H120" s="79">
        <f t="array" ref="H120">E120+D120</f>
        <v/>
      </c>
      <c r="I120" s="81" t="n"/>
      <c r="J120" s="81" t="n"/>
      <c r="K120" s="81" t="n"/>
      <c r="L120" s="81" t="n"/>
    </row>
    <row r="121" ht="20.05" customHeight="1" s="215">
      <c r="A121" s="12" t="n"/>
      <c r="B121" s="165">
        <f t="array" ref="B121">$B122-1</f>
        <v/>
      </c>
      <c r="C121" s="110">
        <f t="array" ref="C121">H121</f>
        <v/>
      </c>
      <c r="D121" s="186" t="n"/>
      <c r="E121" s="186" t="n"/>
      <c r="F121" s="109" t="n"/>
      <c r="G121" s="109" t="n"/>
      <c r="H121" s="79">
        <f t="array" ref="H121">E121+D121</f>
        <v/>
      </c>
      <c r="I121" s="81" t="n"/>
      <c r="J121" s="81" t="n"/>
      <c r="K121" s="81" t="n"/>
      <c r="L121" s="81" t="n"/>
    </row>
    <row r="122" ht="20.05" customHeight="1" s="215">
      <c r="A122" s="12" t="n"/>
      <c r="B122" s="165">
        <f t="array" ref="B122">$B123-1</f>
        <v/>
      </c>
      <c r="C122" s="110">
        <f t="array" ref="C122">H122</f>
        <v/>
      </c>
      <c r="D122" s="186" t="n"/>
      <c r="E122" s="186" t="n"/>
      <c r="F122" s="109" t="n"/>
      <c r="G122" s="109" t="n"/>
      <c r="H122" s="79">
        <f t="array" ref="H122">E122+D122</f>
        <v/>
      </c>
      <c r="I122" s="81" t="n"/>
      <c r="J122" s="81" t="n"/>
      <c r="K122" s="81" t="n"/>
      <c r="L122" s="81" t="n"/>
    </row>
    <row r="123" ht="20.05" customHeight="1" s="215">
      <c r="A123" s="12" t="n"/>
      <c r="B123" s="165">
        <f t="array" ref="B123">$B124-1</f>
        <v/>
      </c>
      <c r="C123" s="110">
        <f t="array" ref="C123">H123</f>
        <v/>
      </c>
      <c r="D123" s="186" t="n"/>
      <c r="E123" s="186" t="n"/>
      <c r="F123" s="109" t="n"/>
      <c r="G123" s="109" t="n"/>
      <c r="H123" s="79">
        <f t="array" ref="H123">E123+D123</f>
        <v/>
      </c>
      <c r="I123" s="81" t="n"/>
      <c r="J123" s="81" t="n"/>
      <c r="K123" s="81" t="n"/>
      <c r="L123" s="81" t="n"/>
    </row>
    <row r="124" ht="20.05" customHeight="1" s="215">
      <c r="A124" s="12" t="n"/>
      <c r="B124" s="165">
        <f t="array" ref="B124">$B125-1</f>
        <v/>
      </c>
      <c r="C124" s="110">
        <f t="array" ref="C124">H124</f>
        <v/>
      </c>
      <c r="D124" s="186" t="n"/>
      <c r="E124" s="186" t="n"/>
      <c r="F124" s="109" t="n"/>
      <c r="G124" s="109" t="n"/>
      <c r="H124" s="79">
        <f t="array" ref="H124">E124+D124</f>
        <v/>
      </c>
      <c r="I124" s="81" t="n"/>
      <c r="J124" s="81" t="n"/>
      <c r="K124" s="81" t="n"/>
      <c r="L124" s="81" t="n"/>
    </row>
    <row r="125" ht="20.05" customHeight="1" s="215">
      <c r="A125" s="12" t="n"/>
      <c r="B125" s="165">
        <f t="array" ref="B125">$B126-1</f>
        <v/>
      </c>
      <c r="C125" s="110">
        <f t="array" ref="C125">H125</f>
        <v/>
      </c>
      <c r="D125" s="186" t="n"/>
      <c r="E125" s="186" t="n"/>
      <c r="F125" s="109" t="n"/>
      <c r="G125" s="109" t="n"/>
      <c r="H125" s="79">
        <f t="array" ref="H125">E125+D125</f>
        <v/>
      </c>
      <c r="I125" s="81" t="n"/>
      <c r="J125" s="81" t="n"/>
      <c r="K125" s="81" t="n"/>
      <c r="L125" s="81" t="n"/>
    </row>
    <row r="126" ht="20.05" customHeight="1" s="215">
      <c r="A126" s="12" t="n"/>
      <c r="B126" s="165">
        <f t="array" ref="B126">$B127-1</f>
        <v/>
      </c>
      <c r="C126" s="110">
        <f t="array" ref="C126">H126</f>
        <v/>
      </c>
      <c r="D126" s="186" t="n"/>
      <c r="E126" s="186" t="n"/>
      <c r="F126" s="109" t="n"/>
      <c r="G126" s="109" t="n"/>
      <c r="H126" s="79">
        <f t="array" ref="H126">E126+D126</f>
        <v/>
      </c>
      <c r="I126" s="81" t="n"/>
      <c r="J126" s="81" t="n"/>
      <c r="K126" s="81" t="n"/>
      <c r="L126" s="81" t="n"/>
    </row>
    <row r="127" ht="20.05" customHeight="1" s="215">
      <c r="A127" s="12" t="n"/>
      <c r="B127" s="165">
        <f t="array" ref="B127">$B128-1</f>
        <v/>
      </c>
      <c r="C127" s="110">
        <f t="array" ref="C127">H127</f>
        <v/>
      </c>
      <c r="D127" s="186" t="n"/>
      <c r="E127" s="186" t="n"/>
      <c r="F127" s="109" t="n"/>
      <c r="G127" s="109" t="n"/>
      <c r="H127" s="79">
        <f t="array" ref="H127">E127+D127</f>
        <v/>
      </c>
      <c r="I127" s="81" t="n"/>
      <c r="J127" s="81" t="n"/>
      <c r="K127" s="81" t="n"/>
      <c r="L127" s="81" t="n"/>
    </row>
    <row r="128" ht="20.05" customHeight="1" s="215">
      <c r="A128" s="12" t="n"/>
      <c r="B128" s="165">
        <f t="array" ref="B128">$B129-1</f>
        <v/>
      </c>
      <c r="C128" s="110">
        <f t="array" ref="C128">H128</f>
        <v/>
      </c>
      <c r="D128" s="186" t="n"/>
      <c r="E128" s="186" t="n"/>
      <c r="F128" s="109" t="n"/>
      <c r="G128" s="109" t="n"/>
      <c r="H128" s="79">
        <f t="array" ref="H128">E128+D128</f>
        <v/>
      </c>
      <c r="I128" s="81" t="n"/>
      <c r="J128" s="81" t="n"/>
      <c r="K128" s="81" t="n"/>
      <c r="L128" s="81" t="n"/>
    </row>
    <row r="129" ht="20.05" customHeight="1" s="215">
      <c r="A129" s="12" t="n"/>
      <c r="B129" s="165">
        <f t="array" ref="B129">$B130-1</f>
        <v/>
      </c>
      <c r="C129" s="110">
        <f t="array" ref="C129">H129</f>
        <v/>
      </c>
      <c r="D129" s="186" t="n"/>
      <c r="E129" s="186" t="n"/>
      <c r="F129" s="109" t="n"/>
      <c r="G129" s="109" t="n"/>
      <c r="H129" s="79">
        <f t="array" ref="H129">E129+D129</f>
        <v/>
      </c>
      <c r="I129" s="81" t="n"/>
      <c r="J129" s="81" t="n"/>
      <c r="K129" s="81" t="n"/>
      <c r="L129" s="81" t="n"/>
    </row>
    <row r="130" ht="20.05" customHeight="1" s="215">
      <c r="A130" s="12" t="n"/>
      <c r="B130" s="165">
        <f t="array" ref="B130">$B131-1</f>
        <v/>
      </c>
      <c r="C130" s="110">
        <f t="array" ref="C130">H130</f>
        <v/>
      </c>
      <c r="D130" s="186" t="n"/>
      <c r="E130" s="186" t="n"/>
      <c r="F130" s="109" t="n"/>
      <c r="G130" s="109" t="n"/>
      <c r="H130" s="79">
        <f t="array" ref="H130">E130+D130</f>
        <v/>
      </c>
      <c r="I130" s="81" t="n"/>
      <c r="J130" s="81" t="n"/>
      <c r="K130" s="81" t="n"/>
      <c r="L130" s="81" t="n"/>
    </row>
    <row r="131" ht="20.05" customHeight="1" s="215">
      <c r="A131" s="12" t="n"/>
      <c r="B131" s="165">
        <f t="array" ref="B131">$B132-1</f>
        <v/>
      </c>
      <c r="C131" s="110">
        <f t="array" ref="C131">H131</f>
        <v/>
      </c>
      <c r="D131" s="186" t="n"/>
      <c r="E131" s="186" t="n"/>
      <c r="F131" s="109" t="n"/>
      <c r="G131" s="109" t="n"/>
      <c r="H131" s="79">
        <f t="array" ref="H131">E131+D131</f>
        <v/>
      </c>
      <c r="I131" s="81" t="n"/>
      <c r="J131" s="81" t="n"/>
      <c r="K131" s="81" t="n"/>
      <c r="L131" s="81" t="n"/>
    </row>
    <row r="132" ht="20.05" customHeight="1" s="215">
      <c r="A132" s="12" t="n"/>
      <c r="B132" s="165">
        <f t="array" ref="B132">$B133-1</f>
        <v/>
      </c>
      <c r="C132" s="110">
        <f t="array" ref="C132">H132</f>
        <v/>
      </c>
      <c r="D132" s="238" t="n">
        <v>17</v>
      </c>
      <c r="E132" s="238" t="n">
        <v>20</v>
      </c>
      <c r="F132" s="109" t="n"/>
      <c r="G132" s="109" t="n"/>
      <c r="H132" s="79">
        <f t="array" ref="H132">E132+D132</f>
        <v/>
      </c>
      <c r="I132" s="81" t="n"/>
      <c r="J132" s="81" t="n"/>
      <c r="K132" s="81" t="n"/>
      <c r="L132" s="81" t="n"/>
    </row>
    <row r="133" ht="20.05" customHeight="1" s="215">
      <c r="A133" s="12" t="n"/>
      <c r="B133" s="165">
        <f t="array" ref="B133">$B134-1</f>
        <v/>
      </c>
      <c r="C133" s="110">
        <f t="array" ref="C133">H133</f>
        <v/>
      </c>
      <c r="D133" s="238" t="n">
        <v>12</v>
      </c>
      <c r="E133" s="238" t="n">
        <v>23</v>
      </c>
      <c r="F133" s="109" t="n"/>
      <c r="G133" s="109" t="n"/>
      <c r="H133" s="79">
        <f t="array" ref="H133">E133+D133</f>
        <v/>
      </c>
      <c r="I133" s="81" t="n"/>
      <c r="J133" s="81" t="n"/>
      <c r="K133" s="81" t="n"/>
      <c r="L133" s="81" t="n"/>
    </row>
    <row r="134" ht="20.05" customHeight="1" s="215">
      <c r="A134" s="12" t="n"/>
      <c r="B134" s="165">
        <f t="array" ref="B134">$B135-1</f>
        <v/>
      </c>
      <c r="C134" s="110">
        <f t="array" ref="C134">H134</f>
        <v/>
      </c>
      <c r="D134" s="238" t="n">
        <v>6</v>
      </c>
      <c r="E134" s="238" t="n">
        <v>26</v>
      </c>
      <c r="F134" s="109" t="n"/>
      <c r="G134" s="109" t="n"/>
      <c r="H134" s="79">
        <f t="array" ref="H134">E134+D134</f>
        <v/>
      </c>
      <c r="I134" s="81" t="n"/>
      <c r="J134" s="81" t="n"/>
      <c r="K134" s="81" t="n"/>
      <c r="L134" s="81" t="n"/>
    </row>
    <row r="135" ht="20.05" customHeight="1" s="215">
      <c r="A135" s="12" t="n"/>
      <c r="B135" s="165">
        <f t="array" ref="B135">$B136-1</f>
        <v/>
      </c>
      <c r="C135" s="110">
        <f t="array" ref="C135">H135</f>
        <v/>
      </c>
      <c r="D135" s="238" t="n">
        <v>11</v>
      </c>
      <c r="E135" s="238" t="n">
        <v>27</v>
      </c>
      <c r="F135" s="109" t="n"/>
      <c r="G135" s="109" t="n"/>
      <c r="H135" s="79">
        <f t="array" ref="H135">E135+D135</f>
        <v/>
      </c>
      <c r="I135" s="81" t="n"/>
      <c r="J135" s="81" t="n"/>
      <c r="K135" s="81" t="n"/>
      <c r="L135" s="81" t="n"/>
    </row>
    <row r="136" ht="20.05" customHeight="1" s="215">
      <c r="A136" s="12" t="n"/>
      <c r="B136" s="165">
        <f t="array" ref="B136">$B137-1</f>
        <v/>
      </c>
      <c r="C136" s="110">
        <f t="array" ref="C136">H136</f>
        <v/>
      </c>
      <c r="D136" s="238" t="n">
        <v>15</v>
      </c>
      <c r="E136" s="238" t="n">
        <v>35</v>
      </c>
      <c r="F136" s="109" t="n"/>
      <c r="G136" s="109" t="n"/>
      <c r="H136" s="79">
        <f t="array" ref="H136">E136+D136</f>
        <v/>
      </c>
      <c r="I136" s="81" t="n"/>
      <c r="J136" s="81" t="n"/>
      <c r="K136" s="81" t="n"/>
      <c r="L136" s="81" t="n"/>
    </row>
    <row r="137" ht="20.05" customHeight="1" s="215">
      <c r="A137" s="12" t="n"/>
      <c r="B137" s="165">
        <f t="array" ref="B137">$B138-1</f>
        <v/>
      </c>
      <c r="C137" s="110">
        <f t="array" ref="C137">H137</f>
        <v/>
      </c>
      <c r="D137" s="238" t="n">
        <v>13</v>
      </c>
      <c r="E137" s="238" t="n">
        <v>36</v>
      </c>
      <c r="F137" s="109" t="n"/>
      <c r="G137" s="109" t="n"/>
      <c r="H137" s="79">
        <f t="array" ref="H137">E137+D137</f>
        <v/>
      </c>
      <c r="I137" s="81" t="n"/>
      <c r="J137" s="81" t="n"/>
      <c r="K137" s="81" t="n"/>
      <c r="L137" s="81" t="n"/>
    </row>
    <row r="138" ht="20.05" customHeight="1" s="215">
      <c r="A138" s="12" t="n"/>
      <c r="B138" s="165">
        <f t="array" ref="B138">$B139-1</f>
        <v/>
      </c>
      <c r="C138" s="110">
        <f t="array" ref="C138">H138</f>
        <v/>
      </c>
      <c r="D138" s="238" t="n">
        <v>26</v>
      </c>
      <c r="E138" s="238" t="n">
        <v>33</v>
      </c>
      <c r="F138" s="109" t="n"/>
      <c r="G138" s="109" t="n"/>
      <c r="H138" s="79">
        <f t="array" ref="H138">E138+D138</f>
        <v/>
      </c>
      <c r="I138" s="81" t="n"/>
      <c r="J138" s="81" t="n"/>
      <c r="K138" s="81" t="n"/>
      <c r="L138" s="81" t="n"/>
    </row>
    <row r="139" ht="20.05" customHeight="1" s="215">
      <c r="A139" s="12" t="n"/>
      <c r="B139" s="165">
        <f t="array" ref="B139">$B140-1</f>
        <v/>
      </c>
      <c r="C139" s="110">
        <f t="array" ref="C139">H139</f>
        <v/>
      </c>
      <c r="D139" s="238" t="n">
        <v>16</v>
      </c>
      <c r="E139" s="238" t="n">
        <v>51</v>
      </c>
      <c r="F139" s="109" t="n"/>
      <c r="G139" s="109" t="n"/>
      <c r="H139" s="79">
        <f t="array" ref="H139">E139+D139</f>
        <v/>
      </c>
      <c r="I139" s="81" t="n"/>
      <c r="J139" s="81" t="n"/>
      <c r="K139" s="81" t="n"/>
      <c r="L139" s="81" t="n"/>
    </row>
    <row r="140" ht="20.05" customHeight="1" s="215">
      <c r="A140" s="12" t="n"/>
      <c r="B140" s="165">
        <f t="array" ref="B140">$B141-1</f>
        <v/>
      </c>
      <c r="C140" s="110">
        <f t="array" ref="C140">H140</f>
        <v/>
      </c>
      <c r="D140" s="238" t="n">
        <v>18</v>
      </c>
      <c r="E140" s="238" t="n">
        <v>63</v>
      </c>
      <c r="F140" s="109" t="n"/>
      <c r="G140" s="109" t="n"/>
      <c r="H140" s="79">
        <f t="array" ref="H140">E140+D140</f>
        <v/>
      </c>
      <c r="I140" s="81" t="n"/>
      <c r="J140" s="81" t="n"/>
      <c r="K140" s="81" t="n"/>
      <c r="L140" s="81" t="n"/>
    </row>
    <row r="141" ht="20.05" customHeight="1" s="215">
      <c r="A141" s="12" t="n"/>
      <c r="B141" s="165">
        <f t="array" ref="B141">$B142-1</f>
        <v/>
      </c>
      <c r="C141" s="110">
        <f t="array" ref="C141">H141</f>
        <v/>
      </c>
      <c r="D141" s="238" t="n">
        <v>14</v>
      </c>
      <c r="E141" s="238" t="n">
        <v>54</v>
      </c>
      <c r="F141" s="109" t="n"/>
      <c r="G141" s="109" t="n"/>
      <c r="H141" s="79">
        <f t="array" ref="H141">E141+D141</f>
        <v/>
      </c>
      <c r="I141" s="81" t="n"/>
      <c r="J141" s="81" t="n"/>
      <c r="K141" s="81" t="n"/>
      <c r="L141" s="81" t="n"/>
    </row>
    <row r="142" ht="20.05" customHeight="1" s="215">
      <c r="A142" s="12" t="n"/>
      <c r="B142" s="165">
        <f t="array" ref="B142">$B143-1</f>
        <v/>
      </c>
      <c r="C142" s="110">
        <f t="array" ref="C142">H142</f>
        <v/>
      </c>
      <c r="D142" s="238" t="n">
        <v>49</v>
      </c>
      <c r="E142" s="238" t="n">
        <v>74</v>
      </c>
      <c r="F142" s="109" t="n"/>
      <c r="G142" s="109" t="n"/>
      <c r="H142" s="79">
        <f t="array" ref="H142">E142+D142</f>
        <v/>
      </c>
      <c r="I142" s="81" t="n"/>
      <c r="J142" s="81" t="n"/>
      <c r="K142" s="81" t="n"/>
      <c r="L142" s="81" t="n"/>
    </row>
    <row r="143" ht="20.05" customHeight="1" s="215">
      <c r="A143" s="12" t="n"/>
      <c r="B143" s="165">
        <f t="array" ref="B143">$B144-1</f>
        <v/>
      </c>
      <c r="C143" s="110">
        <f t="array" ref="C143">H143</f>
        <v/>
      </c>
      <c r="D143" s="238" t="n">
        <v>63</v>
      </c>
      <c r="E143" s="238" t="n">
        <v>67</v>
      </c>
      <c r="F143" s="109" t="n"/>
      <c r="G143" s="109" t="n"/>
      <c r="H143" s="79">
        <f t="array" ref="H143">E143+D143</f>
        <v/>
      </c>
      <c r="I143" s="81" t="n"/>
      <c r="J143" s="81" t="n"/>
      <c r="K143" s="81" t="n"/>
      <c r="L143" s="81" t="n"/>
    </row>
    <row r="144" ht="20.05" customHeight="1" s="215">
      <c r="A144" s="12" t="n"/>
      <c r="B144" s="165">
        <f t="array" ref="B144">$B145-1</f>
        <v/>
      </c>
      <c r="C144" s="110">
        <f t="array" ref="C144">H144</f>
        <v/>
      </c>
      <c r="D144" s="238" t="n">
        <v>51</v>
      </c>
      <c r="E144" s="238" t="n">
        <v>75</v>
      </c>
      <c r="F144" s="109" t="n"/>
      <c r="G144" s="109" t="n"/>
      <c r="H144" s="79">
        <f t="array" ref="H144">E144+D144</f>
        <v/>
      </c>
      <c r="I144" s="81" t="n"/>
      <c r="J144" s="81" t="n"/>
      <c r="K144" s="81" t="n"/>
      <c r="L144" s="81" t="n"/>
    </row>
    <row r="145" ht="20.05" customHeight="1" s="215">
      <c r="A145" s="12" t="n"/>
      <c r="B145" s="165">
        <f t="array" ref="B145">$B146-1</f>
        <v/>
      </c>
      <c r="C145" s="110">
        <f t="array" ref="C145">H145</f>
        <v/>
      </c>
      <c r="D145" s="238" t="n">
        <v>38</v>
      </c>
      <c r="E145" s="238" t="n">
        <v>51</v>
      </c>
      <c r="F145" s="109" t="n"/>
      <c r="G145" s="109" t="n"/>
      <c r="H145" s="79">
        <f t="array" ref="H145">E145+D145</f>
        <v/>
      </c>
      <c r="I145" s="81" t="n"/>
      <c r="J145" s="81" t="n"/>
      <c r="K145" s="81" t="n"/>
      <c r="L145" s="81" t="n"/>
    </row>
    <row r="146" ht="20.05" customHeight="1" s="215">
      <c r="A146" s="12" t="n"/>
      <c r="B146" s="165">
        <f t="array" ref="B146">$B147-1</f>
        <v/>
      </c>
      <c r="C146" s="110">
        <f t="array" ref="C146">H146</f>
        <v/>
      </c>
      <c r="D146" s="238" t="n">
        <v>27</v>
      </c>
      <c r="E146" s="238" t="n">
        <v>37</v>
      </c>
      <c r="F146" s="109" t="n"/>
      <c r="G146" s="109" t="n"/>
      <c r="H146" s="79">
        <f t="array" ref="H146">E146+D146</f>
        <v/>
      </c>
      <c r="I146" s="81" t="n"/>
      <c r="J146" s="81" t="n"/>
      <c r="K146" s="81" t="n"/>
      <c r="L146" s="81" t="n"/>
    </row>
    <row r="147" ht="20.05" customHeight="1" s="215">
      <c r="A147" s="12" t="n"/>
      <c r="B147" s="165">
        <f t="array" ref="B147">$B148-1</f>
        <v/>
      </c>
      <c r="C147" s="110">
        <f t="array" ref="C147">H147</f>
        <v/>
      </c>
      <c r="D147" s="238" t="n">
        <v>64</v>
      </c>
      <c r="E147" s="238" t="n">
        <v>88</v>
      </c>
      <c r="F147" s="109" t="n"/>
      <c r="G147" s="109" t="n"/>
      <c r="H147" s="79">
        <f t="array" ref="H147">E147+D147</f>
        <v/>
      </c>
      <c r="I147" s="81" t="n"/>
      <c r="J147" s="81" t="n"/>
      <c r="K147" s="81" t="n"/>
      <c r="L147" s="81" t="n"/>
    </row>
    <row r="148" ht="20.05" customHeight="1" s="215">
      <c r="A148" s="12" t="n"/>
      <c r="B148" s="165">
        <f t="array" ref="B148">$B149-1</f>
        <v/>
      </c>
      <c r="C148" s="110">
        <f t="array" ref="C148">H148</f>
        <v/>
      </c>
      <c r="D148" s="238" t="n">
        <v>82</v>
      </c>
      <c r="E148" s="238" t="n">
        <v>117</v>
      </c>
      <c r="F148" s="109" t="n"/>
      <c r="G148" s="109" t="n"/>
      <c r="H148" s="79">
        <f t="array" ref="H148">E148+D148</f>
        <v/>
      </c>
      <c r="I148" s="81" t="n"/>
      <c r="J148" s="81" t="n"/>
      <c r="K148" s="81" t="n"/>
      <c r="L148" s="81" t="n"/>
    </row>
    <row r="149" ht="20.05" customHeight="1" s="215">
      <c r="A149" s="12" t="n"/>
      <c r="B149" s="165">
        <f t="array" ref="B149">$B150-1</f>
        <v/>
      </c>
      <c r="C149" s="110">
        <f t="array" ref="C149">H149</f>
        <v/>
      </c>
      <c r="D149" s="238" t="n">
        <v>76</v>
      </c>
      <c r="E149" s="238" t="n">
        <v>123</v>
      </c>
      <c r="F149" s="109" t="n"/>
      <c r="G149" s="109" t="n"/>
      <c r="H149" s="79">
        <f t="array" ref="H149">E149+D149</f>
        <v/>
      </c>
      <c r="I149" s="81" t="n"/>
      <c r="J149" s="81" t="n"/>
      <c r="K149" s="81" t="n"/>
      <c r="L149" s="81" t="n"/>
    </row>
    <row r="150" ht="20.05" customHeight="1" s="215">
      <c r="A150" s="12" t="n"/>
      <c r="B150" s="165">
        <f t="array" ref="B150">$B151-1</f>
        <v/>
      </c>
      <c r="C150" s="110">
        <f t="array" ref="C150">H150</f>
        <v/>
      </c>
      <c r="D150" s="238" t="n">
        <v>58</v>
      </c>
      <c r="E150" s="238" t="n">
        <v>112</v>
      </c>
      <c r="F150" s="109" t="n"/>
      <c r="G150" s="109" t="n"/>
      <c r="H150" s="79">
        <f t="array" ref="H150">E150+D150</f>
        <v/>
      </c>
      <c r="I150" s="81" t="n"/>
      <c r="J150" s="81" t="n"/>
      <c r="K150" s="81" t="n"/>
      <c r="L150" s="81" t="n"/>
    </row>
    <row r="151" ht="20.05" customHeight="1" s="215">
      <c r="A151" s="12" t="n"/>
      <c r="B151" s="165">
        <f t="array" ref="B151">$B152-1</f>
        <v/>
      </c>
      <c r="C151" s="110">
        <f t="array" ref="C151">H151</f>
        <v/>
      </c>
      <c r="D151" s="238" t="n">
        <v>122</v>
      </c>
      <c r="E151" s="238" t="n">
        <v>297</v>
      </c>
      <c r="F151" s="109" t="n"/>
      <c r="G151" s="109" t="n"/>
      <c r="H151" s="79">
        <f t="array" ref="H151">E151+D151</f>
        <v/>
      </c>
      <c r="I151" s="81" t="n"/>
      <c r="J151" s="81" t="n"/>
      <c r="K151" s="81" t="n"/>
      <c r="L151" s="81" t="n"/>
    </row>
    <row r="152" ht="20.05" customHeight="1" s="215">
      <c r="A152" s="12" t="n"/>
      <c r="B152" s="165">
        <f t="array" ref="B152">$B153-1</f>
        <v/>
      </c>
      <c r="C152" s="110">
        <f t="array" ref="C152">H152</f>
        <v/>
      </c>
      <c r="D152" s="238" t="n">
        <v>100</v>
      </c>
      <c r="E152" s="238" t="n">
        <v>181</v>
      </c>
      <c r="F152" s="109" t="n"/>
      <c r="G152" s="109" t="n"/>
      <c r="H152" s="79">
        <f t="array" ref="H152">E152+D152</f>
        <v/>
      </c>
      <c r="I152" s="81" t="n"/>
      <c r="J152" s="81" t="n"/>
      <c r="K152" s="81" t="n"/>
      <c r="L152" s="81" t="n"/>
    </row>
    <row r="153" ht="20.05" customHeight="1" s="215">
      <c r="A153" s="12" t="n"/>
      <c r="B153" s="165">
        <f t="array" ref="B153">$B154-1</f>
        <v/>
      </c>
      <c r="C153" s="110">
        <f t="array" ref="C153">H153</f>
        <v/>
      </c>
      <c r="D153" s="238" t="n">
        <v>86</v>
      </c>
      <c r="E153" s="238" t="n">
        <v>189</v>
      </c>
      <c r="F153" s="109" t="n"/>
      <c r="G153" s="109" t="n"/>
      <c r="H153" s="79">
        <f t="array" ref="H153">E153+D153</f>
        <v/>
      </c>
      <c r="I153" s="81" t="n"/>
      <c r="J153" s="81" t="n"/>
      <c r="K153" s="81" t="n"/>
      <c r="L153" s="81" t="n"/>
    </row>
    <row r="154" ht="20.05" customHeight="1" s="215">
      <c r="A154" s="12" t="n"/>
      <c r="B154" s="165">
        <f t="array" ref="B154">$B155-1</f>
        <v/>
      </c>
      <c r="C154" s="110">
        <f t="array" ref="C154">H154</f>
        <v/>
      </c>
      <c r="D154" s="238" t="n">
        <v>112</v>
      </c>
      <c r="E154" s="238" t="n">
        <v>224</v>
      </c>
      <c r="F154" s="109" t="n"/>
      <c r="G154" s="109" t="n"/>
      <c r="H154" s="79">
        <f t="array" ref="H154">E154+D154</f>
        <v/>
      </c>
      <c r="I154" s="81" t="n"/>
      <c r="J154" s="81" t="n"/>
      <c r="K154" s="81" t="n"/>
      <c r="L154" s="81" t="n"/>
    </row>
    <row r="155" ht="20.05" customHeight="1" s="215">
      <c r="A155" s="12" t="n"/>
      <c r="B155" s="165">
        <f t="array" ref="B155">$B156-1</f>
        <v/>
      </c>
      <c r="C155" s="110">
        <f t="array" ref="C155">H155</f>
        <v/>
      </c>
      <c r="D155" s="238" t="n">
        <v>96</v>
      </c>
      <c r="E155" s="238" t="n">
        <v>197</v>
      </c>
      <c r="F155" s="109" t="n"/>
      <c r="G155" s="109" t="n"/>
      <c r="H155" s="79">
        <f t="array" ref="H155">E155+D155</f>
        <v/>
      </c>
      <c r="I155" s="81" t="n"/>
      <c r="J155" s="81" t="n"/>
      <c r="K155" s="81" t="n"/>
      <c r="L155" s="81" t="n"/>
    </row>
    <row r="156" ht="20.05" customHeight="1" s="215">
      <c r="A156" s="12" t="n"/>
      <c r="B156" s="165">
        <f t="array" ref="B156">$B157-1</f>
        <v/>
      </c>
      <c r="C156" s="110">
        <f t="array" ref="C156">H156</f>
        <v/>
      </c>
      <c r="D156" s="238" t="n">
        <v>83</v>
      </c>
      <c r="E156" s="238" t="n">
        <v>208</v>
      </c>
      <c r="F156" s="109" t="n"/>
      <c r="G156" s="109" t="n"/>
      <c r="H156" s="79">
        <f t="array" ref="H156">E156+D156</f>
        <v/>
      </c>
      <c r="I156" s="81" t="n"/>
      <c r="J156" s="81" t="n"/>
      <c r="K156" s="81" t="n"/>
      <c r="L156" s="81" t="n"/>
    </row>
    <row r="157" ht="20.05" customHeight="1" s="215">
      <c r="A157" s="12" t="n"/>
      <c r="B157" s="165">
        <f t="array" ref="B157">$B158-1</f>
        <v/>
      </c>
      <c r="C157" s="110">
        <f t="array" ref="C157">H157</f>
        <v/>
      </c>
      <c r="D157" s="238" t="n">
        <v>88</v>
      </c>
      <c r="E157" s="238" t="n">
        <v>273</v>
      </c>
      <c r="F157" s="109" t="n"/>
      <c r="G157" s="109" t="n"/>
      <c r="H157" s="79">
        <f t="array" ref="H157">E157+D157</f>
        <v/>
      </c>
      <c r="I157" s="81" t="n"/>
      <c r="J157" s="81" t="n"/>
      <c r="K157" s="81" t="n"/>
      <c r="L157" s="81" t="n"/>
    </row>
    <row r="158" ht="20.05" customHeight="1" s="215">
      <c r="A158" s="12" t="n"/>
      <c r="B158" s="165">
        <f t="array" ref="B158">$B159-1</f>
        <v/>
      </c>
      <c r="C158" s="110">
        <f t="array" ref="C158">H158</f>
        <v/>
      </c>
      <c r="D158" s="238" t="n">
        <v>90</v>
      </c>
      <c r="E158" s="238" t="n">
        <v>265</v>
      </c>
      <c r="F158" s="109" t="n"/>
      <c r="G158" s="109" t="n"/>
      <c r="H158" s="79">
        <f t="array" ref="H158">E158+D158</f>
        <v/>
      </c>
      <c r="I158" s="81" t="n"/>
      <c r="J158" s="81" t="n"/>
      <c r="K158" s="81" t="n"/>
      <c r="L158" s="81" t="n"/>
    </row>
    <row r="159" ht="20.35" customHeight="1" s="215">
      <c r="A159" s="12" t="n"/>
      <c r="B159" s="165">
        <f t="array" ref="B159">$B160-1</f>
        <v/>
      </c>
      <c r="C159" s="110">
        <f t="array" ref="C159">H159</f>
        <v/>
      </c>
      <c r="D159" s="238" t="n">
        <v>116</v>
      </c>
      <c r="E159" s="238" t="n">
        <v>324</v>
      </c>
      <c r="F159" s="109" t="n"/>
      <c r="G159" s="109" t="n"/>
      <c r="H159" s="106">
        <f t="array" ref="H159">E159+D159</f>
        <v/>
      </c>
      <c r="I159" s="105" t="n"/>
      <c r="J159" s="141" t="n"/>
      <c r="K159" s="141" t="n"/>
      <c r="L159" s="81" t="n"/>
    </row>
    <row r="160" ht="20.7" customHeight="1" s="215">
      <c r="A160" s="12" t="n"/>
      <c r="B160" s="165">
        <f t="array" ref="B160">$B161-1</f>
        <v/>
      </c>
      <c r="C160" s="110">
        <f t="array" ref="C160">H160</f>
        <v/>
      </c>
      <c r="D160" s="238" t="n">
        <v>113</v>
      </c>
      <c r="E160" s="238" t="n">
        <v>366</v>
      </c>
      <c r="F160" s="109" t="n"/>
      <c r="G160" s="109" t="n"/>
      <c r="H160" s="110">
        <f t="array" ref="H160">E160+D160</f>
        <v/>
      </c>
      <c r="I160" s="196" t="n"/>
      <c r="J160" s="189" t="n"/>
      <c r="K160" s="189" t="n"/>
      <c r="L160" s="169" t="n"/>
    </row>
    <row r="161" ht="20.7" customHeight="1" s="215">
      <c r="A161" s="12" t="n"/>
      <c r="B161" s="165">
        <f t="array" ref="B161">$B162-1</f>
        <v/>
      </c>
      <c r="C161" s="110">
        <f t="array" ref="C161">H161</f>
        <v/>
      </c>
      <c r="D161" s="238" t="n">
        <v>231</v>
      </c>
      <c r="E161" s="238" t="n">
        <v>661</v>
      </c>
      <c r="F161" s="109" t="n"/>
      <c r="G161" s="109" t="n"/>
      <c r="H161" s="110">
        <f t="array" ref="H161">E161+D161</f>
        <v/>
      </c>
      <c r="I161" s="196" t="n"/>
      <c r="J161" s="189" t="n"/>
      <c r="K161" s="189" t="n"/>
      <c r="L161" s="169" t="n"/>
    </row>
    <row r="162" ht="20.7" customHeight="1" s="215">
      <c r="A162" s="12" t="n"/>
      <c r="B162" s="165">
        <f t="array" ref="B162">$B163-1</f>
        <v/>
      </c>
      <c r="C162" s="110">
        <f t="array" ref="C162">H162</f>
        <v/>
      </c>
      <c r="D162" s="238" t="n">
        <v>44</v>
      </c>
      <c r="E162" s="238" t="n">
        <v>120</v>
      </c>
      <c r="F162" s="109" t="n"/>
      <c r="G162" s="109" t="n"/>
      <c r="H162" s="110">
        <f t="array" ref="H162">E162+D162</f>
        <v/>
      </c>
      <c r="I162" s="196" t="n"/>
      <c r="J162" s="189" t="n"/>
      <c r="K162" s="189" t="n"/>
      <c r="L162" s="169" t="n"/>
    </row>
    <row r="163" ht="20.7" customHeight="1" s="215">
      <c r="A163" s="12" t="n"/>
      <c r="B163" s="165">
        <f t="array" ref="B163">$B164-1</f>
        <v/>
      </c>
      <c r="C163" s="110">
        <f t="array" ref="C163">H163</f>
        <v/>
      </c>
      <c r="D163" s="238" t="n">
        <v>60</v>
      </c>
      <c r="E163" s="238" t="n">
        <v>74</v>
      </c>
      <c r="F163" s="109" t="n"/>
      <c r="G163" s="109" t="n"/>
      <c r="H163" s="110">
        <f t="array" ref="H163">E163+D163</f>
        <v/>
      </c>
      <c r="I163" s="196" t="n"/>
      <c r="J163" s="189" t="n"/>
      <c r="K163" s="189" t="n"/>
      <c r="L163" s="169" t="n"/>
    </row>
    <row r="164" ht="20.7" customHeight="1" s="215">
      <c r="A164" s="12" t="n"/>
      <c r="B164" s="165">
        <f t="array" ref="B164">$B165-1</f>
        <v/>
      </c>
      <c r="C164" s="110">
        <f t="array" ref="C164">H164</f>
        <v/>
      </c>
      <c r="D164" s="238" t="n">
        <v>34</v>
      </c>
      <c r="E164" s="238" t="n">
        <v>84</v>
      </c>
      <c r="F164" s="109" t="n"/>
      <c r="G164" s="109" t="n"/>
      <c r="H164" s="110">
        <f t="array" ref="H164">E164+D164</f>
        <v/>
      </c>
      <c r="I164" s="196" t="n"/>
      <c r="J164" s="189" t="n"/>
      <c r="K164" s="189" t="n"/>
      <c r="L164" s="169" t="n"/>
    </row>
    <row r="165" ht="20.7" customHeight="1" s="215">
      <c r="A165" s="12" t="n"/>
      <c r="B165" s="165">
        <f t="array" ref="B165">$B166-1</f>
        <v/>
      </c>
      <c r="C165" s="110">
        <f t="array" ref="C165">H165</f>
        <v/>
      </c>
      <c r="D165" s="238" t="n">
        <v>49</v>
      </c>
      <c r="E165" s="238" t="n">
        <v>63</v>
      </c>
      <c r="F165" s="109" t="n"/>
      <c r="G165" s="109" t="n"/>
      <c r="H165" s="110">
        <f t="array" ref="H165">E165+D165</f>
        <v/>
      </c>
      <c r="I165" s="196" t="n"/>
      <c r="J165" s="189" t="n"/>
      <c r="K165" s="189" t="n"/>
      <c r="L165" s="169" t="n"/>
    </row>
    <row r="166" ht="20.7" customHeight="1" s="215">
      <c r="A166" s="12" t="n"/>
      <c r="B166" s="165">
        <f t="array" ref="B166">$B167-1</f>
        <v/>
      </c>
      <c r="C166" s="110">
        <f t="array" ref="C166">H166</f>
        <v/>
      </c>
      <c r="D166" s="238" t="n">
        <v>35</v>
      </c>
      <c r="E166" s="238" t="n">
        <v>82</v>
      </c>
      <c r="F166" s="109" t="n"/>
      <c r="G166" s="109" t="n"/>
      <c r="H166" s="110">
        <f t="array" ref="H166">E166+D166</f>
        <v/>
      </c>
      <c r="I166" s="196" t="n"/>
      <c r="J166" s="189" t="n"/>
      <c r="K166" s="189" t="n"/>
      <c r="L166" s="169" t="n"/>
    </row>
    <row r="167" ht="20.7" customHeight="1" s="215">
      <c r="A167" s="12" t="n"/>
      <c r="B167" s="165">
        <f t="array" ref="B167">$B168-1</f>
        <v/>
      </c>
      <c r="C167" s="110">
        <f t="array" ref="C167">H167</f>
        <v/>
      </c>
      <c r="D167" s="238" t="n">
        <v>31</v>
      </c>
      <c r="E167" s="238" t="n">
        <v>68</v>
      </c>
      <c r="F167" s="109" t="n"/>
      <c r="G167" s="109" t="n"/>
      <c r="H167" s="110">
        <f t="array" ref="H167">E167+D167</f>
        <v/>
      </c>
      <c r="I167" s="196" t="n"/>
      <c r="J167" s="189" t="n"/>
      <c r="K167" s="189" t="n"/>
      <c r="L167" s="169" t="n"/>
    </row>
    <row r="168" ht="20.7" customHeight="1" s="215">
      <c r="A168" s="12" t="n"/>
      <c r="B168" s="165">
        <f t="array" ref="B168">$B169-1</f>
        <v/>
      </c>
      <c r="C168" s="110">
        <f t="array" ref="C168">H168</f>
        <v/>
      </c>
      <c r="D168" s="238" t="n">
        <v>67</v>
      </c>
      <c r="E168" s="238" t="n">
        <v>88</v>
      </c>
      <c r="F168" s="109" t="n"/>
      <c r="G168" s="109" t="n"/>
      <c r="H168" s="110">
        <f t="array" ref="H168">E168+D168</f>
        <v/>
      </c>
      <c r="I168" s="196" t="n"/>
      <c r="J168" s="189" t="n"/>
      <c r="K168" s="189" t="n"/>
      <c r="L168" s="169" t="n"/>
    </row>
    <row r="169" ht="20.7" customHeight="1" s="215">
      <c r="A169" s="12" t="n"/>
      <c r="B169" s="165">
        <f t="array" ref="B169">$B170-1</f>
        <v/>
      </c>
      <c r="C169" s="110">
        <f t="array" ref="C169">H169</f>
        <v/>
      </c>
      <c r="D169" s="238" t="n">
        <v>57</v>
      </c>
      <c r="E169" s="238" t="n">
        <v>78</v>
      </c>
      <c r="F169" s="109" t="n"/>
      <c r="G169" s="109" t="n"/>
      <c r="H169" s="110">
        <f t="array" ref="H169">E169+D169</f>
        <v/>
      </c>
      <c r="I169" s="196" t="n"/>
      <c r="J169" s="189" t="n"/>
      <c r="K169" s="189" t="n"/>
      <c r="L169" s="169" t="n"/>
    </row>
    <row r="170" ht="20.7" customHeight="1" s="215">
      <c r="A170" s="12" t="n"/>
      <c r="B170" s="165">
        <f t="array" ref="B170">$B171-1</f>
        <v/>
      </c>
      <c r="C170" s="110">
        <f t="array" ref="C170">H170</f>
        <v/>
      </c>
      <c r="D170" s="238" t="n">
        <v>89</v>
      </c>
      <c r="E170" s="238" t="n">
        <v>101</v>
      </c>
      <c r="F170" s="109" t="n"/>
      <c r="G170" s="109" t="n"/>
      <c r="H170" s="110">
        <f t="array" ref="H170">E170+D170</f>
        <v/>
      </c>
      <c r="I170" s="196" t="n"/>
      <c r="J170" s="189" t="n"/>
      <c r="K170" s="189" t="n"/>
      <c r="L170" s="169" t="n"/>
    </row>
    <row r="171" ht="20.35" customHeight="1" s="215">
      <c r="A171" s="12" t="n"/>
      <c r="B171" s="165">
        <f t="array" ref="B171">$C$7</f>
        <v/>
      </c>
      <c r="C171" s="110">
        <f t="array" ref="C171">H171</f>
        <v/>
      </c>
      <c r="D171" s="238" t="n">
        <v>84</v>
      </c>
      <c r="E171" s="238" t="n">
        <v>94</v>
      </c>
      <c r="F171" s="109" t="n"/>
      <c r="G171" s="109" t="n"/>
      <c r="H171" s="110">
        <f t="array" ref="H171">E171+D171</f>
        <v/>
      </c>
      <c r="I171" s="197" t="n"/>
      <c r="J171" s="194" t="n"/>
      <c r="K171" s="194" t="n"/>
      <c r="L171" s="169" t="n"/>
    </row>
    <row r="172" ht="20.05" customHeight="1" s="215">
      <c r="A172" s="23" t="n"/>
      <c r="B172" s="24" t="n"/>
      <c r="C172" s="154">
        <f t="array" ref="C172">SUM(C96:C171)</f>
        <v/>
      </c>
      <c r="D172" s="154">
        <f t="array" ref="D172">SUM(D96:D171)</f>
        <v/>
      </c>
      <c r="E172" s="154">
        <f t="array" ref="E172">SUM(E96:E171)</f>
        <v/>
      </c>
      <c r="F172" s="113" t="n"/>
      <c r="G172" s="113" t="n"/>
      <c r="H172" s="154">
        <f t="array" ref="H172">SUM(H96:H171)</f>
        <v/>
      </c>
      <c r="I172" s="81" t="n"/>
      <c r="J172" s="81" t="n"/>
      <c r="K172" s="81" t="n"/>
      <c r="L172" s="81" t="n"/>
    </row>
    <row r="173" ht="20.05" customHeight="1" s="215">
      <c r="A173" s="3" t="n"/>
      <c r="B173" s="28" t="n"/>
      <c r="C173" s="17" t="n"/>
      <c r="D173" s="17" t="n"/>
      <c r="E173" s="17" t="n"/>
      <c r="F173" s="17" t="n"/>
      <c r="G173" s="17" t="n"/>
      <c r="H173" s="17" t="n"/>
      <c r="I173" s="17" t="n"/>
      <c r="J173" s="17" t="n"/>
      <c r="K173" s="17" t="n"/>
      <c r="L173" s="17" t="n"/>
    </row>
    <row r="174" ht="20.05" customHeight="1" s="215">
      <c r="A174" s="37" t="n"/>
      <c r="B174" s="34" t="inlineStr">
        <is>
          <t>Source of the data (verbal)</t>
        </is>
      </c>
      <c r="C174" s="58">
        <f t="array" ref="C174">IF(C175="","?",C175)&amp;IF(C176="","","; downloaded "&amp;C176)&amp;IF(C177="","","; "&amp;C177)</f>
        <v/>
      </c>
      <c r="D174" s="218" t="n"/>
      <c r="E174" s="218" t="n"/>
      <c r="F174" s="218" t="n"/>
      <c r="G174" s="218" t="n"/>
      <c r="H174" s="218" t="n"/>
      <c r="I174" s="218" t="n"/>
      <c r="J174" s="218" t="n"/>
      <c r="K174" s="218" t="n"/>
      <c r="L174" s="17" t="n"/>
    </row>
    <row r="175" ht="20.05" customHeight="1" s="215">
      <c r="A175" s="23" t="n"/>
      <c r="B175" s="34" t="inlineStr">
        <is>
          <t>URLs, where the data was found</t>
        </is>
      </c>
      <c r="C175" s="59" t="inlineStr">
        <is>
          <t>https://opendata.cbs.nl/ODataApi/odata/37199NED/TypedDataSet (Verlies van het Nederlanderschap, 1985-2024)</t>
        </is>
      </c>
      <c r="D175" s="218" t="n"/>
      <c r="E175" s="218" t="n"/>
      <c r="F175" s="218" t="n"/>
      <c r="G175" s="218" t="n"/>
      <c r="H175" s="218" t="n"/>
      <c r="I175" s="218" t="n"/>
      <c r="J175" s="218" t="n"/>
      <c r="K175" s="218" t="n"/>
      <c r="L175" s="17" t="n"/>
    </row>
    <row r="176" ht="20.05" customHeight="1" s="215">
      <c r="A176" s="37" t="n"/>
      <c r="B176" s="47" t="inlineStr">
        <is>
          <t>Date, when the data was downloaded</t>
        </is>
      </c>
      <c r="C176" s="59" t="inlineStr">
        <is>
          <t>2026-05-26</t>
        </is>
      </c>
      <c r="D176" s="218" t="n"/>
      <c r="E176" s="218" t="n"/>
      <c r="F176" s="218" t="n"/>
      <c r="G176" s="218" t="n"/>
      <c r="H176" s="218" t="n"/>
      <c r="I176" s="218" t="n"/>
      <c r="J176" s="218" t="n"/>
      <c r="K176" s="218" t="n"/>
      <c r="L176" s="17" t="n"/>
    </row>
    <row r="177" ht="20.05" customHeight="1" s="215">
      <c r="A177" s="12" t="n"/>
      <c r="B177" s="13" t="inlineStr">
        <is>
          <t>Manual remarks (not for AI!)</t>
        </is>
      </c>
      <c r="C177" s="155" t="n"/>
      <c r="D177" s="219" t="n"/>
      <c r="E177" s="219" t="n"/>
      <c r="F177" s="219" t="n"/>
      <c r="G177" s="219" t="n"/>
      <c r="H177" s="219" t="n"/>
      <c r="I177" s="219" t="n"/>
      <c r="J177" s="219" t="n"/>
      <c r="K177" s="219" t="n"/>
      <c r="L177" s="17" t="n"/>
    </row>
    <row r="178" ht="20.05" customHeight="1" s="215">
      <c r="A178" s="12" t="n"/>
      <c r="B178" s="13" t="inlineStr">
        <is>
          <t>Remarks of the AI (e.g. calculation)</t>
        </is>
      </c>
      <c r="C178" s="158" t="inlineStr">
        <is>
          <t>Verlust der NL-Staatsangehörigkeit (Expatriation): 1985-2024 aus CBS 37199NED Topic 'VerliesVanHetNederlanderschap_82' mit Sex-Split. Erfasst alle Personen die durch Erwerb fremder Staatsangehörigkeit, Verzicht oder Aberkennung (Art. 14-16 RWN) ihre NL-Staatsangehörigkeit verlieren. Sehr kleine Reihe (1985: 20 Personen Mann; 2024: 94 Personen Mann + 84 Frau). **Pre-1985 nicht publiziert** (37199NED beginnt 1985; 85524NED hat keine Verlies-Aufschlüsselung). Leer + dokumentiert.</t>
        </is>
      </c>
      <c r="D178" s="217" t="n"/>
      <c r="E178" s="217" t="n"/>
      <c r="F178" s="217" t="n"/>
      <c r="G178" s="217" t="n"/>
      <c r="H178" s="217" t="n"/>
      <c r="I178" s="217" t="n"/>
      <c r="J178" s="217" t="n"/>
      <c r="K178" s="217" t="n"/>
      <c r="L178" s="17" t="n"/>
    </row>
    <row r="179" ht="20.05" customHeight="1" s="215">
      <c r="A179" s="12" t="n"/>
      <c r="B179" s="13" t="inlineStr">
        <is>
          <t>Internal remarks</t>
        </is>
      </c>
      <c r="C179" s="57" t="n"/>
      <c r="D179" s="218" t="n"/>
      <c r="E179" s="218" t="n"/>
      <c r="F179" s="218" t="n"/>
      <c r="G179" s="218" t="n"/>
      <c r="H179" s="218" t="n"/>
      <c r="I179" s="218" t="n"/>
      <c r="J179" s="218" t="n"/>
      <c r="K179" s="218" t="n"/>
      <c r="L179" s="17" t="n"/>
    </row>
    <row r="180" ht="20.05" customHeight="1" s="215">
      <c r="A180" s="62" t="n"/>
      <c r="B180" s="63" t="n"/>
      <c r="C180" s="86" t="n"/>
      <c r="D180" s="87" t="n"/>
      <c r="E180" s="87" t="n"/>
      <c r="F180" s="87" t="n"/>
      <c r="G180" s="87" t="n"/>
      <c r="H180" s="87" t="n"/>
      <c r="I180" s="87" t="n"/>
      <c r="J180" s="87" t="n"/>
      <c r="K180" s="87" t="n"/>
      <c r="L180" s="87" t="n"/>
    </row>
  </sheetData>
  <mergeCells count="16">
    <mergeCell ref="A1:L1"/>
    <mergeCell ref="C94:K94"/>
    <mergeCell ref="C87:K87"/>
    <mergeCell ref="C88:K88"/>
    <mergeCell ref="C89:K89"/>
    <mergeCell ref="C90:K90"/>
    <mergeCell ref="C92:K92"/>
    <mergeCell ref="C174:K174"/>
    <mergeCell ref="C175:K175"/>
    <mergeCell ref="C176:K176"/>
    <mergeCell ref="C177:K177"/>
    <mergeCell ref="C179:K179"/>
    <mergeCell ref="C91:K91"/>
    <mergeCell ref="C178:K178"/>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defaultGridColor="1" workbookViewId="0">
      <pane xSplit="0" ySplit="3" topLeftCell="A4" activePane="bottomLeft" state="frozen"/>
      <selection activeCell="A1" sqref="A1"/>
    </sheetView>
  </sheetViews>
  <sheetFormatPr baseColWidth="8" defaultColWidth="16.3333" defaultRowHeight="19.9" customHeight="1" outlineLevelRow="0"/>
  <cols>
    <col width="6.67188" customWidth="1" style="198" min="1" max="1"/>
    <col width="33.3516" customWidth="1" style="198" min="2" max="3"/>
    <col width="13.3516" customWidth="1" style="198" min="4" max="12"/>
    <col width="16.3516" customWidth="1" style="198" min="13" max="16384"/>
  </cols>
  <sheetData>
    <row r="1" ht="27.65" customHeight="1" s="215">
      <c r="A1" s="216" t="inlineStr">
        <is>
          <t>export</t>
        </is>
      </c>
    </row>
    <row r="2" ht="20.05" customHeight="1" s="215">
      <c r="A2" s="199" t="n"/>
      <c r="B2" s="199" t="n"/>
      <c r="C2" s="200" t="inlineStr">
        <is>
          <t>aa</t>
        </is>
      </c>
      <c r="D2" s="200" t="inlineStr">
        <is>
          <t>nf</t>
        </is>
      </c>
      <c r="E2" s="200" t="inlineStr">
        <is>
          <t>nm</t>
        </is>
      </c>
      <c r="F2" s="200" t="inlineStr">
        <is>
          <t>mf</t>
        </is>
      </c>
      <c r="G2" s="200" t="inlineStr">
        <is>
          <t>mm</t>
        </is>
      </c>
      <c r="H2" s="200" t="inlineStr">
        <is>
          <t>na</t>
        </is>
      </c>
      <c r="I2" s="200" t="inlineStr">
        <is>
          <t>ma</t>
        </is>
      </c>
      <c r="J2" s="200" t="inlineStr">
        <is>
          <t>af</t>
        </is>
      </c>
      <c r="K2" s="200" t="inlineStr">
        <is>
          <t>am</t>
        </is>
      </c>
      <c r="L2" s="199" t="n"/>
    </row>
    <row r="3" ht="32.25" customHeight="1" s="215">
      <c r="A3" s="201" t="n"/>
      <c r="B3" s="202">
        <f t="array" ref="B3">'overview'!C11&amp;" / "&amp;'overview'!C12</f>
        <v/>
      </c>
      <c r="C3" s="203" t="inlineStr">
        <is>
          <t>All</t>
        </is>
      </c>
      <c r="D3" s="203" t="inlineStr">
        <is>
          <t>Native Female</t>
        </is>
      </c>
      <c r="E3" s="203" t="inlineStr">
        <is>
          <t>Native Male</t>
        </is>
      </c>
      <c r="F3" s="203" t="inlineStr">
        <is>
          <t>Migrant Female</t>
        </is>
      </c>
      <c r="G3" s="203" t="inlineStr">
        <is>
          <t>Migrant Male</t>
        </is>
      </c>
      <c r="H3" s="203" t="inlineStr">
        <is>
          <t>Utility Native Male + Female</t>
        </is>
      </c>
      <c r="I3" s="203" t="inlineStr">
        <is>
          <t>Utility Migrant Male + Female</t>
        </is>
      </c>
      <c r="J3" s="203" t="inlineStr">
        <is>
          <t>Utility All Female</t>
        </is>
      </c>
      <c r="K3" s="203" t="inlineStr">
        <is>
          <t>Utility All Male</t>
        </is>
      </c>
      <c r="L3" s="203" t="inlineStr">
        <is>
          <t>Utility Other</t>
        </is>
      </c>
    </row>
    <row r="4" ht="33.55" customHeight="1" s="215">
      <c r="A4" s="126" t="n"/>
      <c r="B4" s="127" t="inlineStr">
        <is>
          <t>⚠️</t>
        </is>
      </c>
      <c r="C4" s="128" t="inlineStr">
        <is>
          <t>Do not change this sheet!</t>
        </is>
      </c>
      <c r="D4" s="229" t="n"/>
      <c r="E4" s="229" t="n"/>
      <c r="F4" s="229" t="n"/>
      <c r="G4" s="229" t="n"/>
      <c r="H4" s="229" t="n"/>
      <c r="I4" s="229" t="n"/>
      <c r="J4" s="229" t="n"/>
      <c r="K4" s="229" t="n"/>
      <c r="L4" s="72" t="n"/>
    </row>
    <row r="5" ht="26.85" customHeight="1" s="215">
      <c r="A5" s="30" t="n"/>
      <c r="B5" s="31" t="inlineStr">
        <is>
          <t>Overview</t>
        </is>
      </c>
      <c r="C5" s="32" t="n"/>
      <c r="D5" s="218" t="n"/>
      <c r="E5" s="218" t="n"/>
      <c r="F5" s="218" t="n"/>
      <c r="G5" s="218" t="n"/>
      <c r="H5" s="218" t="n"/>
      <c r="I5" s="218" t="n"/>
      <c r="J5" s="218" t="n"/>
      <c r="K5" s="218" t="n"/>
      <c r="L5" s="33" t="n"/>
    </row>
    <row r="6" ht="20.05" customHeight="1" s="215">
      <c r="A6" s="199">
        <f t="array" ref="A6">'overview'!A11</f>
        <v/>
      </c>
      <c r="B6" s="76" t="n"/>
      <c r="C6" s="76">
        <f t="array" ref="C6">'overview'!C11</f>
        <v/>
      </c>
      <c r="D6" s="78" t="n"/>
      <c r="E6" s="78" t="n"/>
      <c r="F6" s="78" t="n"/>
      <c r="G6" s="78" t="n"/>
      <c r="H6" s="78" t="n"/>
      <c r="I6" s="78" t="n"/>
      <c r="J6" s="78" t="n"/>
      <c r="K6" s="78" t="n"/>
      <c r="L6" s="78" t="n"/>
    </row>
    <row r="7" ht="20.05" customHeight="1" s="215">
      <c r="A7" s="199">
        <f t="array" ref="A7">'overview'!A12</f>
        <v/>
      </c>
      <c r="B7" s="76" t="n"/>
      <c r="C7" s="76">
        <f t="array" ref="C7">'overview'!C12</f>
        <v/>
      </c>
      <c r="D7" s="78" t="n"/>
      <c r="E7" s="78" t="n"/>
      <c r="F7" s="78" t="n"/>
      <c r="G7" s="78" t="n"/>
      <c r="H7" s="78" t="n"/>
      <c r="I7" s="78" t="n"/>
      <c r="J7" s="78" t="n"/>
      <c r="K7" s="78" t="n"/>
      <c r="L7" s="78" t="n"/>
    </row>
    <row r="8" ht="20.05" customHeight="1" s="215">
      <c r="A8" s="199">
        <f t="array" ref="A8">'overview'!$A49</f>
        <v/>
      </c>
      <c r="B8" s="78" t="n"/>
      <c r="C8" s="78">
        <f t="array" ref="C8">'overview'!C49</f>
        <v/>
      </c>
      <c r="D8" s="78" t="n"/>
      <c r="E8" s="78" t="n"/>
      <c r="F8" s="78" t="n"/>
      <c r="G8" s="78" t="n"/>
      <c r="H8" s="78" t="n"/>
      <c r="I8" s="78" t="n"/>
      <c r="J8" s="78" t="n"/>
      <c r="K8" s="78" t="n"/>
      <c r="L8" s="78" t="n"/>
    </row>
    <row r="9" ht="44.05" customHeight="1" s="215">
      <c r="A9" s="204">
        <f t="array" ref="A9">'overview'!$A51</f>
        <v/>
      </c>
      <c r="B9" s="150" t="n"/>
      <c r="C9" s="151">
        <f t="array" ref="C9">'overview'!C51</f>
        <v/>
      </c>
      <c r="D9" s="150" t="n"/>
      <c r="E9" s="150" t="n"/>
      <c r="F9" s="150" t="n"/>
      <c r="G9" s="150" t="n"/>
      <c r="H9" s="150" t="n"/>
      <c r="I9" s="150" t="n"/>
      <c r="J9" s="150" t="n"/>
      <c r="K9" s="150" t="n"/>
      <c r="L9" s="78" t="n"/>
    </row>
    <row r="10" ht="20.05" customHeight="1" s="215">
      <c r="A10" s="205">
        <f t="array" ref="A10">'overview'!$A60</f>
        <v/>
      </c>
      <c r="B10" s="206" t="n"/>
      <c r="C10" s="207">
        <f t="array" ref="C10">'overview'!C60</f>
        <v/>
      </c>
      <c r="D10" s="207">
        <f t="array" ref="D10">'overview'!D60</f>
        <v/>
      </c>
      <c r="E10" s="207">
        <f t="array" ref="E10">'overview'!E60</f>
        <v/>
      </c>
      <c r="F10" s="207">
        <f t="array" ref="F10">'overview'!F60</f>
        <v/>
      </c>
      <c r="G10" s="207">
        <f t="array" ref="G10">'overview'!G60</f>
        <v/>
      </c>
      <c r="H10" s="207">
        <f t="array" ref="H10">'overview'!H60</f>
        <v/>
      </c>
      <c r="I10" s="207">
        <f t="array" ref="I10">'overview'!I60</f>
        <v/>
      </c>
      <c r="J10" s="207">
        <f t="array" ref="J10">'overview'!J60</f>
        <v/>
      </c>
      <c r="K10" s="207">
        <f t="array" ref="K10">'overview'!K60</f>
        <v/>
      </c>
      <c r="L10" s="78" t="n"/>
    </row>
    <row r="11" ht="44.05" customHeight="1" s="215">
      <c r="A11" s="208">
        <f t="array" ref="A11">'overview'!$A62</f>
        <v/>
      </c>
      <c r="B11" s="209" t="n"/>
      <c r="C11" s="153">
        <f t="array" ref="C11">'overview'!C62</f>
        <v/>
      </c>
      <c r="D11" s="209" t="n"/>
      <c r="E11" s="209" t="n"/>
      <c r="F11" s="209" t="n"/>
      <c r="G11" s="209" t="n"/>
      <c r="H11" s="209" t="n"/>
      <c r="I11" s="209" t="n"/>
      <c r="J11" s="209" t="n"/>
      <c r="K11" s="209" t="n"/>
      <c r="L11" s="78" t="n"/>
    </row>
    <row r="12" ht="20.05" customHeight="1" s="215">
      <c r="A12" s="199" t="n"/>
      <c r="B12" s="78" t="n"/>
      <c r="C12" s="78" t="n"/>
      <c r="D12" s="78" t="n"/>
      <c r="E12" s="78" t="n"/>
      <c r="F12" s="78" t="n"/>
      <c r="G12" s="78" t="n"/>
      <c r="H12" s="78" t="n"/>
      <c r="I12" s="78" t="n"/>
      <c r="J12" s="78" t="n"/>
      <c r="K12" s="78" t="n"/>
      <c r="L12" s="78" t="n"/>
    </row>
    <row r="13" ht="26.85" customHeight="1" s="215">
      <c r="A13" s="30" t="n"/>
      <c r="B13" s="31" t="inlineStr">
        <is>
          <t>Population</t>
        </is>
      </c>
      <c r="C13" s="32" t="n"/>
      <c r="D13" s="218" t="n"/>
      <c r="E13" s="218" t="n"/>
      <c r="F13" s="218" t="n"/>
      <c r="G13" s="218" t="n"/>
      <c r="H13" s="218" t="n"/>
      <c r="I13" s="218" t="n"/>
      <c r="J13" s="218" t="n"/>
      <c r="K13" s="218" t="n"/>
      <c r="L13" s="33" t="n"/>
    </row>
    <row r="14" ht="20.05" customHeight="1" s="215">
      <c r="A14" s="204">
        <f t="array" ref="A14">'population'!$A7</f>
        <v/>
      </c>
      <c r="B14" s="150" t="n"/>
      <c r="C14" s="150">
        <f t="array" ref="C14">'population'!C7</f>
        <v/>
      </c>
      <c r="D14" s="150" t="n"/>
      <c r="E14" s="150" t="n"/>
      <c r="F14" s="150" t="n"/>
      <c r="G14" s="150" t="n"/>
      <c r="H14" s="150" t="n"/>
      <c r="I14" s="150" t="n"/>
      <c r="J14" s="150" t="n"/>
      <c r="K14" s="150" t="n"/>
      <c r="L14" s="78" t="n"/>
    </row>
    <row r="15" ht="20.05" customHeight="1" s="215">
      <c r="A15" s="205">
        <f t="array" ref="A15">'population'!$A9</f>
        <v/>
      </c>
      <c r="B15" s="206" t="n"/>
      <c r="C15" s="206">
        <f t="array" ref="C15">'population'!C9</f>
        <v/>
      </c>
      <c r="D15" s="206">
        <f t="array" ref="D15">'population'!D9</f>
        <v/>
      </c>
      <c r="E15" s="206">
        <f t="array" ref="E15">'population'!E9</f>
        <v/>
      </c>
      <c r="F15" s="206">
        <f t="array" ref="F15">'population'!F9</f>
        <v/>
      </c>
      <c r="G15" s="206">
        <f t="array" ref="G15">'population'!G9</f>
        <v/>
      </c>
      <c r="H15" s="206">
        <f t="array" ref="H15">'population'!H9</f>
        <v/>
      </c>
      <c r="I15" s="206">
        <f t="array" ref="I15">'population'!I9</f>
        <v/>
      </c>
      <c r="J15" s="206">
        <f t="array" ref="J15">'population'!J9</f>
        <v/>
      </c>
      <c r="K15" s="206">
        <f t="array" ref="K15">'population'!K9</f>
        <v/>
      </c>
      <c r="L15" s="78" t="n"/>
    </row>
    <row r="16" ht="20.05" customHeight="1" s="215">
      <c r="A16" s="208">
        <f t="array" ref="A16">'population'!$A10</f>
        <v/>
      </c>
      <c r="B16" s="209" t="n"/>
      <c r="C16" s="209">
        <f t="array" ref="C16">'population'!C10</f>
        <v/>
      </c>
      <c r="D16" s="209">
        <f t="array" ref="D16">'population'!D10</f>
        <v/>
      </c>
      <c r="E16" s="209">
        <f t="array" ref="E16">'population'!E10</f>
        <v/>
      </c>
      <c r="F16" s="209">
        <f t="array" ref="F16">'population'!F10</f>
        <v/>
      </c>
      <c r="G16" s="209">
        <f t="array" ref="G16">'population'!G10</f>
        <v/>
      </c>
      <c r="H16" s="209">
        <f t="array" ref="H16">'population'!H10</f>
        <v/>
      </c>
      <c r="I16" s="209">
        <f t="array" ref="I16">'population'!I10</f>
        <v/>
      </c>
      <c r="J16" s="209">
        <f t="array" ref="J16">'population'!J10</f>
        <v/>
      </c>
      <c r="K16" s="209">
        <f t="array" ref="K16">'population'!K10</f>
        <v/>
      </c>
      <c r="L16" s="78" t="n"/>
    </row>
    <row r="17" ht="20.05" customHeight="1" s="215">
      <c r="A17" s="199">
        <f t="array" ref="A17">'population'!$A11</f>
        <v/>
      </c>
      <c r="B17" s="78" t="n"/>
      <c r="C17" s="78">
        <f t="array" ref="C17">'population'!C11</f>
        <v/>
      </c>
      <c r="D17" s="78">
        <f t="array" ref="D17">'population'!D11</f>
        <v/>
      </c>
      <c r="E17" s="78">
        <f t="array" ref="E17">'population'!E11</f>
        <v/>
      </c>
      <c r="F17" s="78">
        <f t="array" ref="F17">'population'!F11</f>
        <v/>
      </c>
      <c r="G17" s="78">
        <f t="array" ref="G17">'population'!G11</f>
        <v/>
      </c>
      <c r="H17" s="78">
        <f t="array" ref="H17">'population'!H11</f>
        <v/>
      </c>
      <c r="I17" s="78">
        <f t="array" ref="I17">'population'!I11</f>
        <v/>
      </c>
      <c r="J17" s="78">
        <f t="array" ref="J17">'population'!J11</f>
        <v/>
      </c>
      <c r="K17" s="78">
        <f t="array" ref="K17">'population'!K11</f>
        <v/>
      </c>
      <c r="L17" s="78" t="n"/>
    </row>
    <row r="18" ht="20.05" customHeight="1" s="215">
      <c r="A18" s="199">
        <f t="array" ref="A18">'population'!$A12</f>
        <v/>
      </c>
      <c r="B18" s="78" t="n"/>
      <c r="C18" s="78">
        <f t="array" ref="C18">'population'!C12</f>
        <v/>
      </c>
      <c r="D18" s="78">
        <f t="array" ref="D18">'population'!D12</f>
        <v/>
      </c>
      <c r="E18" s="78">
        <f t="array" ref="E18">'population'!E12</f>
        <v/>
      </c>
      <c r="F18" s="78">
        <f t="array" ref="F18">'population'!F12</f>
        <v/>
      </c>
      <c r="G18" s="78">
        <f t="array" ref="G18">'population'!G12</f>
        <v/>
      </c>
      <c r="H18" s="78">
        <f t="array" ref="H18">'population'!H12</f>
        <v/>
      </c>
      <c r="I18" s="78">
        <f t="array" ref="I18">'population'!I12</f>
        <v/>
      </c>
      <c r="J18" s="78">
        <f t="array" ref="J18">'population'!J12</f>
        <v/>
      </c>
      <c r="K18" s="78">
        <f t="array" ref="K18">'population'!K12</f>
        <v/>
      </c>
      <c r="L18" s="78" t="n"/>
    </row>
    <row r="19" ht="20.05" customHeight="1" s="215">
      <c r="A19" s="199">
        <f t="array" ref="A19">'population'!$A13</f>
        <v/>
      </c>
      <c r="B19" s="78" t="n"/>
      <c r="C19" s="78">
        <f t="array" ref="C19">'population'!C13</f>
        <v/>
      </c>
      <c r="D19" s="78">
        <f t="array" ref="D19">'population'!D13</f>
        <v/>
      </c>
      <c r="E19" s="78">
        <f t="array" ref="E19">'population'!E13</f>
        <v/>
      </c>
      <c r="F19" s="78">
        <f t="array" ref="F19">'population'!F13</f>
        <v/>
      </c>
      <c r="G19" s="78">
        <f t="array" ref="G19">'population'!G13</f>
        <v/>
      </c>
      <c r="H19" s="78">
        <f t="array" ref="H19">'population'!H13</f>
        <v/>
      </c>
      <c r="I19" s="78">
        <f t="array" ref="I19">'population'!I13</f>
        <v/>
      </c>
      <c r="J19" s="78">
        <f t="array" ref="J19">'population'!J13</f>
        <v/>
      </c>
      <c r="K19" s="78">
        <f t="array" ref="K19">'population'!K13</f>
        <v/>
      </c>
      <c r="L19" s="78" t="n"/>
    </row>
    <row r="20" ht="20.05" customHeight="1" s="215">
      <c r="A20" s="199">
        <f t="array" ref="A20">'population'!$A14</f>
        <v/>
      </c>
      <c r="B20" s="78" t="n"/>
      <c r="C20" s="78">
        <f t="array" ref="C20">'population'!C14</f>
        <v/>
      </c>
      <c r="D20" s="78">
        <f t="array" ref="D20">'population'!D14</f>
        <v/>
      </c>
      <c r="E20" s="78">
        <f t="array" ref="E20">'population'!E14</f>
        <v/>
      </c>
      <c r="F20" s="78">
        <f t="array" ref="F20">'population'!F14</f>
        <v/>
      </c>
      <c r="G20" s="78">
        <f t="array" ref="G20">'population'!G14</f>
        <v/>
      </c>
      <c r="H20" s="78">
        <f t="array" ref="H20">'population'!H14</f>
        <v/>
      </c>
      <c r="I20" s="78">
        <f t="array" ref="I20">'population'!I14</f>
        <v/>
      </c>
      <c r="J20" s="78">
        <f t="array" ref="J20">'population'!J14</f>
        <v/>
      </c>
      <c r="K20" s="78">
        <f t="array" ref="K20">'population'!K14</f>
        <v/>
      </c>
      <c r="L20" s="78" t="n"/>
    </row>
    <row r="21" ht="20.05" customHeight="1" s="215">
      <c r="A21" s="199">
        <f t="array" ref="A21">'population'!$A15</f>
        <v/>
      </c>
      <c r="B21" s="78" t="n"/>
      <c r="C21" s="78">
        <f t="array" ref="C21">'population'!C15</f>
        <v/>
      </c>
      <c r="D21" s="78">
        <f t="array" ref="D21">'population'!D15</f>
        <v/>
      </c>
      <c r="E21" s="78">
        <f t="array" ref="E21">'population'!E15</f>
        <v/>
      </c>
      <c r="F21" s="78">
        <f t="array" ref="F21">'population'!F15</f>
        <v/>
      </c>
      <c r="G21" s="78">
        <f t="array" ref="G21">'population'!G15</f>
        <v/>
      </c>
      <c r="H21" s="78">
        <f t="array" ref="H21">'population'!H15</f>
        <v/>
      </c>
      <c r="I21" s="78">
        <f t="array" ref="I21">'population'!I15</f>
        <v/>
      </c>
      <c r="J21" s="78">
        <f t="array" ref="J21">'population'!J15</f>
        <v/>
      </c>
      <c r="K21" s="78">
        <f t="array" ref="K21">'population'!K15</f>
        <v/>
      </c>
      <c r="L21" s="78" t="n"/>
    </row>
    <row r="22" ht="20.05" customHeight="1" s="215">
      <c r="A22" s="199">
        <f t="array" ref="A22">'population'!$A16</f>
        <v/>
      </c>
      <c r="B22" s="78" t="n"/>
      <c r="C22" s="78">
        <f t="array" ref="C22">'population'!C16</f>
        <v/>
      </c>
      <c r="D22" s="78">
        <f t="array" ref="D22">'population'!D16</f>
        <v/>
      </c>
      <c r="E22" s="78">
        <f t="array" ref="E22">'population'!E16</f>
        <v/>
      </c>
      <c r="F22" s="78">
        <f t="array" ref="F22">'population'!F16</f>
        <v/>
      </c>
      <c r="G22" s="78">
        <f t="array" ref="G22">'population'!G16</f>
        <v/>
      </c>
      <c r="H22" s="78">
        <f t="array" ref="H22">'population'!H16</f>
        <v/>
      </c>
      <c r="I22" s="78">
        <f t="array" ref="I22">'population'!I16</f>
        <v/>
      </c>
      <c r="J22" s="78">
        <f t="array" ref="J22">'population'!J16</f>
        <v/>
      </c>
      <c r="K22" s="78">
        <f t="array" ref="K22">'population'!K16</f>
        <v/>
      </c>
      <c r="L22" s="78" t="n"/>
    </row>
    <row r="23" ht="20.05" customHeight="1" s="215">
      <c r="A23" s="199">
        <f t="array" ref="A23">'population'!$A17</f>
        <v/>
      </c>
      <c r="B23" s="78" t="n"/>
      <c r="C23" s="78">
        <f t="array" ref="C23">'population'!C17</f>
        <v/>
      </c>
      <c r="D23" s="78">
        <f t="array" ref="D23">'population'!D17</f>
        <v/>
      </c>
      <c r="E23" s="78">
        <f t="array" ref="E23">'population'!E17</f>
        <v/>
      </c>
      <c r="F23" s="78">
        <f t="array" ref="F23">'population'!F17</f>
        <v/>
      </c>
      <c r="G23" s="78">
        <f t="array" ref="G23">'population'!G17</f>
        <v/>
      </c>
      <c r="H23" s="78">
        <f t="array" ref="H23">'population'!H17</f>
        <v/>
      </c>
      <c r="I23" s="78">
        <f t="array" ref="I23">'population'!I17</f>
        <v/>
      </c>
      <c r="J23" s="78">
        <f t="array" ref="J23">'population'!J17</f>
        <v/>
      </c>
      <c r="K23" s="78">
        <f t="array" ref="K23">'population'!K17</f>
        <v/>
      </c>
      <c r="L23" s="78" t="n"/>
    </row>
    <row r="24" ht="20.05" customHeight="1" s="215">
      <c r="A24" s="199">
        <f t="array" ref="A24">'population'!$A18</f>
        <v/>
      </c>
      <c r="B24" s="78" t="n"/>
      <c r="C24" s="78">
        <f t="array" ref="C24">'population'!C18</f>
        <v/>
      </c>
      <c r="D24" s="78">
        <f t="array" ref="D24">'population'!D18</f>
        <v/>
      </c>
      <c r="E24" s="78">
        <f t="array" ref="E24">'population'!E18</f>
        <v/>
      </c>
      <c r="F24" s="78">
        <f t="array" ref="F24">'population'!F18</f>
        <v/>
      </c>
      <c r="G24" s="78">
        <f t="array" ref="G24">'population'!G18</f>
        <v/>
      </c>
      <c r="H24" s="78">
        <f t="array" ref="H24">'population'!H18</f>
        <v/>
      </c>
      <c r="I24" s="78">
        <f t="array" ref="I24">'population'!I18</f>
        <v/>
      </c>
      <c r="J24" s="78">
        <f t="array" ref="J24">'population'!J18</f>
        <v/>
      </c>
      <c r="K24" s="78">
        <f t="array" ref="K24">'population'!K18</f>
        <v/>
      </c>
      <c r="L24" s="78" t="n"/>
    </row>
    <row r="25" ht="20.05" customHeight="1" s="215">
      <c r="A25" s="199">
        <f t="array" ref="A25">'population'!$A19</f>
        <v/>
      </c>
      <c r="B25" s="78" t="n"/>
      <c r="C25" s="78">
        <f t="array" ref="C25">'population'!C19</f>
        <v/>
      </c>
      <c r="D25" s="78">
        <f t="array" ref="D25">'population'!D19</f>
        <v/>
      </c>
      <c r="E25" s="78">
        <f t="array" ref="E25">'population'!E19</f>
        <v/>
      </c>
      <c r="F25" s="78">
        <f t="array" ref="F25">'population'!F19</f>
        <v/>
      </c>
      <c r="G25" s="78">
        <f t="array" ref="G25">'population'!G19</f>
        <v/>
      </c>
      <c r="H25" s="78">
        <f t="array" ref="H25">'population'!H19</f>
        <v/>
      </c>
      <c r="I25" s="78">
        <f t="array" ref="I25">'population'!I19</f>
        <v/>
      </c>
      <c r="J25" s="78">
        <f t="array" ref="J25">'population'!J19</f>
        <v/>
      </c>
      <c r="K25" s="78">
        <f t="array" ref="K25">'population'!K19</f>
        <v/>
      </c>
      <c r="L25" s="78" t="n"/>
    </row>
    <row r="26" ht="20.05" customHeight="1" s="215">
      <c r="A26" s="199">
        <f t="array" ref="A26">'population'!$A20</f>
        <v/>
      </c>
      <c r="B26" s="78" t="n"/>
      <c r="C26" s="78">
        <f t="array" ref="C26">'population'!C20</f>
        <v/>
      </c>
      <c r="D26" s="78">
        <f t="array" ref="D26">'population'!D20</f>
        <v/>
      </c>
      <c r="E26" s="78">
        <f t="array" ref="E26">'population'!E20</f>
        <v/>
      </c>
      <c r="F26" s="78">
        <f t="array" ref="F26">'population'!F20</f>
        <v/>
      </c>
      <c r="G26" s="78">
        <f t="array" ref="G26">'population'!G20</f>
        <v/>
      </c>
      <c r="H26" s="78">
        <f t="array" ref="H26">'population'!H20</f>
        <v/>
      </c>
      <c r="I26" s="78">
        <f t="array" ref="I26">'population'!I20</f>
        <v/>
      </c>
      <c r="J26" s="78">
        <f t="array" ref="J26">'population'!J20</f>
        <v/>
      </c>
      <c r="K26" s="78">
        <f t="array" ref="K26">'population'!K20</f>
        <v/>
      </c>
      <c r="L26" s="78" t="n"/>
    </row>
    <row r="27" ht="20.05" customHeight="1" s="215">
      <c r="A27" s="199">
        <f t="array" ref="A27">'population'!$A21</f>
        <v/>
      </c>
      <c r="B27" s="78" t="n"/>
      <c r="C27" s="78">
        <f t="array" ref="C27">'population'!C21</f>
        <v/>
      </c>
      <c r="D27" s="78">
        <f t="array" ref="D27">'population'!D21</f>
        <v/>
      </c>
      <c r="E27" s="78">
        <f t="array" ref="E27">'population'!E21</f>
        <v/>
      </c>
      <c r="F27" s="78">
        <f t="array" ref="F27">'population'!F21</f>
        <v/>
      </c>
      <c r="G27" s="78">
        <f t="array" ref="G27">'population'!G21</f>
        <v/>
      </c>
      <c r="H27" s="78">
        <f t="array" ref="H27">'population'!H21</f>
        <v/>
      </c>
      <c r="I27" s="78">
        <f t="array" ref="I27">'population'!I21</f>
        <v/>
      </c>
      <c r="J27" s="78">
        <f t="array" ref="J27">'population'!J21</f>
        <v/>
      </c>
      <c r="K27" s="78">
        <f t="array" ref="K27">'population'!K21</f>
        <v/>
      </c>
      <c r="L27" s="78" t="n"/>
    </row>
    <row r="28" ht="20.05" customHeight="1" s="215">
      <c r="A28" s="199">
        <f t="array" ref="A28">'population'!$A22</f>
        <v/>
      </c>
      <c r="B28" s="78" t="n"/>
      <c r="C28" s="78">
        <f t="array" ref="C28">'population'!C22</f>
        <v/>
      </c>
      <c r="D28" s="78">
        <f t="array" ref="D28">'population'!D22</f>
        <v/>
      </c>
      <c r="E28" s="78">
        <f t="array" ref="E28">'population'!E22</f>
        <v/>
      </c>
      <c r="F28" s="78">
        <f t="array" ref="F28">'population'!F22</f>
        <v/>
      </c>
      <c r="G28" s="78">
        <f t="array" ref="G28">'population'!G22</f>
        <v/>
      </c>
      <c r="H28" s="78">
        <f t="array" ref="H28">'population'!H22</f>
        <v/>
      </c>
      <c r="I28" s="78">
        <f t="array" ref="I28">'population'!I22</f>
        <v/>
      </c>
      <c r="J28" s="78">
        <f t="array" ref="J28">'population'!J22</f>
        <v/>
      </c>
      <c r="K28" s="78">
        <f t="array" ref="K28">'population'!K22</f>
        <v/>
      </c>
      <c r="L28" s="78" t="n"/>
    </row>
    <row r="29" ht="20.05" customHeight="1" s="215">
      <c r="A29" s="199">
        <f t="array" ref="A29">'population'!$A23</f>
        <v/>
      </c>
      <c r="B29" s="78" t="n"/>
      <c r="C29" s="78">
        <f t="array" ref="C29">'population'!C23</f>
        <v/>
      </c>
      <c r="D29" s="78">
        <f t="array" ref="D29">'population'!D23</f>
        <v/>
      </c>
      <c r="E29" s="78">
        <f t="array" ref="E29">'population'!E23</f>
        <v/>
      </c>
      <c r="F29" s="78">
        <f t="array" ref="F29">'population'!F23</f>
        <v/>
      </c>
      <c r="G29" s="78">
        <f t="array" ref="G29">'population'!G23</f>
        <v/>
      </c>
      <c r="H29" s="78">
        <f t="array" ref="H29">'population'!H23</f>
        <v/>
      </c>
      <c r="I29" s="78">
        <f t="array" ref="I29">'population'!I23</f>
        <v/>
      </c>
      <c r="J29" s="78">
        <f t="array" ref="J29">'population'!J23</f>
        <v/>
      </c>
      <c r="K29" s="78">
        <f t="array" ref="K29">'population'!K23</f>
        <v/>
      </c>
      <c r="L29" s="78" t="n"/>
    </row>
    <row r="30" ht="20.05" customHeight="1" s="215">
      <c r="A30" s="199">
        <f t="array" ref="A30">'population'!$A24</f>
        <v/>
      </c>
      <c r="B30" s="78" t="n"/>
      <c r="C30" s="78">
        <f t="array" ref="C30">'population'!C24</f>
        <v/>
      </c>
      <c r="D30" s="78">
        <f t="array" ref="D30">'population'!D24</f>
        <v/>
      </c>
      <c r="E30" s="78">
        <f t="array" ref="E30">'population'!E24</f>
        <v/>
      </c>
      <c r="F30" s="78">
        <f t="array" ref="F30">'population'!F24</f>
        <v/>
      </c>
      <c r="G30" s="78">
        <f t="array" ref="G30">'population'!G24</f>
        <v/>
      </c>
      <c r="H30" s="78">
        <f t="array" ref="H30">'population'!H24</f>
        <v/>
      </c>
      <c r="I30" s="78">
        <f t="array" ref="I30">'population'!I24</f>
        <v/>
      </c>
      <c r="J30" s="78">
        <f t="array" ref="J30">'population'!J24</f>
        <v/>
      </c>
      <c r="K30" s="78">
        <f t="array" ref="K30">'population'!K24</f>
        <v/>
      </c>
      <c r="L30" s="78" t="n"/>
    </row>
    <row r="31" ht="20.05" customHeight="1" s="215">
      <c r="A31" s="199">
        <f t="array" ref="A31">'population'!$A25</f>
        <v/>
      </c>
      <c r="B31" s="78" t="n"/>
      <c r="C31" s="78">
        <f t="array" ref="C31">'population'!C25</f>
        <v/>
      </c>
      <c r="D31" s="78">
        <f t="array" ref="D31">'population'!D25</f>
        <v/>
      </c>
      <c r="E31" s="78">
        <f t="array" ref="E31">'population'!E25</f>
        <v/>
      </c>
      <c r="F31" s="78">
        <f t="array" ref="F31">'population'!F25</f>
        <v/>
      </c>
      <c r="G31" s="78">
        <f t="array" ref="G31">'population'!G25</f>
        <v/>
      </c>
      <c r="H31" s="78">
        <f t="array" ref="H31">'population'!H25</f>
        <v/>
      </c>
      <c r="I31" s="78">
        <f t="array" ref="I31">'population'!I25</f>
        <v/>
      </c>
      <c r="J31" s="78">
        <f t="array" ref="J31">'population'!J25</f>
        <v/>
      </c>
      <c r="K31" s="78">
        <f t="array" ref="K31">'population'!K25</f>
        <v/>
      </c>
      <c r="L31" s="78" t="n"/>
    </row>
    <row r="32" ht="20.05" customHeight="1" s="215">
      <c r="A32" s="199">
        <f t="array" ref="A32">'population'!$A26</f>
        <v/>
      </c>
      <c r="B32" s="78" t="n"/>
      <c r="C32" s="78">
        <f t="array" ref="C32">'population'!C26</f>
        <v/>
      </c>
      <c r="D32" s="78">
        <f t="array" ref="D32">'population'!D26</f>
        <v/>
      </c>
      <c r="E32" s="78">
        <f t="array" ref="E32">'population'!E26</f>
        <v/>
      </c>
      <c r="F32" s="78">
        <f t="array" ref="F32">'population'!F26</f>
        <v/>
      </c>
      <c r="G32" s="78">
        <f t="array" ref="G32">'population'!G26</f>
        <v/>
      </c>
      <c r="H32" s="78">
        <f t="array" ref="H32">'population'!H26</f>
        <v/>
      </c>
      <c r="I32" s="78">
        <f t="array" ref="I32">'population'!I26</f>
        <v/>
      </c>
      <c r="J32" s="78">
        <f t="array" ref="J32">'population'!J26</f>
        <v/>
      </c>
      <c r="K32" s="78">
        <f t="array" ref="K32">'population'!K26</f>
        <v/>
      </c>
      <c r="L32" s="78" t="n"/>
    </row>
    <row r="33" ht="20.05" customHeight="1" s="215">
      <c r="A33" s="199">
        <f t="array" ref="A33">'population'!$A27</f>
        <v/>
      </c>
      <c r="B33" s="78" t="n"/>
      <c r="C33" s="78">
        <f t="array" ref="C33">'population'!C27</f>
        <v/>
      </c>
      <c r="D33" s="78">
        <f t="array" ref="D33">'population'!D27</f>
        <v/>
      </c>
      <c r="E33" s="78">
        <f t="array" ref="E33">'population'!E27</f>
        <v/>
      </c>
      <c r="F33" s="78">
        <f t="array" ref="F33">'population'!F27</f>
        <v/>
      </c>
      <c r="G33" s="78">
        <f t="array" ref="G33">'population'!G27</f>
        <v/>
      </c>
      <c r="H33" s="78">
        <f t="array" ref="H33">'population'!H27</f>
        <v/>
      </c>
      <c r="I33" s="78">
        <f t="array" ref="I33">'population'!I27</f>
        <v/>
      </c>
      <c r="J33" s="78">
        <f t="array" ref="J33">'population'!J27</f>
        <v/>
      </c>
      <c r="K33" s="78">
        <f t="array" ref="K33">'population'!K27</f>
        <v/>
      </c>
      <c r="L33" s="78" t="n"/>
    </row>
    <row r="34" ht="20.05" customHeight="1" s="215">
      <c r="A34" s="199">
        <f t="array" ref="A34">'population'!$A28</f>
        <v/>
      </c>
      <c r="B34" s="78" t="n"/>
      <c r="C34" s="78">
        <f t="array" ref="C34">'population'!C28</f>
        <v/>
      </c>
      <c r="D34" s="78">
        <f t="array" ref="D34">'population'!D28</f>
        <v/>
      </c>
      <c r="E34" s="78">
        <f t="array" ref="E34">'population'!E28</f>
        <v/>
      </c>
      <c r="F34" s="78">
        <f t="array" ref="F34">'population'!F28</f>
        <v/>
      </c>
      <c r="G34" s="78">
        <f t="array" ref="G34">'population'!G28</f>
        <v/>
      </c>
      <c r="H34" s="78">
        <f t="array" ref="H34">'population'!H28</f>
        <v/>
      </c>
      <c r="I34" s="78">
        <f t="array" ref="I34">'population'!I28</f>
        <v/>
      </c>
      <c r="J34" s="78">
        <f t="array" ref="J34">'population'!J28</f>
        <v/>
      </c>
      <c r="K34" s="78">
        <f t="array" ref="K34">'population'!K28</f>
        <v/>
      </c>
      <c r="L34" s="78" t="n"/>
    </row>
    <row r="35" ht="20.05" customHeight="1" s="215">
      <c r="A35" s="199">
        <f t="array" ref="A35">'population'!$A29</f>
        <v/>
      </c>
      <c r="B35" s="78" t="n"/>
      <c r="C35" s="78">
        <f t="array" ref="C35">'population'!C29</f>
        <v/>
      </c>
      <c r="D35" s="78">
        <f t="array" ref="D35">'population'!D29</f>
        <v/>
      </c>
      <c r="E35" s="78">
        <f t="array" ref="E35">'population'!E29</f>
        <v/>
      </c>
      <c r="F35" s="78">
        <f t="array" ref="F35">'population'!F29</f>
        <v/>
      </c>
      <c r="G35" s="78">
        <f t="array" ref="G35">'population'!G29</f>
        <v/>
      </c>
      <c r="H35" s="78">
        <f t="array" ref="H35">'population'!H29</f>
        <v/>
      </c>
      <c r="I35" s="78">
        <f t="array" ref="I35">'population'!I29</f>
        <v/>
      </c>
      <c r="J35" s="78">
        <f t="array" ref="J35">'population'!J29</f>
        <v/>
      </c>
      <c r="K35" s="78">
        <f t="array" ref="K35">'population'!K29</f>
        <v/>
      </c>
      <c r="L35" s="78" t="n"/>
    </row>
    <row r="36" ht="20.05" customHeight="1" s="215">
      <c r="A36" s="199">
        <f t="array" ref="A36">'population'!$A30</f>
        <v/>
      </c>
      <c r="B36" s="78" t="n"/>
      <c r="C36" s="78">
        <f t="array" ref="C36">'population'!C30</f>
        <v/>
      </c>
      <c r="D36" s="78">
        <f t="array" ref="D36">'population'!D30</f>
        <v/>
      </c>
      <c r="E36" s="78">
        <f t="array" ref="E36">'population'!E30</f>
        <v/>
      </c>
      <c r="F36" s="78">
        <f t="array" ref="F36">'population'!F30</f>
        <v/>
      </c>
      <c r="G36" s="78">
        <f t="array" ref="G36">'population'!G30</f>
        <v/>
      </c>
      <c r="H36" s="78">
        <f t="array" ref="H36">'population'!H30</f>
        <v/>
      </c>
      <c r="I36" s="78">
        <f t="array" ref="I36">'population'!I30</f>
        <v/>
      </c>
      <c r="J36" s="78">
        <f t="array" ref="J36">'population'!J30</f>
        <v/>
      </c>
      <c r="K36" s="78">
        <f t="array" ref="K36">'population'!K30</f>
        <v/>
      </c>
      <c r="L36" s="78" t="n"/>
    </row>
    <row r="37" ht="20.05" customHeight="1" s="215">
      <c r="A37" s="199">
        <f t="array" ref="A37">'population'!$A31</f>
        <v/>
      </c>
      <c r="B37" s="78" t="n"/>
      <c r="C37" s="78">
        <f t="array" ref="C37">'population'!C31</f>
        <v/>
      </c>
      <c r="D37" s="78">
        <f t="array" ref="D37">'population'!D31</f>
        <v/>
      </c>
      <c r="E37" s="78">
        <f t="array" ref="E37">'population'!E31</f>
        <v/>
      </c>
      <c r="F37" s="78">
        <f t="array" ref="F37">'population'!F31</f>
        <v/>
      </c>
      <c r="G37" s="78">
        <f t="array" ref="G37">'population'!G31</f>
        <v/>
      </c>
      <c r="H37" s="78">
        <f t="array" ref="H37">'population'!H31</f>
        <v/>
      </c>
      <c r="I37" s="78">
        <f t="array" ref="I37">'population'!I31</f>
        <v/>
      </c>
      <c r="J37" s="78">
        <f t="array" ref="J37">'population'!J31</f>
        <v/>
      </c>
      <c r="K37" s="78">
        <f t="array" ref="K37">'population'!K31</f>
        <v/>
      </c>
      <c r="L37" s="78" t="n"/>
    </row>
    <row r="38" ht="20.05" customHeight="1" s="215">
      <c r="A38" s="199">
        <f t="array" ref="A38">'population'!$A32</f>
        <v/>
      </c>
      <c r="B38" s="78" t="n"/>
      <c r="C38" s="78">
        <f t="array" ref="C38">'population'!C32</f>
        <v/>
      </c>
      <c r="D38" s="78">
        <f t="array" ref="D38">'population'!D32</f>
        <v/>
      </c>
      <c r="E38" s="78">
        <f t="array" ref="E38">'population'!E32</f>
        <v/>
      </c>
      <c r="F38" s="78">
        <f t="array" ref="F38">'population'!F32</f>
        <v/>
      </c>
      <c r="G38" s="78">
        <f t="array" ref="G38">'population'!G32</f>
        <v/>
      </c>
      <c r="H38" s="78">
        <f t="array" ref="H38">'population'!H32</f>
        <v/>
      </c>
      <c r="I38" s="78">
        <f t="array" ref="I38">'population'!I32</f>
        <v/>
      </c>
      <c r="J38" s="78">
        <f t="array" ref="J38">'population'!J32</f>
        <v/>
      </c>
      <c r="K38" s="78">
        <f t="array" ref="K38">'population'!K32</f>
        <v/>
      </c>
      <c r="L38" s="78" t="n"/>
    </row>
    <row r="39" ht="20.05" customHeight="1" s="215">
      <c r="A39" s="199">
        <f t="array" ref="A39">'population'!$A33</f>
        <v/>
      </c>
      <c r="B39" s="78" t="n"/>
      <c r="C39" s="78">
        <f t="array" ref="C39">'population'!C33</f>
        <v/>
      </c>
      <c r="D39" s="78">
        <f t="array" ref="D39">'population'!D33</f>
        <v/>
      </c>
      <c r="E39" s="78">
        <f t="array" ref="E39">'population'!E33</f>
        <v/>
      </c>
      <c r="F39" s="78">
        <f t="array" ref="F39">'population'!F33</f>
        <v/>
      </c>
      <c r="G39" s="78">
        <f t="array" ref="G39">'population'!G33</f>
        <v/>
      </c>
      <c r="H39" s="78">
        <f t="array" ref="H39">'population'!H33</f>
        <v/>
      </c>
      <c r="I39" s="78">
        <f t="array" ref="I39">'population'!I33</f>
        <v/>
      </c>
      <c r="J39" s="78">
        <f t="array" ref="J39">'population'!J33</f>
        <v/>
      </c>
      <c r="K39" s="78">
        <f t="array" ref="K39">'population'!K33</f>
        <v/>
      </c>
      <c r="L39" s="78" t="n"/>
    </row>
    <row r="40" ht="20.05" customHeight="1" s="215">
      <c r="A40" s="199">
        <f t="array" ref="A40">'population'!$A34</f>
        <v/>
      </c>
      <c r="B40" s="78" t="n"/>
      <c r="C40" s="78">
        <f t="array" ref="C40">'population'!C34</f>
        <v/>
      </c>
      <c r="D40" s="78">
        <f t="array" ref="D40">'population'!D34</f>
        <v/>
      </c>
      <c r="E40" s="78">
        <f t="array" ref="E40">'population'!E34</f>
        <v/>
      </c>
      <c r="F40" s="78">
        <f t="array" ref="F40">'population'!F34</f>
        <v/>
      </c>
      <c r="G40" s="78">
        <f t="array" ref="G40">'population'!G34</f>
        <v/>
      </c>
      <c r="H40" s="78">
        <f t="array" ref="H40">'population'!H34</f>
        <v/>
      </c>
      <c r="I40" s="78">
        <f t="array" ref="I40">'population'!I34</f>
        <v/>
      </c>
      <c r="J40" s="78">
        <f t="array" ref="J40">'population'!J34</f>
        <v/>
      </c>
      <c r="K40" s="78">
        <f t="array" ref="K40">'population'!K34</f>
        <v/>
      </c>
      <c r="L40" s="78" t="n"/>
    </row>
    <row r="41" ht="20.05" customHeight="1" s="215">
      <c r="A41" s="199">
        <f t="array" ref="A41">'population'!$A35</f>
        <v/>
      </c>
      <c r="B41" s="78" t="n"/>
      <c r="C41" s="78">
        <f t="array" ref="C41">'population'!C35</f>
        <v/>
      </c>
      <c r="D41" s="78">
        <f t="array" ref="D41">'population'!D35</f>
        <v/>
      </c>
      <c r="E41" s="78">
        <f t="array" ref="E41">'population'!E35</f>
        <v/>
      </c>
      <c r="F41" s="78">
        <f t="array" ref="F41">'population'!F35</f>
        <v/>
      </c>
      <c r="G41" s="78">
        <f t="array" ref="G41">'population'!G35</f>
        <v/>
      </c>
      <c r="H41" s="78">
        <f t="array" ref="H41">'population'!H35</f>
        <v/>
      </c>
      <c r="I41" s="78">
        <f t="array" ref="I41">'population'!I35</f>
        <v/>
      </c>
      <c r="J41" s="78">
        <f t="array" ref="J41">'population'!J35</f>
        <v/>
      </c>
      <c r="K41" s="78">
        <f t="array" ref="K41">'population'!K35</f>
        <v/>
      </c>
      <c r="L41" s="78" t="n"/>
    </row>
    <row r="42" ht="20.05" customHeight="1" s="215">
      <c r="A42" s="199">
        <f t="array" ref="A42">'population'!$A36</f>
        <v/>
      </c>
      <c r="B42" s="78" t="n"/>
      <c r="C42" s="78">
        <f t="array" ref="C42">'population'!C36</f>
        <v/>
      </c>
      <c r="D42" s="78">
        <f t="array" ref="D42">'population'!D36</f>
        <v/>
      </c>
      <c r="E42" s="78">
        <f t="array" ref="E42">'population'!E36</f>
        <v/>
      </c>
      <c r="F42" s="78">
        <f t="array" ref="F42">'population'!F36</f>
        <v/>
      </c>
      <c r="G42" s="78">
        <f t="array" ref="G42">'population'!G36</f>
        <v/>
      </c>
      <c r="H42" s="78">
        <f t="array" ref="H42">'population'!H36</f>
        <v/>
      </c>
      <c r="I42" s="78">
        <f t="array" ref="I42">'population'!I36</f>
        <v/>
      </c>
      <c r="J42" s="78">
        <f t="array" ref="J42">'population'!J36</f>
        <v/>
      </c>
      <c r="K42" s="78">
        <f t="array" ref="K42">'population'!K36</f>
        <v/>
      </c>
      <c r="L42" s="78" t="n"/>
    </row>
    <row r="43" ht="20.05" customHeight="1" s="215">
      <c r="A43" s="199">
        <f t="array" ref="A43">'population'!$A37</f>
        <v/>
      </c>
      <c r="B43" s="78" t="n"/>
      <c r="C43" s="78">
        <f t="array" ref="C43">'population'!C37</f>
        <v/>
      </c>
      <c r="D43" s="78">
        <f t="array" ref="D43">'population'!D37</f>
        <v/>
      </c>
      <c r="E43" s="78">
        <f t="array" ref="E43">'population'!E37</f>
        <v/>
      </c>
      <c r="F43" s="78">
        <f t="array" ref="F43">'population'!F37</f>
        <v/>
      </c>
      <c r="G43" s="78">
        <f t="array" ref="G43">'population'!G37</f>
        <v/>
      </c>
      <c r="H43" s="78">
        <f t="array" ref="H43">'population'!H37</f>
        <v/>
      </c>
      <c r="I43" s="78">
        <f t="array" ref="I43">'population'!I37</f>
        <v/>
      </c>
      <c r="J43" s="78">
        <f t="array" ref="J43">'population'!J37</f>
        <v/>
      </c>
      <c r="K43" s="78">
        <f t="array" ref="K43">'population'!K37</f>
        <v/>
      </c>
      <c r="L43" s="78" t="n"/>
    </row>
    <row r="44" ht="20.05" customHeight="1" s="215">
      <c r="A44" s="199">
        <f t="array" ref="A44">'population'!$A38</f>
        <v/>
      </c>
      <c r="B44" s="78" t="n"/>
      <c r="C44" s="78">
        <f t="array" ref="C44">'population'!C38</f>
        <v/>
      </c>
      <c r="D44" s="78">
        <f t="array" ref="D44">'population'!D38</f>
        <v/>
      </c>
      <c r="E44" s="78">
        <f t="array" ref="E44">'population'!E38</f>
        <v/>
      </c>
      <c r="F44" s="78">
        <f t="array" ref="F44">'population'!F38</f>
        <v/>
      </c>
      <c r="G44" s="78">
        <f t="array" ref="G44">'population'!G38</f>
        <v/>
      </c>
      <c r="H44" s="78">
        <f t="array" ref="H44">'population'!H38</f>
        <v/>
      </c>
      <c r="I44" s="78">
        <f t="array" ref="I44">'population'!I38</f>
        <v/>
      </c>
      <c r="J44" s="78">
        <f t="array" ref="J44">'population'!J38</f>
        <v/>
      </c>
      <c r="K44" s="78">
        <f t="array" ref="K44">'population'!K38</f>
        <v/>
      </c>
      <c r="L44" s="78" t="n"/>
    </row>
    <row r="45" ht="20.05" customHeight="1" s="215">
      <c r="A45" s="199">
        <f t="array" ref="A45">'population'!$A39</f>
        <v/>
      </c>
      <c r="B45" s="78" t="n"/>
      <c r="C45" s="78">
        <f t="array" ref="C45">'population'!C39</f>
        <v/>
      </c>
      <c r="D45" s="78">
        <f t="array" ref="D45">'population'!D39</f>
        <v/>
      </c>
      <c r="E45" s="78">
        <f t="array" ref="E45">'population'!E39</f>
        <v/>
      </c>
      <c r="F45" s="78">
        <f t="array" ref="F45">'population'!F39</f>
        <v/>
      </c>
      <c r="G45" s="78">
        <f t="array" ref="G45">'population'!G39</f>
        <v/>
      </c>
      <c r="H45" s="78">
        <f t="array" ref="H45">'population'!H39</f>
        <v/>
      </c>
      <c r="I45" s="78">
        <f t="array" ref="I45">'population'!I39</f>
        <v/>
      </c>
      <c r="J45" s="78">
        <f t="array" ref="J45">'population'!J39</f>
        <v/>
      </c>
      <c r="K45" s="78">
        <f t="array" ref="K45">'population'!K39</f>
        <v/>
      </c>
      <c r="L45" s="78" t="n"/>
    </row>
    <row r="46" ht="20.05" customHeight="1" s="215">
      <c r="A46" s="199">
        <f t="array" ref="A46">'population'!$A40</f>
        <v/>
      </c>
      <c r="B46" s="78" t="n"/>
      <c r="C46" s="78">
        <f t="array" ref="C46">'population'!C40</f>
        <v/>
      </c>
      <c r="D46" s="78">
        <f t="array" ref="D46">'population'!D40</f>
        <v/>
      </c>
      <c r="E46" s="78">
        <f t="array" ref="E46">'population'!E40</f>
        <v/>
      </c>
      <c r="F46" s="78">
        <f t="array" ref="F46">'population'!F40</f>
        <v/>
      </c>
      <c r="G46" s="78">
        <f t="array" ref="G46">'population'!G40</f>
        <v/>
      </c>
      <c r="H46" s="78">
        <f t="array" ref="H46">'population'!H40</f>
        <v/>
      </c>
      <c r="I46" s="78">
        <f t="array" ref="I46">'population'!I40</f>
        <v/>
      </c>
      <c r="J46" s="78">
        <f t="array" ref="J46">'population'!J40</f>
        <v/>
      </c>
      <c r="K46" s="78">
        <f t="array" ref="K46">'population'!K40</f>
        <v/>
      </c>
      <c r="L46" s="78" t="n"/>
    </row>
    <row r="47" ht="20.05" customHeight="1" s="215">
      <c r="A47" s="199">
        <f t="array" ref="A47">'population'!$A41</f>
        <v/>
      </c>
      <c r="B47" s="78" t="n"/>
      <c r="C47" s="78">
        <f t="array" ref="C47">'population'!C41</f>
        <v/>
      </c>
      <c r="D47" s="78">
        <f t="array" ref="D47">'population'!D41</f>
        <v/>
      </c>
      <c r="E47" s="78">
        <f t="array" ref="E47">'population'!E41</f>
        <v/>
      </c>
      <c r="F47" s="78">
        <f t="array" ref="F47">'population'!F41</f>
        <v/>
      </c>
      <c r="G47" s="78">
        <f t="array" ref="G47">'population'!G41</f>
        <v/>
      </c>
      <c r="H47" s="78">
        <f t="array" ref="H47">'population'!H41</f>
        <v/>
      </c>
      <c r="I47" s="78">
        <f t="array" ref="I47">'population'!I41</f>
        <v/>
      </c>
      <c r="J47" s="78">
        <f t="array" ref="J47">'population'!J41</f>
        <v/>
      </c>
      <c r="K47" s="78">
        <f t="array" ref="K47">'population'!K41</f>
        <v/>
      </c>
      <c r="L47" s="78" t="n"/>
    </row>
    <row r="48" ht="20.05" customHeight="1" s="215">
      <c r="A48" s="199">
        <f t="array" ref="A48">'population'!$A42</f>
        <v/>
      </c>
      <c r="B48" s="78" t="n"/>
      <c r="C48" s="78">
        <f t="array" ref="C48">'population'!C42</f>
        <v/>
      </c>
      <c r="D48" s="78">
        <f t="array" ref="D48">'population'!D42</f>
        <v/>
      </c>
      <c r="E48" s="78">
        <f t="array" ref="E48">'population'!E42</f>
        <v/>
      </c>
      <c r="F48" s="78">
        <f t="array" ref="F48">'population'!F42</f>
        <v/>
      </c>
      <c r="G48" s="78">
        <f t="array" ref="G48">'population'!G42</f>
        <v/>
      </c>
      <c r="H48" s="78">
        <f t="array" ref="H48">'population'!H42</f>
        <v/>
      </c>
      <c r="I48" s="78">
        <f t="array" ref="I48">'population'!I42</f>
        <v/>
      </c>
      <c r="J48" s="78">
        <f t="array" ref="J48">'population'!J42</f>
        <v/>
      </c>
      <c r="K48" s="78">
        <f t="array" ref="K48">'population'!K42</f>
        <v/>
      </c>
      <c r="L48" s="78" t="n"/>
    </row>
    <row r="49" ht="20.05" customHeight="1" s="215">
      <c r="A49" s="199">
        <f t="array" ref="A49">'population'!$A43</f>
        <v/>
      </c>
      <c r="B49" s="78" t="n"/>
      <c r="C49" s="78">
        <f t="array" ref="C49">'population'!C43</f>
        <v/>
      </c>
      <c r="D49" s="78">
        <f t="array" ref="D49">'population'!D43</f>
        <v/>
      </c>
      <c r="E49" s="78">
        <f t="array" ref="E49">'population'!E43</f>
        <v/>
      </c>
      <c r="F49" s="78">
        <f t="array" ref="F49">'population'!F43</f>
        <v/>
      </c>
      <c r="G49" s="78">
        <f t="array" ref="G49">'population'!G43</f>
        <v/>
      </c>
      <c r="H49" s="78">
        <f t="array" ref="H49">'population'!H43</f>
        <v/>
      </c>
      <c r="I49" s="78">
        <f t="array" ref="I49">'population'!I43</f>
        <v/>
      </c>
      <c r="J49" s="78">
        <f t="array" ref="J49">'population'!J43</f>
        <v/>
      </c>
      <c r="K49" s="78">
        <f t="array" ref="K49">'population'!K43</f>
        <v/>
      </c>
      <c r="L49" s="78" t="n"/>
    </row>
    <row r="50" ht="20.05" customHeight="1" s="215">
      <c r="A50" s="199">
        <f t="array" ref="A50">'population'!$A44</f>
        <v/>
      </c>
      <c r="B50" s="78" t="n"/>
      <c r="C50" s="78">
        <f t="array" ref="C50">'population'!C44</f>
        <v/>
      </c>
      <c r="D50" s="78">
        <f t="array" ref="D50">'population'!D44</f>
        <v/>
      </c>
      <c r="E50" s="78">
        <f t="array" ref="E50">'population'!E44</f>
        <v/>
      </c>
      <c r="F50" s="78">
        <f t="array" ref="F50">'population'!F44</f>
        <v/>
      </c>
      <c r="G50" s="78">
        <f t="array" ref="G50">'population'!G44</f>
        <v/>
      </c>
      <c r="H50" s="78">
        <f t="array" ref="H50">'population'!H44</f>
        <v/>
      </c>
      <c r="I50" s="78">
        <f t="array" ref="I50">'population'!I44</f>
        <v/>
      </c>
      <c r="J50" s="78">
        <f t="array" ref="J50">'population'!J44</f>
        <v/>
      </c>
      <c r="K50" s="78">
        <f t="array" ref="K50">'population'!K44</f>
        <v/>
      </c>
      <c r="L50" s="78" t="n"/>
    </row>
    <row r="51" ht="20.05" customHeight="1" s="215">
      <c r="A51" s="199">
        <f t="array" ref="A51">'population'!$A45</f>
        <v/>
      </c>
      <c r="B51" s="78" t="n"/>
      <c r="C51" s="78">
        <f t="array" ref="C51">'population'!C45</f>
        <v/>
      </c>
      <c r="D51" s="78">
        <f t="array" ref="D51">'population'!D45</f>
        <v/>
      </c>
      <c r="E51" s="78">
        <f t="array" ref="E51">'population'!E45</f>
        <v/>
      </c>
      <c r="F51" s="78">
        <f t="array" ref="F51">'population'!F45</f>
        <v/>
      </c>
      <c r="G51" s="78">
        <f t="array" ref="G51">'population'!G45</f>
        <v/>
      </c>
      <c r="H51" s="78">
        <f t="array" ref="H51">'population'!H45</f>
        <v/>
      </c>
      <c r="I51" s="78">
        <f t="array" ref="I51">'population'!I45</f>
        <v/>
      </c>
      <c r="J51" s="78">
        <f t="array" ref="J51">'population'!J45</f>
        <v/>
      </c>
      <c r="K51" s="78">
        <f t="array" ref="K51">'population'!K45</f>
        <v/>
      </c>
      <c r="L51" s="78" t="n"/>
    </row>
    <row r="52" ht="20.05" customHeight="1" s="215">
      <c r="A52" s="199">
        <f t="array" ref="A52">'population'!$A46</f>
        <v/>
      </c>
      <c r="B52" s="78" t="n"/>
      <c r="C52" s="78">
        <f t="array" ref="C52">'population'!C46</f>
        <v/>
      </c>
      <c r="D52" s="78">
        <f t="array" ref="D52">'population'!D46</f>
        <v/>
      </c>
      <c r="E52" s="78">
        <f t="array" ref="E52">'population'!E46</f>
        <v/>
      </c>
      <c r="F52" s="78">
        <f t="array" ref="F52">'population'!F46</f>
        <v/>
      </c>
      <c r="G52" s="78">
        <f t="array" ref="G52">'population'!G46</f>
        <v/>
      </c>
      <c r="H52" s="78">
        <f t="array" ref="H52">'population'!H46</f>
        <v/>
      </c>
      <c r="I52" s="78">
        <f t="array" ref="I52">'population'!I46</f>
        <v/>
      </c>
      <c r="J52" s="78">
        <f t="array" ref="J52">'population'!J46</f>
        <v/>
      </c>
      <c r="K52" s="78">
        <f t="array" ref="K52">'population'!K46</f>
        <v/>
      </c>
      <c r="L52" s="78" t="n"/>
    </row>
    <row r="53" ht="20.05" customHeight="1" s="215">
      <c r="A53" s="199">
        <f t="array" ref="A53">'population'!$A47</f>
        <v/>
      </c>
      <c r="B53" s="78" t="n"/>
      <c r="C53" s="78">
        <f t="array" ref="C53">'population'!C47</f>
        <v/>
      </c>
      <c r="D53" s="78">
        <f t="array" ref="D53">'population'!D47</f>
        <v/>
      </c>
      <c r="E53" s="78">
        <f t="array" ref="E53">'population'!E47</f>
        <v/>
      </c>
      <c r="F53" s="78">
        <f t="array" ref="F53">'population'!F47</f>
        <v/>
      </c>
      <c r="G53" s="78">
        <f t="array" ref="G53">'population'!G47</f>
        <v/>
      </c>
      <c r="H53" s="78">
        <f t="array" ref="H53">'population'!H47</f>
        <v/>
      </c>
      <c r="I53" s="78">
        <f t="array" ref="I53">'population'!I47</f>
        <v/>
      </c>
      <c r="J53" s="78">
        <f t="array" ref="J53">'population'!J47</f>
        <v/>
      </c>
      <c r="K53" s="78">
        <f t="array" ref="K53">'population'!K47</f>
        <v/>
      </c>
      <c r="L53" s="78" t="n"/>
    </row>
    <row r="54" ht="20.05" customHeight="1" s="215">
      <c r="A54" s="199">
        <f t="array" ref="A54">'population'!$A48</f>
        <v/>
      </c>
      <c r="B54" s="78" t="n"/>
      <c r="C54" s="78">
        <f t="array" ref="C54">'population'!C48</f>
        <v/>
      </c>
      <c r="D54" s="78">
        <f t="array" ref="D54">'population'!D48</f>
        <v/>
      </c>
      <c r="E54" s="78">
        <f t="array" ref="E54">'population'!E48</f>
        <v/>
      </c>
      <c r="F54" s="78">
        <f t="array" ref="F54">'population'!F48</f>
        <v/>
      </c>
      <c r="G54" s="78">
        <f t="array" ref="G54">'population'!G48</f>
        <v/>
      </c>
      <c r="H54" s="78">
        <f t="array" ref="H54">'population'!H48</f>
        <v/>
      </c>
      <c r="I54" s="78">
        <f t="array" ref="I54">'population'!I48</f>
        <v/>
      </c>
      <c r="J54" s="78">
        <f t="array" ref="J54">'population'!J48</f>
        <v/>
      </c>
      <c r="K54" s="78">
        <f t="array" ref="K54">'population'!K48</f>
        <v/>
      </c>
      <c r="L54" s="78" t="n"/>
    </row>
    <row r="55" ht="20.05" customHeight="1" s="215">
      <c r="A55" s="199">
        <f t="array" ref="A55">'population'!$A49</f>
        <v/>
      </c>
      <c r="B55" s="78" t="n"/>
      <c r="C55" s="78">
        <f t="array" ref="C55">'population'!C49</f>
        <v/>
      </c>
      <c r="D55" s="78">
        <f t="array" ref="D55">'population'!D49</f>
        <v/>
      </c>
      <c r="E55" s="78">
        <f t="array" ref="E55">'population'!E49</f>
        <v/>
      </c>
      <c r="F55" s="78">
        <f t="array" ref="F55">'population'!F49</f>
        <v/>
      </c>
      <c r="G55" s="78">
        <f t="array" ref="G55">'population'!G49</f>
        <v/>
      </c>
      <c r="H55" s="78">
        <f t="array" ref="H55">'population'!H49</f>
        <v/>
      </c>
      <c r="I55" s="78">
        <f t="array" ref="I55">'population'!I49</f>
        <v/>
      </c>
      <c r="J55" s="78">
        <f t="array" ref="J55">'population'!J49</f>
        <v/>
      </c>
      <c r="K55" s="78">
        <f t="array" ref="K55">'population'!K49</f>
        <v/>
      </c>
      <c r="L55" s="78" t="n"/>
    </row>
    <row r="56" ht="20.05" customHeight="1" s="215">
      <c r="A56" s="199">
        <f t="array" ref="A56">'population'!$A50</f>
        <v/>
      </c>
      <c r="B56" s="78" t="n"/>
      <c r="C56" s="78">
        <f t="array" ref="C56">'population'!C50</f>
        <v/>
      </c>
      <c r="D56" s="78">
        <f t="array" ref="D56">'population'!D50</f>
        <v/>
      </c>
      <c r="E56" s="78">
        <f t="array" ref="E56">'population'!E50</f>
        <v/>
      </c>
      <c r="F56" s="78">
        <f t="array" ref="F56">'population'!F50</f>
        <v/>
      </c>
      <c r="G56" s="78">
        <f t="array" ref="G56">'population'!G50</f>
        <v/>
      </c>
      <c r="H56" s="78">
        <f t="array" ref="H56">'population'!H50</f>
        <v/>
      </c>
      <c r="I56" s="78">
        <f t="array" ref="I56">'population'!I50</f>
        <v/>
      </c>
      <c r="J56" s="78">
        <f t="array" ref="J56">'population'!J50</f>
        <v/>
      </c>
      <c r="K56" s="78">
        <f t="array" ref="K56">'population'!K50</f>
        <v/>
      </c>
      <c r="L56" s="78" t="n"/>
    </row>
    <row r="57" ht="20.05" customHeight="1" s="215">
      <c r="A57" s="199">
        <f t="array" ref="A57">'population'!$A51</f>
        <v/>
      </c>
      <c r="B57" s="78" t="n"/>
      <c r="C57" s="78">
        <f t="array" ref="C57">'population'!C51</f>
        <v/>
      </c>
      <c r="D57" s="78">
        <f t="array" ref="D57">'population'!D51</f>
        <v/>
      </c>
      <c r="E57" s="78">
        <f t="array" ref="E57">'population'!E51</f>
        <v/>
      </c>
      <c r="F57" s="78">
        <f t="array" ref="F57">'population'!F51</f>
        <v/>
      </c>
      <c r="G57" s="78">
        <f t="array" ref="G57">'population'!G51</f>
        <v/>
      </c>
      <c r="H57" s="78">
        <f t="array" ref="H57">'population'!H51</f>
        <v/>
      </c>
      <c r="I57" s="78">
        <f t="array" ref="I57">'population'!I51</f>
        <v/>
      </c>
      <c r="J57" s="78">
        <f t="array" ref="J57">'population'!J51</f>
        <v/>
      </c>
      <c r="K57" s="78">
        <f t="array" ref="K57">'population'!K51</f>
        <v/>
      </c>
      <c r="L57" s="78" t="n"/>
    </row>
    <row r="58" ht="20.05" customHeight="1" s="215">
      <c r="A58" s="199">
        <f t="array" ref="A58">'population'!$A52</f>
        <v/>
      </c>
      <c r="B58" s="78" t="n"/>
      <c r="C58" s="78">
        <f t="array" ref="C58">'population'!C52</f>
        <v/>
      </c>
      <c r="D58" s="78">
        <f t="array" ref="D58">'population'!D52</f>
        <v/>
      </c>
      <c r="E58" s="78">
        <f t="array" ref="E58">'population'!E52</f>
        <v/>
      </c>
      <c r="F58" s="78">
        <f t="array" ref="F58">'population'!F52</f>
        <v/>
      </c>
      <c r="G58" s="78">
        <f t="array" ref="G58">'population'!G52</f>
        <v/>
      </c>
      <c r="H58" s="78">
        <f t="array" ref="H58">'population'!H52</f>
        <v/>
      </c>
      <c r="I58" s="78">
        <f t="array" ref="I58">'population'!I52</f>
        <v/>
      </c>
      <c r="J58" s="78">
        <f t="array" ref="J58">'population'!J52</f>
        <v/>
      </c>
      <c r="K58" s="78">
        <f t="array" ref="K58">'population'!K52</f>
        <v/>
      </c>
      <c r="L58" s="78" t="n"/>
    </row>
    <row r="59" ht="20.05" customHeight="1" s="215">
      <c r="A59" s="199">
        <f t="array" ref="A59">'population'!$A53</f>
        <v/>
      </c>
      <c r="B59" s="78" t="n"/>
      <c r="C59" s="78">
        <f t="array" ref="C59">'population'!C53</f>
        <v/>
      </c>
      <c r="D59" s="78">
        <f t="array" ref="D59">'population'!D53</f>
        <v/>
      </c>
      <c r="E59" s="78">
        <f t="array" ref="E59">'population'!E53</f>
        <v/>
      </c>
      <c r="F59" s="78">
        <f t="array" ref="F59">'population'!F53</f>
        <v/>
      </c>
      <c r="G59" s="78">
        <f t="array" ref="G59">'population'!G53</f>
        <v/>
      </c>
      <c r="H59" s="78">
        <f t="array" ref="H59">'population'!H53</f>
        <v/>
      </c>
      <c r="I59" s="78">
        <f t="array" ref="I59">'population'!I53</f>
        <v/>
      </c>
      <c r="J59" s="78">
        <f t="array" ref="J59">'population'!J53</f>
        <v/>
      </c>
      <c r="K59" s="78">
        <f t="array" ref="K59">'population'!K53</f>
        <v/>
      </c>
      <c r="L59" s="78" t="n"/>
    </row>
    <row r="60" ht="20.05" customHeight="1" s="215">
      <c r="A60" s="199">
        <f t="array" ref="A60">'population'!$A54</f>
        <v/>
      </c>
      <c r="B60" s="78" t="n"/>
      <c r="C60" s="78">
        <f t="array" ref="C60">'population'!C54</f>
        <v/>
      </c>
      <c r="D60" s="78">
        <f t="array" ref="D60">'population'!D54</f>
        <v/>
      </c>
      <c r="E60" s="78">
        <f t="array" ref="E60">'population'!E54</f>
        <v/>
      </c>
      <c r="F60" s="78">
        <f t="array" ref="F60">'population'!F54</f>
        <v/>
      </c>
      <c r="G60" s="78">
        <f t="array" ref="G60">'population'!G54</f>
        <v/>
      </c>
      <c r="H60" s="78">
        <f t="array" ref="H60">'population'!H54</f>
        <v/>
      </c>
      <c r="I60" s="78">
        <f t="array" ref="I60">'population'!I54</f>
        <v/>
      </c>
      <c r="J60" s="78">
        <f t="array" ref="J60">'population'!J54</f>
        <v/>
      </c>
      <c r="K60" s="78">
        <f t="array" ref="K60">'population'!K54</f>
        <v/>
      </c>
      <c r="L60" s="78" t="n"/>
    </row>
    <row r="61" ht="20.05" customHeight="1" s="215">
      <c r="A61" s="199">
        <f t="array" ref="A61">'population'!$A55</f>
        <v/>
      </c>
      <c r="B61" s="78" t="n"/>
      <c r="C61" s="78">
        <f t="array" ref="C61">'population'!C55</f>
        <v/>
      </c>
      <c r="D61" s="78">
        <f t="array" ref="D61">'population'!D55</f>
        <v/>
      </c>
      <c r="E61" s="78">
        <f t="array" ref="E61">'population'!E55</f>
        <v/>
      </c>
      <c r="F61" s="78">
        <f t="array" ref="F61">'population'!F55</f>
        <v/>
      </c>
      <c r="G61" s="78">
        <f t="array" ref="G61">'population'!G55</f>
        <v/>
      </c>
      <c r="H61" s="78">
        <f t="array" ref="H61">'population'!H55</f>
        <v/>
      </c>
      <c r="I61" s="78">
        <f t="array" ref="I61">'population'!I55</f>
        <v/>
      </c>
      <c r="J61" s="78">
        <f t="array" ref="J61">'population'!J55</f>
        <v/>
      </c>
      <c r="K61" s="78">
        <f t="array" ref="K61">'population'!K55</f>
        <v/>
      </c>
      <c r="L61" s="78" t="n"/>
    </row>
    <row r="62" ht="20.05" customHeight="1" s="215">
      <c r="A62" s="199">
        <f t="array" ref="A62">'population'!$A56</f>
        <v/>
      </c>
      <c r="B62" s="78" t="n"/>
      <c r="C62" s="78">
        <f t="array" ref="C62">'population'!C56</f>
        <v/>
      </c>
      <c r="D62" s="78">
        <f t="array" ref="D62">'population'!D56</f>
        <v/>
      </c>
      <c r="E62" s="78">
        <f t="array" ref="E62">'population'!E56</f>
        <v/>
      </c>
      <c r="F62" s="78">
        <f t="array" ref="F62">'population'!F56</f>
        <v/>
      </c>
      <c r="G62" s="78">
        <f t="array" ref="G62">'population'!G56</f>
        <v/>
      </c>
      <c r="H62" s="78">
        <f t="array" ref="H62">'population'!H56</f>
        <v/>
      </c>
      <c r="I62" s="78">
        <f t="array" ref="I62">'population'!I56</f>
        <v/>
      </c>
      <c r="J62" s="78">
        <f t="array" ref="J62">'population'!J56</f>
        <v/>
      </c>
      <c r="K62" s="78">
        <f t="array" ref="K62">'population'!K56</f>
        <v/>
      </c>
      <c r="L62" s="78" t="n"/>
    </row>
    <row r="63" ht="20.05" customHeight="1" s="215">
      <c r="A63" s="199">
        <f t="array" ref="A63">'population'!$A57</f>
        <v/>
      </c>
      <c r="B63" s="78" t="n"/>
      <c r="C63" s="78">
        <f t="array" ref="C63">'population'!C57</f>
        <v/>
      </c>
      <c r="D63" s="78">
        <f t="array" ref="D63">'population'!D57</f>
        <v/>
      </c>
      <c r="E63" s="78">
        <f t="array" ref="E63">'population'!E57</f>
        <v/>
      </c>
      <c r="F63" s="78">
        <f t="array" ref="F63">'population'!F57</f>
        <v/>
      </c>
      <c r="G63" s="78">
        <f t="array" ref="G63">'population'!G57</f>
        <v/>
      </c>
      <c r="H63" s="78">
        <f t="array" ref="H63">'population'!H57</f>
        <v/>
      </c>
      <c r="I63" s="78">
        <f t="array" ref="I63">'population'!I57</f>
        <v/>
      </c>
      <c r="J63" s="78">
        <f t="array" ref="J63">'population'!J57</f>
        <v/>
      </c>
      <c r="K63" s="78">
        <f t="array" ref="K63">'population'!K57</f>
        <v/>
      </c>
      <c r="L63" s="78" t="n"/>
    </row>
    <row r="64" ht="20.05" customHeight="1" s="215">
      <c r="A64" s="199">
        <f t="array" ref="A64">'population'!$A58</f>
        <v/>
      </c>
      <c r="B64" s="78" t="n"/>
      <c r="C64" s="78">
        <f t="array" ref="C64">'population'!C58</f>
        <v/>
      </c>
      <c r="D64" s="78">
        <f t="array" ref="D64">'population'!D58</f>
        <v/>
      </c>
      <c r="E64" s="78">
        <f t="array" ref="E64">'population'!E58</f>
        <v/>
      </c>
      <c r="F64" s="78">
        <f t="array" ref="F64">'population'!F58</f>
        <v/>
      </c>
      <c r="G64" s="78">
        <f t="array" ref="G64">'population'!G58</f>
        <v/>
      </c>
      <c r="H64" s="78">
        <f t="array" ref="H64">'population'!H58</f>
        <v/>
      </c>
      <c r="I64" s="78">
        <f t="array" ref="I64">'population'!I58</f>
        <v/>
      </c>
      <c r="J64" s="78">
        <f t="array" ref="J64">'population'!J58</f>
        <v/>
      </c>
      <c r="K64" s="78">
        <f t="array" ref="K64">'population'!K58</f>
        <v/>
      </c>
      <c r="L64" s="78" t="n"/>
    </row>
    <row r="65" ht="20.05" customHeight="1" s="215">
      <c r="A65" s="199">
        <f t="array" ref="A65">'population'!$A59</f>
        <v/>
      </c>
      <c r="B65" s="78" t="n"/>
      <c r="C65" s="78">
        <f t="array" ref="C65">'population'!C59</f>
        <v/>
      </c>
      <c r="D65" s="78">
        <f t="array" ref="D65">'population'!D59</f>
        <v/>
      </c>
      <c r="E65" s="78">
        <f t="array" ref="E65">'population'!E59</f>
        <v/>
      </c>
      <c r="F65" s="78">
        <f t="array" ref="F65">'population'!F59</f>
        <v/>
      </c>
      <c r="G65" s="78">
        <f t="array" ref="G65">'population'!G59</f>
        <v/>
      </c>
      <c r="H65" s="78">
        <f t="array" ref="H65">'population'!H59</f>
        <v/>
      </c>
      <c r="I65" s="78">
        <f t="array" ref="I65">'population'!I59</f>
        <v/>
      </c>
      <c r="J65" s="78">
        <f t="array" ref="J65">'population'!J59</f>
        <v/>
      </c>
      <c r="K65" s="78">
        <f t="array" ref="K65">'population'!K59</f>
        <v/>
      </c>
      <c r="L65" s="78" t="n"/>
    </row>
    <row r="66" ht="20.05" customHeight="1" s="215">
      <c r="A66" s="199">
        <f t="array" ref="A66">'population'!$A60</f>
        <v/>
      </c>
      <c r="B66" s="78" t="n"/>
      <c r="C66" s="78">
        <f t="array" ref="C66">'population'!C60</f>
        <v/>
      </c>
      <c r="D66" s="78">
        <f t="array" ref="D66">'population'!D60</f>
        <v/>
      </c>
      <c r="E66" s="78">
        <f t="array" ref="E66">'population'!E60</f>
        <v/>
      </c>
      <c r="F66" s="78">
        <f t="array" ref="F66">'population'!F60</f>
        <v/>
      </c>
      <c r="G66" s="78">
        <f t="array" ref="G66">'population'!G60</f>
        <v/>
      </c>
      <c r="H66" s="78">
        <f t="array" ref="H66">'population'!H60</f>
        <v/>
      </c>
      <c r="I66" s="78">
        <f t="array" ref="I66">'population'!I60</f>
        <v/>
      </c>
      <c r="J66" s="78">
        <f t="array" ref="J66">'population'!J60</f>
        <v/>
      </c>
      <c r="K66" s="78">
        <f t="array" ref="K66">'population'!K60</f>
        <v/>
      </c>
      <c r="L66" s="78" t="n"/>
    </row>
    <row r="67" ht="20.05" customHeight="1" s="215">
      <c r="A67" s="199">
        <f t="array" ref="A67">'population'!$A61</f>
        <v/>
      </c>
      <c r="B67" s="78" t="n"/>
      <c r="C67" s="78">
        <f t="array" ref="C67">'population'!C61</f>
        <v/>
      </c>
      <c r="D67" s="78">
        <f t="array" ref="D67">'population'!D61</f>
        <v/>
      </c>
      <c r="E67" s="78">
        <f t="array" ref="E67">'population'!E61</f>
        <v/>
      </c>
      <c r="F67" s="78">
        <f t="array" ref="F67">'population'!F61</f>
        <v/>
      </c>
      <c r="G67" s="78">
        <f t="array" ref="G67">'population'!G61</f>
        <v/>
      </c>
      <c r="H67" s="78">
        <f t="array" ref="H67">'population'!H61</f>
        <v/>
      </c>
      <c r="I67" s="78">
        <f t="array" ref="I67">'population'!I61</f>
        <v/>
      </c>
      <c r="J67" s="78">
        <f t="array" ref="J67">'population'!J61</f>
        <v/>
      </c>
      <c r="K67" s="78">
        <f t="array" ref="K67">'population'!K61</f>
        <v/>
      </c>
      <c r="L67" s="78" t="n"/>
    </row>
    <row r="68" ht="20.05" customHeight="1" s="215">
      <c r="A68" s="199">
        <f t="array" ref="A68">'population'!$A62</f>
        <v/>
      </c>
      <c r="B68" s="78" t="n"/>
      <c r="C68" s="78">
        <f t="array" ref="C68">'population'!C62</f>
        <v/>
      </c>
      <c r="D68" s="78">
        <f t="array" ref="D68">'population'!D62</f>
        <v/>
      </c>
      <c r="E68" s="78">
        <f t="array" ref="E68">'population'!E62</f>
        <v/>
      </c>
      <c r="F68" s="78">
        <f t="array" ref="F68">'population'!F62</f>
        <v/>
      </c>
      <c r="G68" s="78">
        <f t="array" ref="G68">'population'!G62</f>
        <v/>
      </c>
      <c r="H68" s="78">
        <f t="array" ref="H68">'population'!H62</f>
        <v/>
      </c>
      <c r="I68" s="78">
        <f t="array" ref="I68">'population'!I62</f>
        <v/>
      </c>
      <c r="J68" s="78">
        <f t="array" ref="J68">'population'!J62</f>
        <v/>
      </c>
      <c r="K68" s="78">
        <f t="array" ref="K68">'population'!K62</f>
        <v/>
      </c>
      <c r="L68" s="78" t="n"/>
    </row>
    <row r="69" ht="20.05" customHeight="1" s="215">
      <c r="A69" s="199">
        <f t="array" ref="A69">'population'!$A63</f>
        <v/>
      </c>
      <c r="B69" s="78" t="n"/>
      <c r="C69" s="78">
        <f t="array" ref="C69">'population'!C63</f>
        <v/>
      </c>
      <c r="D69" s="78">
        <f t="array" ref="D69">'population'!D63</f>
        <v/>
      </c>
      <c r="E69" s="78">
        <f t="array" ref="E69">'population'!E63</f>
        <v/>
      </c>
      <c r="F69" s="78">
        <f t="array" ref="F69">'population'!F63</f>
        <v/>
      </c>
      <c r="G69" s="78">
        <f t="array" ref="G69">'population'!G63</f>
        <v/>
      </c>
      <c r="H69" s="78">
        <f t="array" ref="H69">'population'!H63</f>
        <v/>
      </c>
      <c r="I69" s="78">
        <f t="array" ref="I69">'population'!I63</f>
        <v/>
      </c>
      <c r="J69" s="78">
        <f t="array" ref="J69">'population'!J63</f>
        <v/>
      </c>
      <c r="K69" s="78">
        <f t="array" ref="K69">'population'!K63</f>
        <v/>
      </c>
      <c r="L69" s="78" t="n"/>
    </row>
    <row r="70" ht="20.05" customHeight="1" s="215">
      <c r="A70" s="199">
        <f t="array" ref="A70">'population'!$A64</f>
        <v/>
      </c>
      <c r="B70" s="78" t="n"/>
      <c r="C70" s="78">
        <f t="array" ref="C70">'population'!C64</f>
        <v/>
      </c>
      <c r="D70" s="78">
        <f t="array" ref="D70">'population'!D64</f>
        <v/>
      </c>
      <c r="E70" s="78">
        <f t="array" ref="E70">'population'!E64</f>
        <v/>
      </c>
      <c r="F70" s="78">
        <f t="array" ref="F70">'population'!F64</f>
        <v/>
      </c>
      <c r="G70" s="78">
        <f t="array" ref="G70">'population'!G64</f>
        <v/>
      </c>
      <c r="H70" s="78">
        <f t="array" ref="H70">'population'!H64</f>
        <v/>
      </c>
      <c r="I70" s="78">
        <f t="array" ref="I70">'population'!I64</f>
        <v/>
      </c>
      <c r="J70" s="78">
        <f t="array" ref="J70">'population'!J64</f>
        <v/>
      </c>
      <c r="K70" s="78">
        <f t="array" ref="K70">'population'!K64</f>
        <v/>
      </c>
      <c r="L70" s="78" t="n"/>
    </row>
    <row r="71" ht="20.05" customHeight="1" s="215">
      <c r="A71" s="199">
        <f t="array" ref="A71">'population'!$A65</f>
        <v/>
      </c>
      <c r="B71" s="78" t="n"/>
      <c r="C71" s="78">
        <f t="array" ref="C71">'population'!C65</f>
        <v/>
      </c>
      <c r="D71" s="78">
        <f t="array" ref="D71">'population'!D65</f>
        <v/>
      </c>
      <c r="E71" s="78">
        <f t="array" ref="E71">'population'!E65</f>
        <v/>
      </c>
      <c r="F71" s="78">
        <f t="array" ref="F71">'population'!F65</f>
        <v/>
      </c>
      <c r="G71" s="78">
        <f t="array" ref="G71">'population'!G65</f>
        <v/>
      </c>
      <c r="H71" s="78">
        <f t="array" ref="H71">'population'!H65</f>
        <v/>
      </c>
      <c r="I71" s="78">
        <f t="array" ref="I71">'population'!I65</f>
        <v/>
      </c>
      <c r="J71" s="78">
        <f t="array" ref="J71">'population'!J65</f>
        <v/>
      </c>
      <c r="K71" s="78">
        <f t="array" ref="K71">'population'!K65</f>
        <v/>
      </c>
      <c r="L71" s="78" t="n"/>
    </row>
    <row r="72" ht="20.05" customHeight="1" s="215">
      <c r="A72" s="199">
        <f t="array" ref="A72">'population'!$A66</f>
        <v/>
      </c>
      <c r="B72" s="78" t="n"/>
      <c r="C72" s="78">
        <f t="array" ref="C72">'population'!C66</f>
        <v/>
      </c>
      <c r="D72" s="78">
        <f t="array" ref="D72">'population'!D66</f>
        <v/>
      </c>
      <c r="E72" s="78">
        <f t="array" ref="E72">'population'!E66</f>
        <v/>
      </c>
      <c r="F72" s="78">
        <f t="array" ref="F72">'population'!F66</f>
        <v/>
      </c>
      <c r="G72" s="78">
        <f t="array" ref="G72">'population'!G66</f>
        <v/>
      </c>
      <c r="H72" s="78">
        <f t="array" ref="H72">'population'!H66</f>
        <v/>
      </c>
      <c r="I72" s="78">
        <f t="array" ref="I72">'population'!I66</f>
        <v/>
      </c>
      <c r="J72" s="78">
        <f t="array" ref="J72">'population'!J66</f>
        <v/>
      </c>
      <c r="K72" s="78">
        <f t="array" ref="K72">'population'!K66</f>
        <v/>
      </c>
      <c r="L72" s="78" t="n"/>
    </row>
    <row r="73" ht="20.05" customHeight="1" s="215">
      <c r="A73" s="199">
        <f t="array" ref="A73">'population'!$A67</f>
        <v/>
      </c>
      <c r="B73" s="78" t="n"/>
      <c r="C73" s="78">
        <f t="array" ref="C73">'population'!C67</f>
        <v/>
      </c>
      <c r="D73" s="78">
        <f t="array" ref="D73">'population'!D67</f>
        <v/>
      </c>
      <c r="E73" s="78">
        <f t="array" ref="E73">'population'!E67</f>
        <v/>
      </c>
      <c r="F73" s="78">
        <f t="array" ref="F73">'population'!F67</f>
        <v/>
      </c>
      <c r="G73" s="78">
        <f t="array" ref="G73">'population'!G67</f>
        <v/>
      </c>
      <c r="H73" s="78">
        <f t="array" ref="H73">'population'!H67</f>
        <v/>
      </c>
      <c r="I73" s="78">
        <f t="array" ref="I73">'population'!I67</f>
        <v/>
      </c>
      <c r="J73" s="78">
        <f t="array" ref="J73">'population'!J67</f>
        <v/>
      </c>
      <c r="K73" s="78">
        <f t="array" ref="K73">'population'!K67</f>
        <v/>
      </c>
      <c r="L73" s="78" t="n"/>
    </row>
    <row r="74" ht="20.05" customHeight="1" s="215">
      <c r="A74" s="199">
        <f t="array" ref="A74">'population'!$A68</f>
        <v/>
      </c>
      <c r="B74" s="78" t="n"/>
      <c r="C74" s="78">
        <f t="array" ref="C74">'population'!C68</f>
        <v/>
      </c>
      <c r="D74" s="78">
        <f t="array" ref="D74">'population'!D68</f>
        <v/>
      </c>
      <c r="E74" s="78">
        <f t="array" ref="E74">'population'!E68</f>
        <v/>
      </c>
      <c r="F74" s="78">
        <f t="array" ref="F74">'population'!F68</f>
        <v/>
      </c>
      <c r="G74" s="78">
        <f t="array" ref="G74">'population'!G68</f>
        <v/>
      </c>
      <c r="H74" s="78">
        <f t="array" ref="H74">'population'!H68</f>
        <v/>
      </c>
      <c r="I74" s="78">
        <f t="array" ref="I74">'population'!I68</f>
        <v/>
      </c>
      <c r="J74" s="78">
        <f t="array" ref="J74">'population'!J68</f>
        <v/>
      </c>
      <c r="K74" s="78">
        <f t="array" ref="K74">'population'!K68</f>
        <v/>
      </c>
      <c r="L74" s="78" t="n"/>
    </row>
    <row r="75" ht="20.05" customHeight="1" s="215">
      <c r="A75" s="199">
        <f t="array" ref="A75">'population'!$A69</f>
        <v/>
      </c>
      <c r="B75" s="78" t="n"/>
      <c r="C75" s="78">
        <f t="array" ref="C75">'population'!C69</f>
        <v/>
      </c>
      <c r="D75" s="78">
        <f t="array" ref="D75">'population'!D69</f>
        <v/>
      </c>
      <c r="E75" s="78">
        <f t="array" ref="E75">'population'!E69</f>
        <v/>
      </c>
      <c r="F75" s="78">
        <f t="array" ref="F75">'population'!F69</f>
        <v/>
      </c>
      <c r="G75" s="78">
        <f t="array" ref="G75">'population'!G69</f>
        <v/>
      </c>
      <c r="H75" s="78">
        <f t="array" ref="H75">'population'!H69</f>
        <v/>
      </c>
      <c r="I75" s="78">
        <f t="array" ref="I75">'population'!I69</f>
        <v/>
      </c>
      <c r="J75" s="78">
        <f t="array" ref="J75">'population'!J69</f>
        <v/>
      </c>
      <c r="K75" s="78">
        <f t="array" ref="K75">'population'!K69</f>
        <v/>
      </c>
      <c r="L75" s="78" t="n"/>
    </row>
    <row r="76" ht="20.05" customHeight="1" s="215">
      <c r="A76" s="199">
        <f t="array" ref="A76">'population'!$A70</f>
        <v/>
      </c>
      <c r="B76" s="78" t="n"/>
      <c r="C76" s="78">
        <f t="array" ref="C76">'population'!C70</f>
        <v/>
      </c>
      <c r="D76" s="78">
        <f t="array" ref="D76">'population'!D70</f>
        <v/>
      </c>
      <c r="E76" s="78">
        <f t="array" ref="E76">'population'!E70</f>
        <v/>
      </c>
      <c r="F76" s="78">
        <f t="array" ref="F76">'population'!F70</f>
        <v/>
      </c>
      <c r="G76" s="78">
        <f t="array" ref="G76">'population'!G70</f>
        <v/>
      </c>
      <c r="H76" s="78">
        <f t="array" ref="H76">'population'!H70</f>
        <v/>
      </c>
      <c r="I76" s="78">
        <f t="array" ref="I76">'population'!I70</f>
        <v/>
      </c>
      <c r="J76" s="78">
        <f t="array" ref="J76">'population'!J70</f>
        <v/>
      </c>
      <c r="K76" s="78">
        <f t="array" ref="K76">'population'!K70</f>
        <v/>
      </c>
      <c r="L76" s="78" t="n"/>
    </row>
    <row r="77" ht="20.05" customHeight="1" s="215">
      <c r="A77" s="199">
        <f t="array" ref="A77">'population'!$A71</f>
        <v/>
      </c>
      <c r="B77" s="78" t="n"/>
      <c r="C77" s="78">
        <f t="array" ref="C77">'population'!C71</f>
        <v/>
      </c>
      <c r="D77" s="78">
        <f t="array" ref="D77">'population'!D71</f>
        <v/>
      </c>
      <c r="E77" s="78">
        <f t="array" ref="E77">'population'!E71</f>
        <v/>
      </c>
      <c r="F77" s="78">
        <f t="array" ref="F77">'population'!F71</f>
        <v/>
      </c>
      <c r="G77" s="78">
        <f t="array" ref="G77">'population'!G71</f>
        <v/>
      </c>
      <c r="H77" s="78">
        <f t="array" ref="H77">'population'!H71</f>
        <v/>
      </c>
      <c r="I77" s="78">
        <f t="array" ref="I77">'population'!I71</f>
        <v/>
      </c>
      <c r="J77" s="78">
        <f t="array" ref="J77">'population'!J71</f>
        <v/>
      </c>
      <c r="K77" s="78">
        <f t="array" ref="K77">'population'!K71</f>
        <v/>
      </c>
      <c r="L77" s="78" t="n"/>
    </row>
    <row r="78" ht="20.05" customHeight="1" s="215">
      <c r="A78" s="199">
        <f t="array" ref="A78">'population'!$A72</f>
        <v/>
      </c>
      <c r="B78" s="78" t="n"/>
      <c r="C78" s="78">
        <f t="array" ref="C78">'population'!C72</f>
        <v/>
      </c>
      <c r="D78" s="78">
        <f t="array" ref="D78">'population'!D72</f>
        <v/>
      </c>
      <c r="E78" s="78">
        <f t="array" ref="E78">'population'!E72</f>
        <v/>
      </c>
      <c r="F78" s="78">
        <f t="array" ref="F78">'population'!F72</f>
        <v/>
      </c>
      <c r="G78" s="78">
        <f t="array" ref="G78">'population'!G72</f>
        <v/>
      </c>
      <c r="H78" s="78">
        <f t="array" ref="H78">'population'!H72</f>
        <v/>
      </c>
      <c r="I78" s="78">
        <f t="array" ref="I78">'population'!I72</f>
        <v/>
      </c>
      <c r="J78" s="78">
        <f t="array" ref="J78">'population'!J72</f>
        <v/>
      </c>
      <c r="K78" s="78">
        <f t="array" ref="K78">'population'!K72</f>
        <v/>
      </c>
      <c r="L78" s="78" t="n"/>
    </row>
    <row r="79" ht="20.05" customHeight="1" s="215">
      <c r="A79" s="199">
        <f t="array" ref="A79">'population'!$A73</f>
        <v/>
      </c>
      <c r="B79" s="78" t="n"/>
      <c r="C79" s="78">
        <f t="array" ref="C79">'population'!C73</f>
        <v/>
      </c>
      <c r="D79" s="78">
        <f t="array" ref="D79">'population'!D73</f>
        <v/>
      </c>
      <c r="E79" s="78">
        <f t="array" ref="E79">'population'!E73</f>
        <v/>
      </c>
      <c r="F79" s="78">
        <f t="array" ref="F79">'population'!F73</f>
        <v/>
      </c>
      <c r="G79" s="78">
        <f t="array" ref="G79">'population'!G73</f>
        <v/>
      </c>
      <c r="H79" s="78">
        <f t="array" ref="H79">'population'!H73</f>
        <v/>
      </c>
      <c r="I79" s="78">
        <f t="array" ref="I79">'population'!I73</f>
        <v/>
      </c>
      <c r="J79" s="78">
        <f t="array" ref="J79">'population'!J73</f>
        <v/>
      </c>
      <c r="K79" s="78">
        <f t="array" ref="K79">'population'!K73</f>
        <v/>
      </c>
      <c r="L79" s="78" t="n"/>
    </row>
    <row r="80" ht="20.05" customHeight="1" s="215">
      <c r="A80" s="199">
        <f t="array" ref="A80">'population'!$A74</f>
        <v/>
      </c>
      <c r="B80" s="78" t="n"/>
      <c r="C80" s="78">
        <f t="array" ref="C80">'population'!C74</f>
        <v/>
      </c>
      <c r="D80" s="78">
        <f t="array" ref="D80">'population'!D74</f>
        <v/>
      </c>
      <c r="E80" s="78">
        <f t="array" ref="E80">'population'!E74</f>
        <v/>
      </c>
      <c r="F80" s="78">
        <f t="array" ref="F80">'population'!F74</f>
        <v/>
      </c>
      <c r="G80" s="78">
        <f t="array" ref="G80">'population'!G74</f>
        <v/>
      </c>
      <c r="H80" s="78">
        <f t="array" ref="H80">'population'!H74</f>
        <v/>
      </c>
      <c r="I80" s="78">
        <f t="array" ref="I80">'population'!I74</f>
        <v/>
      </c>
      <c r="J80" s="78">
        <f t="array" ref="J80">'population'!J74</f>
        <v/>
      </c>
      <c r="K80" s="78">
        <f t="array" ref="K80">'population'!K74</f>
        <v/>
      </c>
      <c r="L80" s="78" t="n"/>
    </row>
    <row r="81" ht="20.05" customHeight="1" s="215">
      <c r="A81" s="199">
        <f t="array" ref="A81">'population'!$A75</f>
        <v/>
      </c>
      <c r="B81" s="78" t="n"/>
      <c r="C81" s="78">
        <f t="array" ref="C81">'population'!C75</f>
        <v/>
      </c>
      <c r="D81" s="78">
        <f t="array" ref="D81">'population'!D75</f>
        <v/>
      </c>
      <c r="E81" s="78">
        <f t="array" ref="E81">'population'!E75</f>
        <v/>
      </c>
      <c r="F81" s="78">
        <f t="array" ref="F81">'population'!F75</f>
        <v/>
      </c>
      <c r="G81" s="78">
        <f t="array" ref="G81">'population'!G75</f>
        <v/>
      </c>
      <c r="H81" s="78">
        <f t="array" ref="H81">'population'!H75</f>
        <v/>
      </c>
      <c r="I81" s="78">
        <f t="array" ref="I81">'population'!I75</f>
        <v/>
      </c>
      <c r="J81" s="78">
        <f t="array" ref="J81">'population'!J75</f>
        <v/>
      </c>
      <c r="K81" s="78">
        <f t="array" ref="K81">'population'!K75</f>
        <v/>
      </c>
      <c r="L81" s="78" t="n"/>
    </row>
    <row r="82" ht="20.05" customHeight="1" s="215">
      <c r="A82" s="199">
        <f t="array" ref="A82">'population'!$A76</f>
        <v/>
      </c>
      <c r="B82" s="78" t="n"/>
      <c r="C82" s="78">
        <f t="array" ref="C82">'population'!C76</f>
        <v/>
      </c>
      <c r="D82" s="78">
        <f t="array" ref="D82">'population'!D76</f>
        <v/>
      </c>
      <c r="E82" s="78">
        <f t="array" ref="E82">'population'!E76</f>
        <v/>
      </c>
      <c r="F82" s="78">
        <f t="array" ref="F82">'population'!F76</f>
        <v/>
      </c>
      <c r="G82" s="78">
        <f t="array" ref="G82">'population'!G76</f>
        <v/>
      </c>
      <c r="H82" s="78">
        <f t="array" ref="H82">'population'!H76</f>
        <v/>
      </c>
      <c r="I82" s="78">
        <f t="array" ref="I82">'population'!I76</f>
        <v/>
      </c>
      <c r="J82" s="78">
        <f t="array" ref="J82">'population'!J76</f>
        <v/>
      </c>
      <c r="K82" s="78">
        <f t="array" ref="K82">'population'!K76</f>
        <v/>
      </c>
      <c r="L82" s="78" t="n"/>
    </row>
    <row r="83" ht="20.05" customHeight="1" s="215">
      <c r="A83" s="199">
        <f t="array" ref="A83">'population'!$A77</f>
        <v/>
      </c>
      <c r="B83" s="78" t="n"/>
      <c r="C83" s="78">
        <f t="array" ref="C83">'population'!C77</f>
        <v/>
      </c>
      <c r="D83" s="78">
        <f t="array" ref="D83">'population'!D77</f>
        <v/>
      </c>
      <c r="E83" s="78">
        <f t="array" ref="E83">'population'!E77</f>
        <v/>
      </c>
      <c r="F83" s="78">
        <f t="array" ref="F83">'population'!F77</f>
        <v/>
      </c>
      <c r="G83" s="78">
        <f t="array" ref="G83">'population'!G77</f>
        <v/>
      </c>
      <c r="H83" s="78">
        <f t="array" ref="H83">'population'!H77</f>
        <v/>
      </c>
      <c r="I83" s="78">
        <f t="array" ref="I83">'population'!I77</f>
        <v/>
      </c>
      <c r="J83" s="78">
        <f t="array" ref="J83">'population'!J77</f>
        <v/>
      </c>
      <c r="K83" s="78">
        <f t="array" ref="K83">'population'!K77</f>
        <v/>
      </c>
      <c r="L83" s="78" t="n"/>
    </row>
    <row r="84" ht="20.05" customHeight="1" s="215">
      <c r="A84" s="199">
        <f t="array" ref="A84">'population'!$A78</f>
        <v/>
      </c>
      <c r="B84" s="78" t="n"/>
      <c r="C84" s="78">
        <f t="array" ref="C84">'population'!C78</f>
        <v/>
      </c>
      <c r="D84" s="78">
        <f t="array" ref="D84">'population'!D78</f>
        <v/>
      </c>
      <c r="E84" s="78">
        <f t="array" ref="E84">'population'!E78</f>
        <v/>
      </c>
      <c r="F84" s="78">
        <f t="array" ref="F84">'population'!F78</f>
        <v/>
      </c>
      <c r="G84" s="78">
        <f t="array" ref="G84">'population'!G78</f>
        <v/>
      </c>
      <c r="H84" s="78">
        <f t="array" ref="H84">'population'!H78</f>
        <v/>
      </c>
      <c r="I84" s="78">
        <f t="array" ref="I84">'population'!I78</f>
        <v/>
      </c>
      <c r="J84" s="78">
        <f t="array" ref="J84">'population'!J78</f>
        <v/>
      </c>
      <c r="K84" s="78">
        <f t="array" ref="K84">'population'!K78</f>
        <v/>
      </c>
      <c r="L84" s="78" t="n"/>
    </row>
    <row r="85" ht="20.05" customHeight="1" s="215">
      <c r="A85" s="199">
        <f t="array" ref="A85">'population'!$A79</f>
        <v/>
      </c>
      <c r="B85" s="78" t="n"/>
      <c r="C85" s="78">
        <f t="array" ref="C85">'population'!C79</f>
        <v/>
      </c>
      <c r="D85" s="78">
        <f t="array" ref="D85">'population'!D79</f>
        <v/>
      </c>
      <c r="E85" s="78">
        <f t="array" ref="E85">'population'!E79</f>
        <v/>
      </c>
      <c r="F85" s="78">
        <f t="array" ref="F85">'population'!F79</f>
        <v/>
      </c>
      <c r="G85" s="78">
        <f t="array" ref="G85">'population'!G79</f>
        <v/>
      </c>
      <c r="H85" s="78">
        <f t="array" ref="H85">'population'!H79</f>
        <v/>
      </c>
      <c r="I85" s="78">
        <f t="array" ref="I85">'population'!I79</f>
        <v/>
      </c>
      <c r="J85" s="78">
        <f t="array" ref="J85">'population'!J79</f>
        <v/>
      </c>
      <c r="K85" s="78">
        <f t="array" ref="K85">'population'!K79</f>
        <v/>
      </c>
      <c r="L85" s="78" t="n"/>
    </row>
    <row r="86" ht="20.05" customHeight="1" s="215">
      <c r="A86" s="199">
        <f t="array" ref="A86">'population'!$A80</f>
        <v/>
      </c>
      <c r="B86" s="78" t="n"/>
      <c r="C86" s="78">
        <f t="array" ref="C86">'population'!C80</f>
        <v/>
      </c>
      <c r="D86" s="78">
        <f t="array" ref="D86">'population'!D80</f>
        <v/>
      </c>
      <c r="E86" s="78">
        <f t="array" ref="E86">'population'!E80</f>
        <v/>
      </c>
      <c r="F86" s="78">
        <f t="array" ref="F86">'population'!F80</f>
        <v/>
      </c>
      <c r="G86" s="78">
        <f t="array" ref="G86">'population'!G80</f>
        <v/>
      </c>
      <c r="H86" s="78">
        <f t="array" ref="H86">'population'!H80</f>
        <v/>
      </c>
      <c r="I86" s="78">
        <f t="array" ref="I86">'population'!I80</f>
        <v/>
      </c>
      <c r="J86" s="78">
        <f t="array" ref="J86">'population'!J80</f>
        <v/>
      </c>
      <c r="K86" s="78">
        <f t="array" ref="K86">'population'!K80</f>
        <v/>
      </c>
      <c r="L86" s="78" t="n"/>
    </row>
    <row r="87" ht="20.05" customHeight="1" s="215">
      <c r="A87" s="199">
        <f t="array" ref="A87">'population'!$A81</f>
        <v/>
      </c>
      <c r="B87" s="78" t="n"/>
      <c r="C87" s="78">
        <f t="array" ref="C87">'population'!C81</f>
        <v/>
      </c>
      <c r="D87" s="78">
        <f t="array" ref="D87">'population'!D81</f>
        <v/>
      </c>
      <c r="E87" s="78">
        <f t="array" ref="E87">'population'!E81</f>
        <v/>
      </c>
      <c r="F87" s="78">
        <f t="array" ref="F87">'population'!F81</f>
        <v/>
      </c>
      <c r="G87" s="78">
        <f t="array" ref="G87">'population'!G81</f>
        <v/>
      </c>
      <c r="H87" s="78">
        <f t="array" ref="H87">'population'!H81</f>
        <v/>
      </c>
      <c r="I87" s="78">
        <f t="array" ref="I87">'population'!I81</f>
        <v/>
      </c>
      <c r="J87" s="78">
        <f t="array" ref="J87">'population'!J81</f>
        <v/>
      </c>
      <c r="K87" s="78">
        <f t="array" ref="K87">'population'!K81</f>
        <v/>
      </c>
      <c r="L87" s="78" t="n"/>
    </row>
    <row r="88" ht="20.05" customHeight="1" s="215">
      <c r="A88" s="199">
        <f t="array" ref="A88">'population'!$A82</f>
        <v/>
      </c>
      <c r="B88" s="78" t="n"/>
      <c r="C88" s="78">
        <f t="array" ref="C88">'population'!C82</f>
        <v/>
      </c>
      <c r="D88" s="78">
        <f t="array" ref="D88">'population'!D82</f>
        <v/>
      </c>
      <c r="E88" s="78">
        <f t="array" ref="E88">'population'!E82</f>
        <v/>
      </c>
      <c r="F88" s="78">
        <f t="array" ref="F88">'population'!F82</f>
        <v/>
      </c>
      <c r="G88" s="78">
        <f t="array" ref="G88">'population'!G82</f>
        <v/>
      </c>
      <c r="H88" s="78">
        <f t="array" ref="H88">'population'!H82</f>
        <v/>
      </c>
      <c r="I88" s="78">
        <f t="array" ref="I88">'population'!I82</f>
        <v/>
      </c>
      <c r="J88" s="78">
        <f t="array" ref="J88">'population'!J82</f>
        <v/>
      </c>
      <c r="K88" s="78">
        <f t="array" ref="K88">'population'!K82</f>
        <v/>
      </c>
      <c r="L88" s="78" t="n"/>
    </row>
    <row r="89" ht="20.05" customHeight="1" s="215">
      <c r="A89" s="199">
        <f t="array" ref="A89">'population'!$A83</f>
        <v/>
      </c>
      <c r="B89" s="78" t="n"/>
      <c r="C89" s="78">
        <f t="array" ref="C89">'population'!C83</f>
        <v/>
      </c>
      <c r="D89" s="78">
        <f t="array" ref="D89">'population'!D83</f>
        <v/>
      </c>
      <c r="E89" s="78">
        <f t="array" ref="E89">'population'!E83</f>
        <v/>
      </c>
      <c r="F89" s="78">
        <f t="array" ref="F89">'population'!F83</f>
        <v/>
      </c>
      <c r="G89" s="78">
        <f t="array" ref="G89">'population'!G83</f>
        <v/>
      </c>
      <c r="H89" s="78">
        <f t="array" ref="H89">'population'!H83</f>
        <v/>
      </c>
      <c r="I89" s="78">
        <f t="array" ref="I89">'population'!I83</f>
        <v/>
      </c>
      <c r="J89" s="78">
        <f t="array" ref="J89">'population'!J83</f>
        <v/>
      </c>
      <c r="K89" s="78">
        <f t="array" ref="K89">'population'!K83</f>
        <v/>
      </c>
      <c r="L89" s="78" t="n"/>
    </row>
    <row r="90" ht="20.05" customHeight="1" s="215">
      <c r="A90" s="199">
        <f t="array" ref="A90">'population'!$A84</f>
        <v/>
      </c>
      <c r="B90" s="78" t="n"/>
      <c r="C90" s="78">
        <f t="array" ref="C90">'population'!C84</f>
        <v/>
      </c>
      <c r="D90" s="78">
        <f t="array" ref="D90">'population'!D84</f>
        <v/>
      </c>
      <c r="E90" s="78">
        <f t="array" ref="E90">'population'!E84</f>
        <v/>
      </c>
      <c r="F90" s="78">
        <f t="array" ref="F90">'population'!F84</f>
        <v/>
      </c>
      <c r="G90" s="78">
        <f t="array" ref="G90">'population'!G84</f>
        <v/>
      </c>
      <c r="H90" s="78">
        <f t="array" ref="H90">'population'!H84</f>
        <v/>
      </c>
      <c r="I90" s="78">
        <f t="array" ref="I90">'population'!I84</f>
        <v/>
      </c>
      <c r="J90" s="78">
        <f t="array" ref="J90">'population'!J84</f>
        <v/>
      </c>
      <c r="K90" s="78">
        <f t="array" ref="K90">'population'!K84</f>
        <v/>
      </c>
      <c r="L90" s="78" t="n"/>
    </row>
    <row r="91" ht="20.05" customHeight="1" s="215">
      <c r="A91" s="199">
        <f t="array" ref="A91">'population'!$A85</f>
        <v/>
      </c>
      <c r="B91" s="78" t="n"/>
      <c r="C91" s="78">
        <f t="array" ref="C91">'population'!C85</f>
        <v/>
      </c>
      <c r="D91" s="78">
        <f t="array" ref="D91">'population'!D85</f>
        <v/>
      </c>
      <c r="E91" s="78">
        <f t="array" ref="E91">'population'!E85</f>
        <v/>
      </c>
      <c r="F91" s="78">
        <f t="array" ref="F91">'population'!F85</f>
        <v/>
      </c>
      <c r="G91" s="78">
        <f t="array" ref="G91">'population'!G85</f>
        <v/>
      </c>
      <c r="H91" s="78">
        <f t="array" ref="H91">'population'!H85</f>
        <v/>
      </c>
      <c r="I91" s="78">
        <f t="array" ref="I91">'population'!I85</f>
        <v/>
      </c>
      <c r="J91" s="78">
        <f t="array" ref="J91">'population'!J85</f>
        <v/>
      </c>
      <c r="K91" s="78">
        <f t="array" ref="K91">'population'!K85</f>
        <v/>
      </c>
      <c r="L91" s="78" t="n"/>
    </row>
    <row r="92" ht="20.05" customHeight="1" s="215">
      <c r="A92" s="199">
        <f t="array" ref="A92">'population'!$A86</f>
        <v/>
      </c>
      <c r="B92" s="78" t="n"/>
      <c r="C92" s="78">
        <f t="array" ref="C92">'population'!C86</f>
        <v/>
      </c>
      <c r="D92" s="78">
        <f t="array" ref="D92">'population'!D86</f>
        <v/>
      </c>
      <c r="E92" s="78">
        <f t="array" ref="E92">'population'!E86</f>
        <v/>
      </c>
      <c r="F92" s="78">
        <f t="array" ref="F92">'population'!F86</f>
        <v/>
      </c>
      <c r="G92" s="78">
        <f t="array" ref="G92">'population'!G86</f>
        <v/>
      </c>
      <c r="H92" s="78">
        <f t="array" ref="H92">'population'!H86</f>
        <v/>
      </c>
      <c r="I92" s="78">
        <f t="array" ref="I92">'population'!I86</f>
        <v/>
      </c>
      <c r="J92" s="78">
        <f t="array" ref="J92">'population'!J86</f>
        <v/>
      </c>
      <c r="K92" s="78">
        <f t="array" ref="K92">'population'!K86</f>
        <v/>
      </c>
      <c r="L92" s="78" t="n"/>
    </row>
    <row r="93" ht="20.05" customHeight="1" s="215">
      <c r="A93" s="199">
        <f t="array" ref="A93">'population'!$A87</f>
        <v/>
      </c>
      <c r="B93" s="78" t="n"/>
      <c r="C93" s="78">
        <f t="array" ref="C93">'population'!C87</f>
        <v/>
      </c>
      <c r="D93" s="78">
        <f t="array" ref="D93">'population'!D87</f>
        <v/>
      </c>
      <c r="E93" s="78">
        <f t="array" ref="E93">'population'!E87</f>
        <v/>
      </c>
      <c r="F93" s="78">
        <f t="array" ref="F93">'population'!F87</f>
        <v/>
      </c>
      <c r="G93" s="78">
        <f t="array" ref="G93">'population'!G87</f>
        <v/>
      </c>
      <c r="H93" s="78">
        <f t="array" ref="H93">'population'!H87</f>
        <v/>
      </c>
      <c r="I93" s="78">
        <f t="array" ref="I93">'population'!I87</f>
        <v/>
      </c>
      <c r="J93" s="78">
        <f t="array" ref="J93">'population'!J87</f>
        <v/>
      </c>
      <c r="K93" s="78">
        <f t="array" ref="K93">'population'!K87</f>
        <v/>
      </c>
      <c r="L93" s="78" t="n"/>
    </row>
    <row r="94" ht="20.05" customHeight="1" s="215">
      <c r="A94" s="199">
        <f t="array" ref="A94">'population'!$A88</f>
        <v/>
      </c>
      <c r="B94" s="78" t="n"/>
      <c r="C94" s="78">
        <f t="array" ref="C94">'population'!C88</f>
        <v/>
      </c>
      <c r="D94" s="78">
        <f t="array" ref="D94">'population'!D88</f>
        <v/>
      </c>
      <c r="E94" s="78">
        <f t="array" ref="E94">'population'!E88</f>
        <v/>
      </c>
      <c r="F94" s="78">
        <f t="array" ref="F94">'population'!F88</f>
        <v/>
      </c>
      <c r="G94" s="78">
        <f t="array" ref="G94">'population'!G88</f>
        <v/>
      </c>
      <c r="H94" s="78">
        <f t="array" ref="H94">'population'!H88</f>
        <v/>
      </c>
      <c r="I94" s="78">
        <f t="array" ref="I94">'population'!I88</f>
        <v/>
      </c>
      <c r="J94" s="78">
        <f t="array" ref="J94">'population'!J88</f>
        <v/>
      </c>
      <c r="K94" s="78">
        <f t="array" ref="K94">'population'!K88</f>
        <v/>
      </c>
      <c r="L94" s="78" t="n"/>
    </row>
    <row r="95" ht="20.05" customHeight="1" s="215">
      <c r="A95" s="199">
        <f t="array" ref="A95">'population'!$A89</f>
        <v/>
      </c>
      <c r="B95" s="78" t="n"/>
      <c r="C95" s="78">
        <f t="array" ref="C95">'population'!C89</f>
        <v/>
      </c>
      <c r="D95" s="78">
        <f t="array" ref="D95">'population'!D89</f>
        <v/>
      </c>
      <c r="E95" s="78">
        <f t="array" ref="E95">'population'!E89</f>
        <v/>
      </c>
      <c r="F95" s="78">
        <f t="array" ref="F95">'population'!F89</f>
        <v/>
      </c>
      <c r="G95" s="78">
        <f t="array" ref="G95">'population'!G89</f>
        <v/>
      </c>
      <c r="H95" s="78">
        <f t="array" ref="H95">'population'!H89</f>
        <v/>
      </c>
      <c r="I95" s="78">
        <f t="array" ref="I95">'population'!I89</f>
        <v/>
      </c>
      <c r="J95" s="78">
        <f t="array" ref="J95">'population'!J89</f>
        <v/>
      </c>
      <c r="K95" s="78">
        <f t="array" ref="K95">'population'!K89</f>
        <v/>
      </c>
      <c r="L95" s="78" t="n"/>
    </row>
    <row r="96" ht="20.05" customHeight="1" s="215">
      <c r="A96" s="199">
        <f t="array" ref="A96">'population'!$A90</f>
        <v/>
      </c>
      <c r="B96" s="78" t="n"/>
      <c r="C96" s="78">
        <f t="array" ref="C96">'population'!C90</f>
        <v/>
      </c>
      <c r="D96" s="78">
        <f t="array" ref="D96">'population'!D90</f>
        <v/>
      </c>
      <c r="E96" s="78">
        <f t="array" ref="E96">'population'!E90</f>
        <v/>
      </c>
      <c r="F96" s="78">
        <f t="array" ref="F96">'population'!F90</f>
        <v/>
      </c>
      <c r="G96" s="78">
        <f t="array" ref="G96">'population'!G90</f>
        <v/>
      </c>
      <c r="H96" s="78">
        <f t="array" ref="H96">'population'!H90</f>
        <v/>
      </c>
      <c r="I96" s="78">
        <f t="array" ref="I96">'population'!I90</f>
        <v/>
      </c>
      <c r="J96" s="78">
        <f t="array" ref="J96">'population'!J90</f>
        <v/>
      </c>
      <c r="K96" s="78">
        <f t="array" ref="K96">'population'!K90</f>
        <v/>
      </c>
      <c r="L96" s="78" t="n"/>
    </row>
    <row r="97" ht="20.05" customHeight="1" s="215">
      <c r="A97" s="199">
        <f t="array" ref="A97">'population'!$A91</f>
        <v/>
      </c>
      <c r="B97" s="78" t="n"/>
      <c r="C97" s="78">
        <f t="array" ref="C97">'population'!C91</f>
        <v/>
      </c>
      <c r="D97" s="78">
        <f t="array" ref="D97">'population'!D91</f>
        <v/>
      </c>
      <c r="E97" s="78">
        <f t="array" ref="E97">'population'!E91</f>
        <v/>
      </c>
      <c r="F97" s="78">
        <f t="array" ref="F97">'population'!F91</f>
        <v/>
      </c>
      <c r="G97" s="78">
        <f t="array" ref="G97">'population'!G91</f>
        <v/>
      </c>
      <c r="H97" s="78">
        <f t="array" ref="H97">'population'!H91</f>
        <v/>
      </c>
      <c r="I97" s="78">
        <f t="array" ref="I97">'population'!I91</f>
        <v/>
      </c>
      <c r="J97" s="78">
        <f t="array" ref="J97">'population'!J91</f>
        <v/>
      </c>
      <c r="K97" s="78">
        <f t="array" ref="K97">'population'!K91</f>
        <v/>
      </c>
      <c r="L97" s="78" t="n"/>
    </row>
    <row r="98" ht="20.05" customHeight="1" s="215">
      <c r="A98" s="199">
        <f t="array" ref="A98">'population'!$A92</f>
        <v/>
      </c>
      <c r="B98" s="78" t="n"/>
      <c r="C98" s="78">
        <f t="array" ref="C98">'population'!C92</f>
        <v/>
      </c>
      <c r="D98" s="78">
        <f t="array" ref="D98">'population'!D92</f>
        <v/>
      </c>
      <c r="E98" s="78">
        <f t="array" ref="E98">'population'!E92</f>
        <v/>
      </c>
      <c r="F98" s="78">
        <f t="array" ref="F98">'population'!F92</f>
        <v/>
      </c>
      <c r="G98" s="78">
        <f t="array" ref="G98">'population'!G92</f>
        <v/>
      </c>
      <c r="H98" s="78">
        <f t="array" ref="H98">'population'!H92</f>
        <v/>
      </c>
      <c r="I98" s="78">
        <f t="array" ref="I98">'population'!I92</f>
        <v/>
      </c>
      <c r="J98" s="78">
        <f t="array" ref="J98">'population'!J92</f>
        <v/>
      </c>
      <c r="K98" s="78">
        <f t="array" ref="K98">'population'!K92</f>
        <v/>
      </c>
      <c r="L98" s="78" t="n"/>
    </row>
    <row r="99" ht="20.05" customHeight="1" s="215">
      <c r="A99" s="199">
        <f t="array" ref="A99">'population'!$A93</f>
        <v/>
      </c>
      <c r="B99" s="78" t="n"/>
      <c r="C99" s="78">
        <f t="array" ref="C99">'population'!C93</f>
        <v/>
      </c>
      <c r="D99" s="78">
        <f t="array" ref="D99">'population'!D93</f>
        <v/>
      </c>
      <c r="E99" s="78">
        <f t="array" ref="E99">'population'!E93</f>
        <v/>
      </c>
      <c r="F99" s="78">
        <f t="array" ref="F99">'population'!F93</f>
        <v/>
      </c>
      <c r="G99" s="78">
        <f t="array" ref="G99">'population'!G93</f>
        <v/>
      </c>
      <c r="H99" s="78">
        <f t="array" ref="H99">'population'!H93</f>
        <v/>
      </c>
      <c r="I99" s="78">
        <f t="array" ref="I99">'population'!I93</f>
        <v/>
      </c>
      <c r="J99" s="78">
        <f t="array" ref="J99">'population'!J93</f>
        <v/>
      </c>
      <c r="K99" s="78">
        <f t="array" ref="K99">'population'!K93</f>
        <v/>
      </c>
      <c r="L99" s="78" t="n"/>
    </row>
    <row r="100" ht="20.05" customHeight="1" s="215">
      <c r="A100" s="199">
        <f t="array" ref="A100">'population'!$A94</f>
        <v/>
      </c>
      <c r="B100" s="78" t="n"/>
      <c r="C100" s="78">
        <f t="array" ref="C100">'population'!C94</f>
        <v/>
      </c>
      <c r="D100" s="78">
        <f t="array" ref="D100">'population'!D94</f>
        <v/>
      </c>
      <c r="E100" s="78">
        <f t="array" ref="E100">'population'!E94</f>
        <v/>
      </c>
      <c r="F100" s="78">
        <f t="array" ref="F100">'population'!F94</f>
        <v/>
      </c>
      <c r="G100" s="78">
        <f t="array" ref="G100">'population'!G94</f>
        <v/>
      </c>
      <c r="H100" s="78">
        <f t="array" ref="H100">'population'!H94</f>
        <v/>
      </c>
      <c r="I100" s="78">
        <f t="array" ref="I100">'population'!I94</f>
        <v/>
      </c>
      <c r="J100" s="78">
        <f t="array" ref="J100">'population'!J94</f>
        <v/>
      </c>
      <c r="K100" s="78">
        <f t="array" ref="K100">'population'!K94</f>
        <v/>
      </c>
      <c r="L100" s="78" t="n"/>
    </row>
    <row r="101" ht="20.05" customHeight="1" s="215">
      <c r="A101" s="199">
        <f t="array" ref="A101">'population'!$A95</f>
        <v/>
      </c>
      <c r="B101" s="78" t="n"/>
      <c r="C101" s="78">
        <f t="array" ref="C101">'population'!C95</f>
        <v/>
      </c>
      <c r="D101" s="78">
        <f t="array" ref="D101">'population'!D95</f>
        <v/>
      </c>
      <c r="E101" s="78">
        <f t="array" ref="E101">'population'!E95</f>
        <v/>
      </c>
      <c r="F101" s="78">
        <f t="array" ref="F101">'population'!F95</f>
        <v/>
      </c>
      <c r="G101" s="78">
        <f t="array" ref="G101">'population'!G95</f>
        <v/>
      </c>
      <c r="H101" s="78">
        <f t="array" ref="H101">'population'!H95</f>
        <v/>
      </c>
      <c r="I101" s="78">
        <f t="array" ref="I101">'population'!I95</f>
        <v/>
      </c>
      <c r="J101" s="78">
        <f t="array" ref="J101">'population'!J95</f>
        <v/>
      </c>
      <c r="K101" s="78">
        <f t="array" ref="K101">'population'!K95</f>
        <v/>
      </c>
      <c r="L101" s="78" t="n"/>
    </row>
    <row r="102" ht="20.05" customHeight="1" s="215">
      <c r="A102" s="199">
        <f t="array" ref="A102">'population'!$A96</f>
        <v/>
      </c>
      <c r="B102" s="78" t="n"/>
      <c r="C102" s="78">
        <f t="array" ref="C102">'population'!C96</f>
        <v/>
      </c>
      <c r="D102" s="78">
        <f t="array" ref="D102">'population'!D96</f>
        <v/>
      </c>
      <c r="E102" s="78">
        <f t="array" ref="E102">'population'!E96</f>
        <v/>
      </c>
      <c r="F102" s="78">
        <f t="array" ref="F102">'population'!F96</f>
        <v/>
      </c>
      <c r="G102" s="78">
        <f t="array" ref="G102">'population'!G96</f>
        <v/>
      </c>
      <c r="H102" s="78">
        <f t="array" ref="H102">'population'!H96</f>
        <v/>
      </c>
      <c r="I102" s="78">
        <f t="array" ref="I102">'population'!I96</f>
        <v/>
      </c>
      <c r="J102" s="78">
        <f t="array" ref="J102">'population'!J96</f>
        <v/>
      </c>
      <c r="K102" s="78">
        <f t="array" ref="K102">'population'!K96</f>
        <v/>
      </c>
      <c r="L102" s="78" t="n"/>
    </row>
    <row r="103" ht="20.05" customHeight="1" s="215">
      <c r="A103" s="199">
        <f t="array" ref="A103">'population'!$A97</f>
        <v/>
      </c>
      <c r="B103" s="78" t="n"/>
      <c r="C103" s="78">
        <f t="array" ref="C103">'population'!C97</f>
        <v/>
      </c>
      <c r="D103" s="78">
        <f t="array" ref="D103">'population'!D97</f>
        <v/>
      </c>
      <c r="E103" s="78">
        <f t="array" ref="E103">'population'!E97</f>
        <v/>
      </c>
      <c r="F103" s="78">
        <f t="array" ref="F103">'population'!F97</f>
        <v/>
      </c>
      <c r="G103" s="78">
        <f t="array" ref="G103">'population'!G97</f>
        <v/>
      </c>
      <c r="H103" s="78">
        <f t="array" ref="H103">'population'!H97</f>
        <v/>
      </c>
      <c r="I103" s="78">
        <f t="array" ref="I103">'population'!I97</f>
        <v/>
      </c>
      <c r="J103" s="78">
        <f t="array" ref="J103">'population'!J97</f>
        <v/>
      </c>
      <c r="K103" s="78">
        <f t="array" ref="K103">'population'!K97</f>
        <v/>
      </c>
      <c r="L103" s="78" t="n"/>
    </row>
    <row r="104" ht="20.05" customHeight="1" s="215">
      <c r="A104" s="199">
        <f t="array" ref="A104">'population'!$A98</f>
        <v/>
      </c>
      <c r="B104" s="78" t="n"/>
      <c r="C104" s="78">
        <f t="array" ref="C104">'population'!C98</f>
        <v/>
      </c>
      <c r="D104" s="78">
        <f t="array" ref="D104">'population'!D98</f>
        <v/>
      </c>
      <c r="E104" s="78">
        <f t="array" ref="E104">'population'!E98</f>
        <v/>
      </c>
      <c r="F104" s="78">
        <f t="array" ref="F104">'population'!F98</f>
        <v/>
      </c>
      <c r="G104" s="78">
        <f t="array" ref="G104">'population'!G98</f>
        <v/>
      </c>
      <c r="H104" s="78">
        <f t="array" ref="H104">'population'!H98</f>
        <v/>
      </c>
      <c r="I104" s="78">
        <f t="array" ref="I104">'population'!I98</f>
        <v/>
      </c>
      <c r="J104" s="78">
        <f t="array" ref="J104">'population'!J98</f>
        <v/>
      </c>
      <c r="K104" s="78">
        <f t="array" ref="K104">'population'!K98</f>
        <v/>
      </c>
      <c r="L104" s="78" t="n"/>
    </row>
    <row r="105" ht="20.05" customHeight="1" s="215">
      <c r="A105" s="199">
        <f t="array" ref="A105">'population'!$A99</f>
        <v/>
      </c>
      <c r="B105" s="78" t="n"/>
      <c r="C105" s="78">
        <f t="array" ref="C105">'population'!C99</f>
        <v/>
      </c>
      <c r="D105" s="78">
        <f t="array" ref="D105">'population'!D99</f>
        <v/>
      </c>
      <c r="E105" s="78">
        <f t="array" ref="E105">'population'!E99</f>
        <v/>
      </c>
      <c r="F105" s="78">
        <f t="array" ref="F105">'population'!F99</f>
        <v/>
      </c>
      <c r="G105" s="78">
        <f t="array" ref="G105">'population'!G99</f>
        <v/>
      </c>
      <c r="H105" s="78">
        <f t="array" ref="H105">'population'!H99</f>
        <v/>
      </c>
      <c r="I105" s="78">
        <f t="array" ref="I105">'population'!I99</f>
        <v/>
      </c>
      <c r="J105" s="78">
        <f t="array" ref="J105">'population'!J99</f>
        <v/>
      </c>
      <c r="K105" s="78">
        <f t="array" ref="K105">'population'!K99</f>
        <v/>
      </c>
      <c r="L105" s="78" t="n"/>
    </row>
    <row r="106" ht="20.05" customHeight="1" s="215">
      <c r="A106" s="199">
        <f t="array" ref="A106">'population'!$A100</f>
        <v/>
      </c>
      <c r="B106" s="78" t="n"/>
      <c r="C106" s="78">
        <f t="array" ref="C106">'population'!C100</f>
        <v/>
      </c>
      <c r="D106" s="78">
        <f t="array" ref="D106">'population'!D100</f>
        <v/>
      </c>
      <c r="E106" s="78">
        <f t="array" ref="E106">'population'!E100</f>
        <v/>
      </c>
      <c r="F106" s="78">
        <f t="array" ref="F106">'population'!F100</f>
        <v/>
      </c>
      <c r="G106" s="78">
        <f t="array" ref="G106">'population'!G100</f>
        <v/>
      </c>
      <c r="H106" s="78">
        <f t="array" ref="H106">'population'!H100</f>
        <v/>
      </c>
      <c r="I106" s="78">
        <f t="array" ref="I106">'population'!I100</f>
        <v/>
      </c>
      <c r="J106" s="78">
        <f t="array" ref="J106">'population'!J100</f>
        <v/>
      </c>
      <c r="K106" s="78">
        <f t="array" ref="K106">'population'!K100</f>
        <v/>
      </c>
      <c r="L106" s="78" t="n"/>
    </row>
    <row r="107" ht="20.05" customHeight="1" s="215">
      <c r="A107" s="199">
        <f t="array" ref="A107">'population'!$A101</f>
        <v/>
      </c>
      <c r="B107" s="78" t="n"/>
      <c r="C107" s="78">
        <f t="array" ref="C107">'population'!C101</f>
        <v/>
      </c>
      <c r="D107" s="78">
        <f t="array" ref="D107">'population'!D101</f>
        <v/>
      </c>
      <c r="E107" s="78">
        <f t="array" ref="E107">'population'!E101</f>
        <v/>
      </c>
      <c r="F107" s="78">
        <f t="array" ref="F107">'population'!F101</f>
        <v/>
      </c>
      <c r="G107" s="78">
        <f t="array" ref="G107">'population'!G101</f>
        <v/>
      </c>
      <c r="H107" s="78">
        <f t="array" ref="H107">'population'!H101</f>
        <v/>
      </c>
      <c r="I107" s="78">
        <f t="array" ref="I107">'population'!I101</f>
        <v/>
      </c>
      <c r="J107" s="78">
        <f t="array" ref="J107">'population'!J101</f>
        <v/>
      </c>
      <c r="K107" s="78">
        <f t="array" ref="K107">'population'!K101</f>
        <v/>
      </c>
      <c r="L107" s="78" t="n"/>
    </row>
    <row r="108" ht="20.05" customHeight="1" s="215">
      <c r="A108" s="199">
        <f t="array" ref="A108">'population'!$A102</f>
        <v/>
      </c>
      <c r="B108" s="78" t="n"/>
      <c r="C108" s="78">
        <f t="array" ref="C108">'population'!C102</f>
        <v/>
      </c>
      <c r="D108" s="78">
        <f t="array" ref="D108">'population'!D102</f>
        <v/>
      </c>
      <c r="E108" s="78">
        <f t="array" ref="E108">'population'!E102</f>
        <v/>
      </c>
      <c r="F108" s="78">
        <f t="array" ref="F108">'population'!F102</f>
        <v/>
      </c>
      <c r="G108" s="78">
        <f t="array" ref="G108">'population'!G102</f>
        <v/>
      </c>
      <c r="H108" s="78">
        <f t="array" ref="H108">'population'!H102</f>
        <v/>
      </c>
      <c r="I108" s="78">
        <f t="array" ref="I108">'population'!I102</f>
        <v/>
      </c>
      <c r="J108" s="78">
        <f t="array" ref="J108">'population'!J102</f>
        <v/>
      </c>
      <c r="K108" s="78">
        <f t="array" ref="K108">'population'!K102</f>
        <v/>
      </c>
      <c r="L108" s="78" t="n"/>
    </row>
    <row r="109" ht="20.05" customHeight="1" s="215">
      <c r="A109" s="199">
        <f t="array" ref="A109">'population'!$A103</f>
        <v/>
      </c>
      <c r="B109" s="78" t="n"/>
      <c r="C109" s="78">
        <f t="array" ref="C109">'population'!C103</f>
        <v/>
      </c>
      <c r="D109" s="78">
        <f t="array" ref="D109">'population'!D103</f>
        <v/>
      </c>
      <c r="E109" s="78">
        <f t="array" ref="E109">'population'!E103</f>
        <v/>
      </c>
      <c r="F109" s="78">
        <f t="array" ref="F109">'population'!F103</f>
        <v/>
      </c>
      <c r="G109" s="78">
        <f t="array" ref="G109">'population'!G103</f>
        <v/>
      </c>
      <c r="H109" s="78">
        <f t="array" ref="H109">'population'!H103</f>
        <v/>
      </c>
      <c r="I109" s="78">
        <f t="array" ref="I109">'population'!I103</f>
        <v/>
      </c>
      <c r="J109" s="78">
        <f t="array" ref="J109">'population'!J103</f>
        <v/>
      </c>
      <c r="K109" s="78">
        <f t="array" ref="K109">'population'!K103</f>
        <v/>
      </c>
      <c r="L109" s="78" t="n"/>
    </row>
    <row r="110" ht="20.05" customHeight="1" s="215">
      <c r="A110" s="199">
        <f t="array" ref="A110">'population'!$A104</f>
        <v/>
      </c>
      <c r="B110" s="78" t="n"/>
      <c r="C110" s="78">
        <f t="array" ref="C110">'population'!C104</f>
        <v/>
      </c>
      <c r="D110" s="78">
        <f t="array" ref="D110">'population'!D104</f>
        <v/>
      </c>
      <c r="E110" s="78">
        <f t="array" ref="E110">'population'!E104</f>
        <v/>
      </c>
      <c r="F110" s="78">
        <f t="array" ref="F110">'population'!F104</f>
        <v/>
      </c>
      <c r="G110" s="78">
        <f t="array" ref="G110">'population'!G104</f>
        <v/>
      </c>
      <c r="H110" s="78">
        <f t="array" ref="H110">'population'!H104</f>
        <v/>
      </c>
      <c r="I110" s="78">
        <f t="array" ref="I110">'population'!I104</f>
        <v/>
      </c>
      <c r="J110" s="78">
        <f t="array" ref="J110">'population'!J104</f>
        <v/>
      </c>
      <c r="K110" s="78">
        <f t="array" ref="K110">'population'!K104</f>
        <v/>
      </c>
      <c r="L110" s="78" t="n"/>
    </row>
    <row r="111" ht="20.05" customHeight="1" s="215">
      <c r="A111" s="199">
        <f t="array" ref="A111">'population'!$A105</f>
        <v/>
      </c>
      <c r="B111" s="78" t="n"/>
      <c r="C111" s="78">
        <f t="array" ref="C111">'population'!C105</f>
        <v/>
      </c>
      <c r="D111" s="78">
        <f t="array" ref="D111">'population'!D105</f>
        <v/>
      </c>
      <c r="E111" s="78">
        <f t="array" ref="E111">'population'!E105</f>
        <v/>
      </c>
      <c r="F111" s="78">
        <f t="array" ref="F111">'population'!F105</f>
        <v/>
      </c>
      <c r="G111" s="78">
        <f t="array" ref="G111">'population'!G105</f>
        <v/>
      </c>
      <c r="H111" s="78">
        <f t="array" ref="H111">'population'!H105</f>
        <v/>
      </c>
      <c r="I111" s="78">
        <f t="array" ref="I111">'population'!I105</f>
        <v/>
      </c>
      <c r="J111" s="78">
        <f t="array" ref="J111">'population'!J105</f>
        <v/>
      </c>
      <c r="K111" s="78">
        <f t="array" ref="K111">'population'!K105</f>
        <v/>
      </c>
      <c r="L111" s="78" t="n"/>
    </row>
    <row r="112" ht="20.05" customHeight="1" s="215">
      <c r="A112" s="199">
        <f t="array" ref="A112">'population'!$A106</f>
        <v/>
      </c>
      <c r="B112" s="78" t="n"/>
      <c r="C112" s="78">
        <f t="array" ref="C112">'population'!C106</f>
        <v/>
      </c>
      <c r="D112" s="78">
        <f t="array" ref="D112">'population'!D106</f>
        <v/>
      </c>
      <c r="E112" s="78">
        <f t="array" ref="E112">'population'!E106</f>
        <v/>
      </c>
      <c r="F112" s="78">
        <f t="array" ref="F112">'population'!F106</f>
        <v/>
      </c>
      <c r="G112" s="78">
        <f t="array" ref="G112">'population'!G106</f>
        <v/>
      </c>
      <c r="H112" s="78">
        <f t="array" ref="H112">'population'!H106</f>
        <v/>
      </c>
      <c r="I112" s="78">
        <f t="array" ref="I112">'population'!I106</f>
        <v/>
      </c>
      <c r="J112" s="78">
        <f t="array" ref="J112">'population'!J106</f>
        <v/>
      </c>
      <c r="K112" s="78">
        <f t="array" ref="K112">'population'!K106</f>
        <v/>
      </c>
      <c r="L112" s="78" t="n"/>
    </row>
    <row r="113" ht="20.05" customHeight="1" s="215">
      <c r="A113" s="199">
        <f t="array" ref="A113">'population'!$A107</f>
        <v/>
      </c>
      <c r="B113" s="78" t="n"/>
      <c r="C113" s="78">
        <f t="array" ref="C113">'population'!C107</f>
        <v/>
      </c>
      <c r="D113" s="78">
        <f t="array" ref="D113">'population'!D107</f>
        <v/>
      </c>
      <c r="E113" s="78">
        <f t="array" ref="E113">'population'!E107</f>
        <v/>
      </c>
      <c r="F113" s="78">
        <f t="array" ref="F113">'population'!F107</f>
        <v/>
      </c>
      <c r="G113" s="78">
        <f t="array" ref="G113">'population'!G107</f>
        <v/>
      </c>
      <c r="H113" s="78">
        <f t="array" ref="H113">'population'!H107</f>
        <v/>
      </c>
      <c r="I113" s="78">
        <f t="array" ref="I113">'population'!I107</f>
        <v/>
      </c>
      <c r="J113" s="78">
        <f t="array" ref="J113">'population'!J107</f>
        <v/>
      </c>
      <c r="K113" s="78">
        <f t="array" ref="K113">'population'!K107</f>
        <v/>
      </c>
      <c r="L113" s="78" t="n"/>
    </row>
    <row r="114" ht="20.05" customHeight="1" s="215">
      <c r="A114" s="199">
        <f t="array" ref="A114">'population'!$A108</f>
        <v/>
      </c>
      <c r="B114" s="78" t="n"/>
      <c r="C114" s="78">
        <f t="array" ref="C114">'population'!C108</f>
        <v/>
      </c>
      <c r="D114" s="78">
        <f t="array" ref="D114">'population'!D108</f>
        <v/>
      </c>
      <c r="E114" s="78">
        <f t="array" ref="E114">'population'!E108</f>
        <v/>
      </c>
      <c r="F114" s="78">
        <f t="array" ref="F114">'population'!F108</f>
        <v/>
      </c>
      <c r="G114" s="78">
        <f t="array" ref="G114">'population'!G108</f>
        <v/>
      </c>
      <c r="H114" s="78">
        <f t="array" ref="H114">'population'!H108</f>
        <v/>
      </c>
      <c r="I114" s="78">
        <f t="array" ref="I114">'population'!I108</f>
        <v/>
      </c>
      <c r="J114" s="78">
        <f t="array" ref="J114">'population'!J108</f>
        <v/>
      </c>
      <c r="K114" s="78">
        <f t="array" ref="K114">'population'!K108</f>
        <v/>
      </c>
      <c r="L114" s="78" t="n"/>
    </row>
    <row r="115" ht="20.05" customHeight="1" s="215">
      <c r="A115" s="199">
        <f t="array" ref="A115">'population'!$A109</f>
        <v/>
      </c>
      <c r="B115" s="78" t="n"/>
      <c r="C115" s="78">
        <f t="array" ref="C115">'population'!C109</f>
        <v/>
      </c>
      <c r="D115" s="78">
        <f t="array" ref="D115">'population'!D109</f>
        <v/>
      </c>
      <c r="E115" s="78">
        <f t="array" ref="E115">'population'!E109</f>
        <v/>
      </c>
      <c r="F115" s="78">
        <f t="array" ref="F115">'population'!F109</f>
        <v/>
      </c>
      <c r="G115" s="78">
        <f t="array" ref="G115">'population'!G109</f>
        <v/>
      </c>
      <c r="H115" s="78">
        <f t="array" ref="H115">'population'!H109</f>
        <v/>
      </c>
      <c r="I115" s="78">
        <f t="array" ref="I115">'population'!I109</f>
        <v/>
      </c>
      <c r="J115" s="78">
        <f t="array" ref="J115">'population'!J109</f>
        <v/>
      </c>
      <c r="K115" s="78">
        <f t="array" ref="K115">'population'!K109</f>
        <v/>
      </c>
      <c r="L115" s="78" t="n"/>
    </row>
    <row r="116" ht="44.05" customHeight="1" s="215">
      <c r="A116" s="199">
        <f t="array" ref="A116">'population'!$A111</f>
        <v/>
      </c>
      <c r="B116" s="78" t="n"/>
      <c r="C116" s="76">
        <f t="array" ref="C116">'population'!C111</f>
        <v/>
      </c>
      <c r="D116" s="78" t="n"/>
      <c r="E116" s="78" t="n"/>
      <c r="F116" s="78" t="n"/>
      <c r="G116" s="78" t="n"/>
      <c r="H116" s="78" t="n"/>
      <c r="I116" s="78" t="n"/>
      <c r="J116" s="78" t="n"/>
      <c r="K116" s="78" t="n"/>
      <c r="L116" s="78" t="n"/>
    </row>
    <row r="117" ht="20.05" customHeight="1" s="215">
      <c r="A117" s="199" t="n"/>
      <c r="B117" s="78" t="n"/>
      <c r="C117" s="78" t="n"/>
      <c r="D117" s="78" t="n"/>
      <c r="E117" s="78" t="n"/>
      <c r="F117" s="78" t="n"/>
      <c r="G117" s="78" t="n"/>
      <c r="H117" s="78" t="n"/>
      <c r="I117" s="78" t="n"/>
      <c r="J117" s="78" t="n"/>
      <c r="K117" s="78" t="n"/>
      <c r="L117" s="78" t="n"/>
    </row>
    <row r="118" ht="26.85" customHeight="1" s="215">
      <c r="A118" s="30" t="n"/>
      <c r="B118" s="31" t="inlineStr">
        <is>
          <t>Births</t>
        </is>
      </c>
      <c r="C118" s="32" t="n"/>
      <c r="D118" s="218" t="n"/>
      <c r="E118" s="218" t="n"/>
      <c r="F118" s="218" t="n"/>
      <c r="G118" s="218" t="n"/>
      <c r="H118" s="218" t="n"/>
      <c r="I118" s="218" t="n"/>
      <c r="J118" s="218" t="n"/>
      <c r="K118" s="218" t="n"/>
      <c r="L118" s="33" t="n"/>
    </row>
    <row r="119" ht="20.05" customHeight="1" s="215">
      <c r="A119" s="199">
        <f t="array" ref="A119">'births'!$A7</f>
        <v/>
      </c>
      <c r="B119" s="78" t="n"/>
      <c r="C119" s="78" t="n"/>
      <c r="D119" s="78" t="n"/>
      <c r="E119" s="78" t="n"/>
      <c r="F119" s="78" t="n"/>
      <c r="G119" s="78" t="n"/>
      <c r="H119" s="240">
        <f t="array" ref="H119">'births'!D7</f>
        <v/>
      </c>
      <c r="I119" s="240">
        <f t="array" ref="I119">'births'!F7</f>
        <v/>
      </c>
      <c r="J119" s="78" t="n"/>
      <c r="K119" s="78" t="n"/>
      <c r="L119" s="78" t="n"/>
    </row>
    <row r="120" ht="20.05" customHeight="1" s="215">
      <c r="A120" s="204">
        <f t="array" ref="A120">'births'!$A11</f>
        <v/>
      </c>
      <c r="B120" s="150" t="n"/>
      <c r="C120" s="150">
        <f t="array" ref="C120">'births'!C11</f>
        <v/>
      </c>
      <c r="D120" s="78">
        <f t="array" ref="D120">'births'!D11</f>
        <v/>
      </c>
      <c r="E120" s="78">
        <f t="array" ref="E120">'births'!E11</f>
        <v/>
      </c>
      <c r="F120" s="78">
        <f t="array" ref="F120">'births'!F11</f>
        <v/>
      </c>
      <c r="G120" s="78">
        <f t="array" ref="G120">'births'!G11</f>
        <v/>
      </c>
      <c r="H120" s="78">
        <f t="array" ref="H120">'births'!H11</f>
        <v/>
      </c>
      <c r="I120" s="78">
        <f t="array" ref="I120">'births'!I11</f>
        <v/>
      </c>
      <c r="J120" s="78">
        <f t="array" ref="J120">'births'!J11</f>
        <v/>
      </c>
      <c r="K120" s="78">
        <f t="array" ref="K120">'births'!K11</f>
        <v/>
      </c>
      <c r="L120" s="78" t="n"/>
    </row>
    <row r="121" ht="44.05" customHeight="1" s="215">
      <c r="A121" s="205">
        <f t="array" ref="A121">'births'!$A13</f>
        <v/>
      </c>
      <c r="B121" s="206" t="n"/>
      <c r="C121" s="183">
        <f t="array" ref="C121">'births'!C13</f>
        <v/>
      </c>
      <c r="D121" s="78" t="n"/>
      <c r="E121" s="78" t="n"/>
      <c r="F121" s="78" t="n"/>
      <c r="G121" s="78" t="n"/>
      <c r="H121" s="78" t="n"/>
      <c r="I121" s="78" t="n"/>
      <c r="J121" s="78" t="n"/>
      <c r="K121" s="78" t="n"/>
      <c r="L121" s="78" t="n"/>
    </row>
    <row r="122" ht="20.05" customHeight="1" s="215">
      <c r="A122" s="208">
        <f t="array" ref="A122">'births'!$A22</f>
        <v/>
      </c>
      <c r="B122" s="209" t="n"/>
      <c r="C122" s="209">
        <f t="array" ref="C122">'births'!C22</f>
        <v/>
      </c>
      <c r="D122" s="78">
        <f t="array" ref="D122">'births'!D22</f>
        <v/>
      </c>
      <c r="E122" s="78">
        <f t="array" ref="E122">'births'!E22</f>
        <v/>
      </c>
      <c r="F122" s="78">
        <f t="array" ref="F122">'births'!F22</f>
        <v/>
      </c>
      <c r="G122" s="78">
        <f t="array" ref="G122">'births'!G22</f>
        <v/>
      </c>
      <c r="H122" s="78">
        <f t="array" ref="H122">'births'!H22</f>
        <v/>
      </c>
      <c r="I122" s="78">
        <f t="array" ref="I122">'births'!I22</f>
        <v/>
      </c>
      <c r="J122" s="78">
        <f t="array" ref="J122">'births'!J22</f>
        <v/>
      </c>
      <c r="K122" s="78">
        <f t="array" ref="K122">'births'!K22</f>
        <v/>
      </c>
      <c r="L122" s="78" t="n"/>
    </row>
    <row r="123" ht="20.05" customHeight="1" s="215">
      <c r="A123" s="199">
        <f t="array" ref="A123">'births'!$A23</f>
        <v/>
      </c>
      <c r="B123" s="78" t="n"/>
      <c r="C123" s="78">
        <f t="array" ref="C123">'births'!C23</f>
        <v/>
      </c>
      <c r="D123" s="78">
        <f t="array" ref="D123">'births'!D23</f>
        <v/>
      </c>
      <c r="E123" s="78">
        <f t="array" ref="E123">'births'!E23</f>
        <v/>
      </c>
      <c r="F123" s="78">
        <f t="array" ref="F123">'births'!F23</f>
        <v/>
      </c>
      <c r="G123" s="78">
        <f t="array" ref="G123">'births'!G23</f>
        <v/>
      </c>
      <c r="H123" s="78">
        <f t="array" ref="H123">'births'!H23</f>
        <v/>
      </c>
      <c r="I123" s="78">
        <f t="array" ref="I123">'births'!I23</f>
        <v/>
      </c>
      <c r="J123" s="78">
        <f t="array" ref="J123">'births'!J23</f>
        <v/>
      </c>
      <c r="K123" s="78">
        <f t="array" ref="K123">'births'!K23</f>
        <v/>
      </c>
      <c r="L123" s="78" t="n"/>
    </row>
    <row r="124" ht="20.05" customHeight="1" s="215">
      <c r="A124" s="199">
        <f t="array" ref="A124">'births'!$A24</f>
        <v/>
      </c>
      <c r="B124" s="78" t="n"/>
      <c r="C124" s="78">
        <f t="array" ref="C124">'births'!C24</f>
        <v/>
      </c>
      <c r="D124" s="78">
        <f t="array" ref="D124">'births'!D24</f>
        <v/>
      </c>
      <c r="E124" s="78">
        <f t="array" ref="E124">'births'!E24</f>
        <v/>
      </c>
      <c r="F124" s="78">
        <f t="array" ref="F124">'births'!F24</f>
        <v/>
      </c>
      <c r="G124" s="78">
        <f t="array" ref="G124">'births'!G24</f>
        <v/>
      </c>
      <c r="H124" s="78">
        <f t="array" ref="H124">'births'!H24</f>
        <v/>
      </c>
      <c r="I124" s="78">
        <f t="array" ref="I124">'births'!I24</f>
        <v/>
      </c>
      <c r="J124" s="78">
        <f t="array" ref="J124">'births'!J24</f>
        <v/>
      </c>
      <c r="K124" s="78">
        <f t="array" ref="K124">'births'!K24</f>
        <v/>
      </c>
      <c r="L124" s="78" t="n"/>
    </row>
    <row r="125" ht="20.05" customHeight="1" s="215">
      <c r="A125" s="199">
        <f t="array" ref="A125">'births'!$A25</f>
        <v/>
      </c>
      <c r="B125" s="78" t="n"/>
      <c r="C125" s="78">
        <f t="array" ref="C125">'births'!C25</f>
        <v/>
      </c>
      <c r="D125" s="78">
        <f t="array" ref="D125">'births'!D25</f>
        <v/>
      </c>
      <c r="E125" s="78">
        <f t="array" ref="E125">'births'!E25</f>
        <v/>
      </c>
      <c r="F125" s="78">
        <f t="array" ref="F125">'births'!F25</f>
        <v/>
      </c>
      <c r="G125" s="78">
        <f t="array" ref="G125">'births'!G25</f>
        <v/>
      </c>
      <c r="H125" s="78">
        <f t="array" ref="H125">'births'!H25</f>
        <v/>
      </c>
      <c r="I125" s="78">
        <f t="array" ref="I125">'births'!I25</f>
        <v/>
      </c>
      <c r="J125" s="78">
        <f t="array" ref="J125">'births'!J25</f>
        <v/>
      </c>
      <c r="K125" s="78">
        <f t="array" ref="K125">'births'!K25</f>
        <v/>
      </c>
      <c r="L125" s="78" t="n"/>
    </row>
    <row r="126" ht="20.05" customHeight="1" s="215">
      <c r="A126" s="199">
        <f t="array" ref="A126">'births'!$A26</f>
        <v/>
      </c>
      <c r="B126" s="78" t="n"/>
      <c r="C126" s="78">
        <f t="array" ref="C126">'births'!C26</f>
        <v/>
      </c>
      <c r="D126" s="78">
        <f t="array" ref="D126">'births'!D26</f>
        <v/>
      </c>
      <c r="E126" s="78">
        <f t="array" ref="E126">'births'!E26</f>
        <v/>
      </c>
      <c r="F126" s="78">
        <f t="array" ref="F126">'births'!F26</f>
        <v/>
      </c>
      <c r="G126" s="78">
        <f t="array" ref="G126">'births'!G26</f>
        <v/>
      </c>
      <c r="H126" s="78">
        <f t="array" ref="H126">'births'!H26</f>
        <v/>
      </c>
      <c r="I126" s="78">
        <f t="array" ref="I126">'births'!I26</f>
        <v/>
      </c>
      <c r="J126" s="78">
        <f t="array" ref="J126">'births'!J26</f>
        <v/>
      </c>
      <c r="K126" s="78">
        <f t="array" ref="K126">'births'!K26</f>
        <v/>
      </c>
      <c r="L126" s="78" t="n"/>
    </row>
    <row r="127" ht="20.05" customHeight="1" s="215">
      <c r="A127" s="199">
        <f t="array" ref="A127">'births'!$A27</f>
        <v/>
      </c>
      <c r="B127" s="78" t="n"/>
      <c r="C127" s="78">
        <f t="array" ref="C127">'births'!C27</f>
        <v/>
      </c>
      <c r="D127" s="78">
        <f t="array" ref="D127">'births'!D27</f>
        <v/>
      </c>
      <c r="E127" s="78">
        <f t="array" ref="E127">'births'!E27</f>
        <v/>
      </c>
      <c r="F127" s="78">
        <f t="array" ref="F127">'births'!F27</f>
        <v/>
      </c>
      <c r="G127" s="78">
        <f t="array" ref="G127">'births'!G27</f>
        <v/>
      </c>
      <c r="H127" s="78">
        <f t="array" ref="H127">'births'!H27</f>
        <v/>
      </c>
      <c r="I127" s="78">
        <f t="array" ref="I127">'births'!I27</f>
        <v/>
      </c>
      <c r="J127" s="78">
        <f t="array" ref="J127">'births'!J27</f>
        <v/>
      </c>
      <c r="K127" s="78">
        <f t="array" ref="K127">'births'!K27</f>
        <v/>
      </c>
      <c r="L127" s="78" t="n"/>
    </row>
    <row r="128" ht="20.05" customHeight="1" s="215">
      <c r="A128" s="199">
        <f t="array" ref="A128">'births'!$A28</f>
        <v/>
      </c>
      <c r="B128" s="78" t="n"/>
      <c r="C128" s="78">
        <f t="array" ref="C128">'births'!C28</f>
        <v/>
      </c>
      <c r="D128" s="78">
        <f t="array" ref="D128">'births'!D28</f>
        <v/>
      </c>
      <c r="E128" s="78">
        <f t="array" ref="E128">'births'!E28</f>
        <v/>
      </c>
      <c r="F128" s="78">
        <f t="array" ref="F128">'births'!F28</f>
        <v/>
      </c>
      <c r="G128" s="78">
        <f t="array" ref="G128">'births'!G28</f>
        <v/>
      </c>
      <c r="H128" s="78">
        <f t="array" ref="H128">'births'!H28</f>
        <v/>
      </c>
      <c r="I128" s="78">
        <f t="array" ref="I128">'births'!I28</f>
        <v/>
      </c>
      <c r="J128" s="78">
        <f t="array" ref="J128">'births'!J28</f>
        <v/>
      </c>
      <c r="K128" s="78">
        <f t="array" ref="K128">'births'!K28</f>
        <v/>
      </c>
      <c r="L128" s="78" t="n"/>
    </row>
    <row r="129" ht="20.05" customHeight="1" s="215">
      <c r="A129" s="199">
        <f t="array" ref="A129">'births'!$A29</f>
        <v/>
      </c>
      <c r="B129" s="78" t="n"/>
      <c r="C129" s="78">
        <f t="array" ref="C129">'births'!C29</f>
        <v/>
      </c>
      <c r="D129" s="78">
        <f t="array" ref="D129">'births'!D29</f>
        <v/>
      </c>
      <c r="E129" s="78">
        <f t="array" ref="E129">'births'!E29</f>
        <v/>
      </c>
      <c r="F129" s="78">
        <f t="array" ref="F129">'births'!F29</f>
        <v/>
      </c>
      <c r="G129" s="78">
        <f t="array" ref="G129">'births'!G29</f>
        <v/>
      </c>
      <c r="H129" s="78">
        <f t="array" ref="H129">'births'!H29</f>
        <v/>
      </c>
      <c r="I129" s="78">
        <f t="array" ref="I129">'births'!I29</f>
        <v/>
      </c>
      <c r="J129" s="78">
        <f t="array" ref="J129">'births'!J29</f>
        <v/>
      </c>
      <c r="K129" s="78">
        <f t="array" ref="K129">'births'!K29</f>
        <v/>
      </c>
      <c r="L129" s="78" t="n"/>
    </row>
    <row r="130" ht="20.05" customHeight="1" s="215">
      <c r="A130" s="199">
        <f t="array" ref="A130">'births'!$A30</f>
        <v/>
      </c>
      <c r="B130" s="78" t="n"/>
      <c r="C130" s="78">
        <f t="array" ref="C130">'births'!C30</f>
        <v/>
      </c>
      <c r="D130" s="78">
        <f t="array" ref="D130">'births'!D30</f>
        <v/>
      </c>
      <c r="E130" s="78">
        <f t="array" ref="E130">'births'!E30</f>
        <v/>
      </c>
      <c r="F130" s="78">
        <f t="array" ref="F130">'births'!F30</f>
        <v/>
      </c>
      <c r="G130" s="78">
        <f t="array" ref="G130">'births'!G30</f>
        <v/>
      </c>
      <c r="H130" s="78">
        <f t="array" ref="H130">'births'!H30</f>
        <v/>
      </c>
      <c r="I130" s="78">
        <f t="array" ref="I130">'births'!I30</f>
        <v/>
      </c>
      <c r="J130" s="78">
        <f t="array" ref="J130">'births'!J30</f>
        <v/>
      </c>
      <c r="K130" s="78">
        <f t="array" ref="K130">'births'!K30</f>
        <v/>
      </c>
      <c r="L130" s="78" t="n"/>
    </row>
    <row r="131" ht="20.05" customHeight="1" s="215">
      <c r="A131" s="199">
        <f t="array" ref="A131">'births'!$A31</f>
        <v/>
      </c>
      <c r="B131" s="78" t="n"/>
      <c r="C131" s="78">
        <f t="array" ref="C131">'births'!C31</f>
        <v/>
      </c>
      <c r="D131" s="78">
        <f t="array" ref="D131">'births'!D31</f>
        <v/>
      </c>
      <c r="E131" s="78">
        <f t="array" ref="E131">'births'!E31</f>
        <v/>
      </c>
      <c r="F131" s="78">
        <f t="array" ref="F131">'births'!F31</f>
        <v/>
      </c>
      <c r="G131" s="78">
        <f t="array" ref="G131">'births'!G31</f>
        <v/>
      </c>
      <c r="H131" s="78">
        <f t="array" ref="H131">'births'!H31</f>
        <v/>
      </c>
      <c r="I131" s="78">
        <f t="array" ref="I131">'births'!I31</f>
        <v/>
      </c>
      <c r="J131" s="78">
        <f t="array" ref="J131">'births'!J31</f>
        <v/>
      </c>
      <c r="K131" s="78">
        <f t="array" ref="K131">'births'!K31</f>
        <v/>
      </c>
      <c r="L131" s="78" t="n"/>
    </row>
    <row r="132" ht="20.05" customHeight="1" s="215">
      <c r="A132" s="199">
        <f t="array" ref="A132">'births'!$A32</f>
        <v/>
      </c>
      <c r="B132" s="78" t="n"/>
      <c r="C132" s="78">
        <f t="array" ref="C132">'births'!C32</f>
        <v/>
      </c>
      <c r="D132" s="78">
        <f t="array" ref="D132">'births'!D32</f>
        <v/>
      </c>
      <c r="E132" s="78">
        <f t="array" ref="E132">'births'!E32</f>
        <v/>
      </c>
      <c r="F132" s="78">
        <f t="array" ref="F132">'births'!F32</f>
        <v/>
      </c>
      <c r="G132" s="78">
        <f t="array" ref="G132">'births'!G32</f>
        <v/>
      </c>
      <c r="H132" s="78">
        <f t="array" ref="H132">'births'!H32</f>
        <v/>
      </c>
      <c r="I132" s="78">
        <f t="array" ref="I132">'births'!I32</f>
        <v/>
      </c>
      <c r="J132" s="78">
        <f t="array" ref="J132">'births'!J32</f>
        <v/>
      </c>
      <c r="K132" s="78">
        <f t="array" ref="K132">'births'!K32</f>
        <v/>
      </c>
      <c r="L132" s="78" t="n"/>
    </row>
    <row r="133" ht="20.05" customHeight="1" s="215">
      <c r="A133" s="199">
        <f t="array" ref="A133">'births'!$A33</f>
        <v/>
      </c>
      <c r="B133" s="78" t="n"/>
      <c r="C133" s="78">
        <f t="array" ref="C133">'births'!C33</f>
        <v/>
      </c>
      <c r="D133" s="78">
        <f t="array" ref="D133">'births'!D33</f>
        <v/>
      </c>
      <c r="E133" s="78">
        <f t="array" ref="E133">'births'!E33</f>
        <v/>
      </c>
      <c r="F133" s="78">
        <f t="array" ref="F133">'births'!F33</f>
        <v/>
      </c>
      <c r="G133" s="78">
        <f t="array" ref="G133">'births'!G33</f>
        <v/>
      </c>
      <c r="H133" s="78">
        <f t="array" ref="H133">'births'!H33</f>
        <v/>
      </c>
      <c r="I133" s="78">
        <f t="array" ref="I133">'births'!I33</f>
        <v/>
      </c>
      <c r="J133" s="78">
        <f t="array" ref="J133">'births'!J33</f>
        <v/>
      </c>
      <c r="K133" s="78">
        <f t="array" ref="K133">'births'!K33</f>
        <v/>
      </c>
      <c r="L133" s="78" t="n"/>
    </row>
    <row r="134" ht="20.05" customHeight="1" s="215">
      <c r="A134" s="199">
        <f t="array" ref="A134">'births'!$A34</f>
        <v/>
      </c>
      <c r="B134" s="78" t="n"/>
      <c r="C134" s="78">
        <f t="array" ref="C134">'births'!C34</f>
        <v/>
      </c>
      <c r="D134" s="78">
        <f t="array" ref="D134">'births'!D34</f>
        <v/>
      </c>
      <c r="E134" s="78">
        <f t="array" ref="E134">'births'!E34</f>
        <v/>
      </c>
      <c r="F134" s="78">
        <f t="array" ref="F134">'births'!F34</f>
        <v/>
      </c>
      <c r="G134" s="78">
        <f t="array" ref="G134">'births'!G34</f>
        <v/>
      </c>
      <c r="H134" s="78">
        <f t="array" ref="H134">'births'!H34</f>
        <v/>
      </c>
      <c r="I134" s="78">
        <f t="array" ref="I134">'births'!I34</f>
        <v/>
      </c>
      <c r="J134" s="78">
        <f t="array" ref="J134">'births'!J34</f>
        <v/>
      </c>
      <c r="K134" s="78">
        <f t="array" ref="K134">'births'!K34</f>
        <v/>
      </c>
      <c r="L134" s="78" t="n"/>
    </row>
    <row r="135" ht="20.05" customHeight="1" s="215">
      <c r="A135" s="199">
        <f t="array" ref="A135">'births'!$A35</f>
        <v/>
      </c>
      <c r="B135" s="78" t="n"/>
      <c r="C135" s="78">
        <f t="array" ref="C135">'births'!C35</f>
        <v/>
      </c>
      <c r="D135" s="78">
        <f t="array" ref="D135">'births'!D35</f>
        <v/>
      </c>
      <c r="E135" s="78">
        <f t="array" ref="E135">'births'!E35</f>
        <v/>
      </c>
      <c r="F135" s="78">
        <f t="array" ref="F135">'births'!F35</f>
        <v/>
      </c>
      <c r="G135" s="78">
        <f t="array" ref="G135">'births'!G35</f>
        <v/>
      </c>
      <c r="H135" s="78">
        <f t="array" ref="H135">'births'!H35</f>
        <v/>
      </c>
      <c r="I135" s="78">
        <f t="array" ref="I135">'births'!I35</f>
        <v/>
      </c>
      <c r="J135" s="78">
        <f t="array" ref="J135">'births'!J35</f>
        <v/>
      </c>
      <c r="K135" s="78">
        <f t="array" ref="K135">'births'!K35</f>
        <v/>
      </c>
      <c r="L135" s="78" t="n"/>
    </row>
    <row r="136" ht="20.05" customHeight="1" s="215">
      <c r="A136" s="199">
        <f t="array" ref="A136">'births'!$A36</f>
        <v/>
      </c>
      <c r="B136" s="78" t="n"/>
      <c r="C136" s="78">
        <f t="array" ref="C136">'births'!C36</f>
        <v/>
      </c>
      <c r="D136" s="78">
        <f t="array" ref="D136">'births'!D36</f>
        <v/>
      </c>
      <c r="E136" s="78">
        <f t="array" ref="E136">'births'!E36</f>
        <v/>
      </c>
      <c r="F136" s="78">
        <f t="array" ref="F136">'births'!F36</f>
        <v/>
      </c>
      <c r="G136" s="78">
        <f t="array" ref="G136">'births'!G36</f>
        <v/>
      </c>
      <c r="H136" s="78">
        <f t="array" ref="H136">'births'!H36</f>
        <v/>
      </c>
      <c r="I136" s="78">
        <f t="array" ref="I136">'births'!I36</f>
        <v/>
      </c>
      <c r="J136" s="78">
        <f t="array" ref="J136">'births'!J36</f>
        <v/>
      </c>
      <c r="K136" s="78">
        <f t="array" ref="K136">'births'!K36</f>
        <v/>
      </c>
      <c r="L136" s="78" t="n"/>
    </row>
    <row r="137" ht="20.05" customHeight="1" s="215">
      <c r="A137" s="199">
        <f t="array" ref="A137">'births'!$A37</f>
        <v/>
      </c>
      <c r="B137" s="78" t="n"/>
      <c r="C137" s="78">
        <f t="array" ref="C137">'births'!C37</f>
        <v/>
      </c>
      <c r="D137" s="78">
        <f t="array" ref="D137">'births'!D37</f>
        <v/>
      </c>
      <c r="E137" s="78">
        <f t="array" ref="E137">'births'!E37</f>
        <v/>
      </c>
      <c r="F137" s="78">
        <f t="array" ref="F137">'births'!F37</f>
        <v/>
      </c>
      <c r="G137" s="78">
        <f t="array" ref="G137">'births'!G37</f>
        <v/>
      </c>
      <c r="H137" s="78">
        <f t="array" ref="H137">'births'!H37</f>
        <v/>
      </c>
      <c r="I137" s="78">
        <f t="array" ref="I137">'births'!I37</f>
        <v/>
      </c>
      <c r="J137" s="78">
        <f t="array" ref="J137">'births'!J37</f>
        <v/>
      </c>
      <c r="K137" s="78">
        <f t="array" ref="K137">'births'!K37</f>
        <v/>
      </c>
      <c r="L137" s="78" t="n"/>
    </row>
    <row r="138" ht="20.05" customHeight="1" s="215">
      <c r="A138" s="199">
        <f t="array" ref="A138">'births'!$A38</f>
        <v/>
      </c>
      <c r="B138" s="78" t="n"/>
      <c r="C138" s="78">
        <f t="array" ref="C138">'births'!C38</f>
        <v/>
      </c>
      <c r="D138" s="78">
        <f t="array" ref="D138">'births'!D38</f>
        <v/>
      </c>
      <c r="E138" s="78">
        <f t="array" ref="E138">'births'!E38</f>
        <v/>
      </c>
      <c r="F138" s="78">
        <f t="array" ref="F138">'births'!F38</f>
        <v/>
      </c>
      <c r="G138" s="78">
        <f t="array" ref="G138">'births'!G38</f>
        <v/>
      </c>
      <c r="H138" s="78">
        <f t="array" ref="H138">'births'!H38</f>
        <v/>
      </c>
      <c r="I138" s="78">
        <f t="array" ref="I138">'births'!I38</f>
        <v/>
      </c>
      <c r="J138" s="78">
        <f t="array" ref="J138">'births'!J38</f>
        <v/>
      </c>
      <c r="K138" s="78">
        <f t="array" ref="K138">'births'!K38</f>
        <v/>
      </c>
      <c r="L138" s="78" t="n"/>
    </row>
    <row r="139" ht="20.05" customHeight="1" s="215">
      <c r="A139" s="199">
        <f t="array" ref="A139">'births'!$A39</f>
        <v/>
      </c>
      <c r="B139" s="78" t="n"/>
      <c r="C139" s="78">
        <f t="array" ref="C139">'births'!C39</f>
        <v/>
      </c>
      <c r="D139" s="78">
        <f t="array" ref="D139">'births'!D39</f>
        <v/>
      </c>
      <c r="E139" s="78">
        <f t="array" ref="E139">'births'!E39</f>
        <v/>
      </c>
      <c r="F139" s="78">
        <f t="array" ref="F139">'births'!F39</f>
        <v/>
      </c>
      <c r="G139" s="78">
        <f t="array" ref="G139">'births'!G39</f>
        <v/>
      </c>
      <c r="H139" s="78">
        <f t="array" ref="H139">'births'!H39</f>
        <v/>
      </c>
      <c r="I139" s="78">
        <f t="array" ref="I139">'births'!I39</f>
        <v/>
      </c>
      <c r="J139" s="78">
        <f t="array" ref="J139">'births'!J39</f>
        <v/>
      </c>
      <c r="K139" s="78">
        <f t="array" ref="K139">'births'!K39</f>
        <v/>
      </c>
      <c r="L139" s="78" t="n"/>
    </row>
    <row r="140" ht="20.05" customHeight="1" s="215">
      <c r="A140" s="199">
        <f t="array" ref="A140">'births'!$A40</f>
        <v/>
      </c>
      <c r="B140" s="78" t="n"/>
      <c r="C140" s="78">
        <f t="array" ref="C140">'births'!C40</f>
        <v/>
      </c>
      <c r="D140" s="78">
        <f t="array" ref="D140">'births'!D40</f>
        <v/>
      </c>
      <c r="E140" s="78">
        <f t="array" ref="E140">'births'!E40</f>
        <v/>
      </c>
      <c r="F140" s="78">
        <f t="array" ref="F140">'births'!F40</f>
        <v/>
      </c>
      <c r="G140" s="78">
        <f t="array" ref="G140">'births'!G40</f>
        <v/>
      </c>
      <c r="H140" s="78">
        <f t="array" ref="H140">'births'!H40</f>
        <v/>
      </c>
      <c r="I140" s="78">
        <f t="array" ref="I140">'births'!I40</f>
        <v/>
      </c>
      <c r="J140" s="78">
        <f t="array" ref="J140">'births'!J40</f>
        <v/>
      </c>
      <c r="K140" s="78">
        <f t="array" ref="K140">'births'!K40</f>
        <v/>
      </c>
      <c r="L140" s="78" t="n"/>
    </row>
    <row r="141" ht="20.05" customHeight="1" s="215">
      <c r="A141" s="199">
        <f t="array" ref="A141">'births'!$A41</f>
        <v/>
      </c>
      <c r="B141" s="78" t="n"/>
      <c r="C141" s="78">
        <f t="array" ref="C141">'births'!C41</f>
        <v/>
      </c>
      <c r="D141" s="78">
        <f t="array" ref="D141">'births'!D41</f>
        <v/>
      </c>
      <c r="E141" s="78">
        <f t="array" ref="E141">'births'!E41</f>
        <v/>
      </c>
      <c r="F141" s="78">
        <f t="array" ref="F141">'births'!F41</f>
        <v/>
      </c>
      <c r="G141" s="78">
        <f t="array" ref="G141">'births'!G41</f>
        <v/>
      </c>
      <c r="H141" s="78">
        <f t="array" ref="H141">'births'!H41</f>
        <v/>
      </c>
      <c r="I141" s="78">
        <f t="array" ref="I141">'births'!I41</f>
        <v/>
      </c>
      <c r="J141" s="78">
        <f t="array" ref="J141">'births'!J41</f>
        <v/>
      </c>
      <c r="K141" s="78">
        <f t="array" ref="K141">'births'!K41</f>
        <v/>
      </c>
      <c r="L141" s="78" t="n"/>
    </row>
    <row r="142" ht="20.05" customHeight="1" s="215">
      <c r="A142" s="199">
        <f t="array" ref="A142">'births'!$A42</f>
        <v/>
      </c>
      <c r="B142" s="78" t="n"/>
      <c r="C142" s="78">
        <f t="array" ref="C142">'births'!C42</f>
        <v/>
      </c>
      <c r="D142" s="78">
        <f t="array" ref="D142">'births'!D42</f>
        <v/>
      </c>
      <c r="E142" s="78">
        <f t="array" ref="E142">'births'!E42</f>
        <v/>
      </c>
      <c r="F142" s="78">
        <f t="array" ref="F142">'births'!F42</f>
        <v/>
      </c>
      <c r="G142" s="78">
        <f t="array" ref="G142">'births'!G42</f>
        <v/>
      </c>
      <c r="H142" s="78">
        <f t="array" ref="H142">'births'!H42</f>
        <v/>
      </c>
      <c r="I142" s="78">
        <f t="array" ref="I142">'births'!I42</f>
        <v/>
      </c>
      <c r="J142" s="78">
        <f t="array" ref="J142">'births'!J42</f>
        <v/>
      </c>
      <c r="K142" s="78">
        <f t="array" ref="K142">'births'!K42</f>
        <v/>
      </c>
      <c r="L142" s="78" t="n"/>
    </row>
    <row r="143" ht="20.05" customHeight="1" s="215">
      <c r="A143" s="199">
        <f t="array" ref="A143">'births'!$A43</f>
        <v/>
      </c>
      <c r="B143" s="78" t="n"/>
      <c r="C143" s="78">
        <f t="array" ref="C143">'births'!C43</f>
        <v/>
      </c>
      <c r="D143" s="78">
        <f t="array" ref="D143">'births'!D43</f>
        <v/>
      </c>
      <c r="E143" s="78">
        <f t="array" ref="E143">'births'!E43</f>
        <v/>
      </c>
      <c r="F143" s="78">
        <f t="array" ref="F143">'births'!F43</f>
        <v/>
      </c>
      <c r="G143" s="78">
        <f t="array" ref="G143">'births'!G43</f>
        <v/>
      </c>
      <c r="H143" s="78">
        <f t="array" ref="H143">'births'!H43</f>
        <v/>
      </c>
      <c r="I143" s="78">
        <f t="array" ref="I143">'births'!I43</f>
        <v/>
      </c>
      <c r="J143" s="78">
        <f t="array" ref="J143">'births'!J43</f>
        <v/>
      </c>
      <c r="K143" s="78">
        <f t="array" ref="K143">'births'!K43</f>
        <v/>
      </c>
      <c r="L143" s="78" t="n"/>
    </row>
    <row r="144" ht="20.05" customHeight="1" s="215">
      <c r="A144" s="199">
        <f t="array" ref="A144">'births'!$A44</f>
        <v/>
      </c>
      <c r="B144" s="78" t="n"/>
      <c r="C144" s="78">
        <f t="array" ref="C144">'births'!C44</f>
        <v/>
      </c>
      <c r="D144" s="78">
        <f t="array" ref="D144">'births'!D44</f>
        <v/>
      </c>
      <c r="E144" s="78">
        <f t="array" ref="E144">'births'!E44</f>
        <v/>
      </c>
      <c r="F144" s="78">
        <f t="array" ref="F144">'births'!F44</f>
        <v/>
      </c>
      <c r="G144" s="78">
        <f t="array" ref="G144">'births'!G44</f>
        <v/>
      </c>
      <c r="H144" s="78">
        <f t="array" ref="H144">'births'!H44</f>
        <v/>
      </c>
      <c r="I144" s="78">
        <f t="array" ref="I144">'births'!I44</f>
        <v/>
      </c>
      <c r="J144" s="78">
        <f t="array" ref="J144">'births'!J44</f>
        <v/>
      </c>
      <c r="K144" s="78">
        <f t="array" ref="K144">'births'!K44</f>
        <v/>
      </c>
      <c r="L144" s="78" t="n"/>
    </row>
    <row r="145" ht="20.05" customHeight="1" s="215">
      <c r="A145" s="199">
        <f t="array" ref="A145">'births'!$A45</f>
        <v/>
      </c>
      <c r="B145" s="78" t="n"/>
      <c r="C145" s="78">
        <f t="array" ref="C145">'births'!C45</f>
        <v/>
      </c>
      <c r="D145" s="78">
        <f t="array" ref="D145">'births'!D45</f>
        <v/>
      </c>
      <c r="E145" s="78">
        <f t="array" ref="E145">'births'!E45</f>
        <v/>
      </c>
      <c r="F145" s="78">
        <f t="array" ref="F145">'births'!F45</f>
        <v/>
      </c>
      <c r="G145" s="78">
        <f t="array" ref="G145">'births'!G45</f>
        <v/>
      </c>
      <c r="H145" s="78">
        <f t="array" ref="H145">'births'!H45</f>
        <v/>
      </c>
      <c r="I145" s="78">
        <f t="array" ref="I145">'births'!I45</f>
        <v/>
      </c>
      <c r="J145" s="78">
        <f t="array" ref="J145">'births'!J45</f>
        <v/>
      </c>
      <c r="K145" s="78">
        <f t="array" ref="K145">'births'!K45</f>
        <v/>
      </c>
      <c r="L145" s="78" t="n"/>
    </row>
    <row r="146" ht="20.05" customHeight="1" s="215">
      <c r="A146" s="199">
        <f t="array" ref="A146">'births'!$A46</f>
        <v/>
      </c>
      <c r="B146" s="78" t="n"/>
      <c r="C146" s="78">
        <f t="array" ref="C146">'births'!C46</f>
        <v/>
      </c>
      <c r="D146" s="78">
        <f t="array" ref="D146">'births'!D46</f>
        <v/>
      </c>
      <c r="E146" s="78">
        <f t="array" ref="E146">'births'!E46</f>
        <v/>
      </c>
      <c r="F146" s="78">
        <f t="array" ref="F146">'births'!F46</f>
        <v/>
      </c>
      <c r="G146" s="78">
        <f t="array" ref="G146">'births'!G46</f>
        <v/>
      </c>
      <c r="H146" s="78">
        <f t="array" ref="H146">'births'!H46</f>
        <v/>
      </c>
      <c r="I146" s="78">
        <f t="array" ref="I146">'births'!I46</f>
        <v/>
      </c>
      <c r="J146" s="78">
        <f t="array" ref="J146">'births'!J46</f>
        <v/>
      </c>
      <c r="K146" s="78">
        <f t="array" ref="K146">'births'!K46</f>
        <v/>
      </c>
      <c r="L146" s="78" t="n"/>
    </row>
    <row r="147" ht="20.05" customHeight="1" s="215">
      <c r="A147" s="199">
        <f t="array" ref="A147">'births'!$A47</f>
        <v/>
      </c>
      <c r="B147" s="78" t="n"/>
      <c r="C147" s="78">
        <f t="array" ref="C147">'births'!C47</f>
        <v/>
      </c>
      <c r="D147" s="78">
        <f t="array" ref="D147">'births'!D47</f>
        <v/>
      </c>
      <c r="E147" s="78">
        <f t="array" ref="E147">'births'!E47</f>
        <v/>
      </c>
      <c r="F147" s="78">
        <f t="array" ref="F147">'births'!F47</f>
        <v/>
      </c>
      <c r="G147" s="78">
        <f t="array" ref="G147">'births'!G47</f>
        <v/>
      </c>
      <c r="H147" s="78">
        <f t="array" ref="H147">'births'!H47</f>
        <v/>
      </c>
      <c r="I147" s="78">
        <f t="array" ref="I147">'births'!I47</f>
        <v/>
      </c>
      <c r="J147" s="78">
        <f t="array" ref="J147">'births'!J47</f>
        <v/>
      </c>
      <c r="K147" s="78">
        <f t="array" ref="K147">'births'!K47</f>
        <v/>
      </c>
      <c r="L147" s="78" t="n"/>
    </row>
    <row r="148" ht="20.05" customHeight="1" s="215">
      <c r="A148" s="199">
        <f t="array" ref="A148">'births'!$A48</f>
        <v/>
      </c>
      <c r="B148" s="78" t="n"/>
      <c r="C148" s="78">
        <f t="array" ref="C148">'births'!C48</f>
        <v/>
      </c>
      <c r="D148" s="78">
        <f t="array" ref="D148">'births'!D48</f>
        <v/>
      </c>
      <c r="E148" s="78">
        <f t="array" ref="E148">'births'!E48</f>
        <v/>
      </c>
      <c r="F148" s="78">
        <f t="array" ref="F148">'births'!F48</f>
        <v/>
      </c>
      <c r="G148" s="78">
        <f t="array" ref="G148">'births'!G48</f>
        <v/>
      </c>
      <c r="H148" s="78">
        <f t="array" ref="H148">'births'!H48</f>
        <v/>
      </c>
      <c r="I148" s="78">
        <f t="array" ref="I148">'births'!I48</f>
        <v/>
      </c>
      <c r="J148" s="78">
        <f t="array" ref="J148">'births'!J48</f>
        <v/>
      </c>
      <c r="K148" s="78">
        <f t="array" ref="K148">'births'!K48</f>
        <v/>
      </c>
      <c r="L148" s="78" t="n"/>
    </row>
    <row r="149" ht="20.05" customHeight="1" s="215">
      <c r="A149" s="199">
        <f t="array" ref="A149">'births'!$A49</f>
        <v/>
      </c>
      <c r="B149" s="78" t="n"/>
      <c r="C149" s="78">
        <f t="array" ref="C149">'births'!C49</f>
        <v/>
      </c>
      <c r="D149" s="78">
        <f t="array" ref="D149">'births'!D49</f>
        <v/>
      </c>
      <c r="E149" s="78">
        <f t="array" ref="E149">'births'!E49</f>
        <v/>
      </c>
      <c r="F149" s="78">
        <f t="array" ref="F149">'births'!F49</f>
        <v/>
      </c>
      <c r="G149" s="78">
        <f t="array" ref="G149">'births'!G49</f>
        <v/>
      </c>
      <c r="H149" s="78">
        <f t="array" ref="H149">'births'!H49</f>
        <v/>
      </c>
      <c r="I149" s="78">
        <f t="array" ref="I149">'births'!I49</f>
        <v/>
      </c>
      <c r="J149" s="78">
        <f t="array" ref="J149">'births'!J49</f>
        <v/>
      </c>
      <c r="K149" s="78">
        <f t="array" ref="K149">'births'!K49</f>
        <v/>
      </c>
      <c r="L149" s="78" t="n"/>
    </row>
    <row r="150" ht="20.05" customHeight="1" s="215">
      <c r="A150" s="199">
        <f t="array" ref="A150">'births'!$A50</f>
        <v/>
      </c>
      <c r="B150" s="78" t="n"/>
      <c r="C150" s="78">
        <f t="array" ref="C150">'births'!C50</f>
        <v/>
      </c>
      <c r="D150" s="78">
        <f t="array" ref="D150">'births'!D50</f>
        <v/>
      </c>
      <c r="E150" s="78">
        <f t="array" ref="E150">'births'!E50</f>
        <v/>
      </c>
      <c r="F150" s="78">
        <f t="array" ref="F150">'births'!F50</f>
        <v/>
      </c>
      <c r="G150" s="78">
        <f t="array" ref="G150">'births'!G50</f>
        <v/>
      </c>
      <c r="H150" s="78">
        <f t="array" ref="H150">'births'!H50</f>
        <v/>
      </c>
      <c r="I150" s="78">
        <f t="array" ref="I150">'births'!I50</f>
        <v/>
      </c>
      <c r="J150" s="78">
        <f t="array" ref="J150">'births'!J50</f>
        <v/>
      </c>
      <c r="K150" s="78">
        <f t="array" ref="K150">'births'!K50</f>
        <v/>
      </c>
      <c r="L150" s="78" t="n"/>
    </row>
    <row r="151" ht="20.05" customHeight="1" s="215">
      <c r="A151" s="199">
        <f t="array" ref="A151">'births'!$A51</f>
        <v/>
      </c>
      <c r="B151" s="78" t="n"/>
      <c r="C151" s="78">
        <f t="array" ref="C151">'births'!C51</f>
        <v/>
      </c>
      <c r="D151" s="78">
        <f t="array" ref="D151">'births'!D51</f>
        <v/>
      </c>
      <c r="E151" s="78">
        <f t="array" ref="E151">'births'!E51</f>
        <v/>
      </c>
      <c r="F151" s="78">
        <f t="array" ref="F151">'births'!F51</f>
        <v/>
      </c>
      <c r="G151" s="78">
        <f t="array" ref="G151">'births'!G51</f>
        <v/>
      </c>
      <c r="H151" s="78">
        <f t="array" ref="H151">'births'!H51</f>
        <v/>
      </c>
      <c r="I151" s="78">
        <f t="array" ref="I151">'births'!I51</f>
        <v/>
      </c>
      <c r="J151" s="78">
        <f t="array" ref="J151">'births'!J51</f>
        <v/>
      </c>
      <c r="K151" s="78">
        <f t="array" ref="K151">'births'!K51</f>
        <v/>
      </c>
      <c r="L151" s="78" t="n"/>
    </row>
    <row r="152" ht="20.05" customHeight="1" s="215">
      <c r="A152" s="199">
        <f t="array" ref="A152">'births'!$A52</f>
        <v/>
      </c>
      <c r="B152" s="78" t="n"/>
      <c r="C152" s="78">
        <f t="array" ref="C152">'births'!C52</f>
        <v/>
      </c>
      <c r="D152" s="78">
        <f t="array" ref="D152">'births'!D52</f>
        <v/>
      </c>
      <c r="E152" s="78">
        <f t="array" ref="E152">'births'!E52</f>
        <v/>
      </c>
      <c r="F152" s="78">
        <f t="array" ref="F152">'births'!F52</f>
        <v/>
      </c>
      <c r="G152" s="78">
        <f t="array" ref="G152">'births'!G52</f>
        <v/>
      </c>
      <c r="H152" s="78">
        <f t="array" ref="H152">'births'!H52</f>
        <v/>
      </c>
      <c r="I152" s="78">
        <f t="array" ref="I152">'births'!I52</f>
        <v/>
      </c>
      <c r="J152" s="78">
        <f t="array" ref="J152">'births'!J52</f>
        <v/>
      </c>
      <c r="K152" s="78">
        <f t="array" ref="K152">'births'!K52</f>
        <v/>
      </c>
      <c r="L152" s="78" t="n"/>
    </row>
    <row r="153" ht="20.05" customHeight="1" s="215">
      <c r="A153" s="199">
        <f t="array" ref="A153">'births'!$A53</f>
        <v/>
      </c>
      <c r="B153" s="78" t="n"/>
      <c r="C153" s="78">
        <f t="array" ref="C153">'births'!C53</f>
        <v/>
      </c>
      <c r="D153" s="78">
        <f t="array" ref="D153">'births'!D53</f>
        <v/>
      </c>
      <c r="E153" s="78">
        <f t="array" ref="E153">'births'!E53</f>
        <v/>
      </c>
      <c r="F153" s="78">
        <f t="array" ref="F153">'births'!F53</f>
        <v/>
      </c>
      <c r="G153" s="78">
        <f t="array" ref="G153">'births'!G53</f>
        <v/>
      </c>
      <c r="H153" s="78">
        <f t="array" ref="H153">'births'!H53</f>
        <v/>
      </c>
      <c r="I153" s="78">
        <f t="array" ref="I153">'births'!I53</f>
        <v/>
      </c>
      <c r="J153" s="78">
        <f t="array" ref="J153">'births'!J53</f>
        <v/>
      </c>
      <c r="K153" s="78">
        <f t="array" ref="K153">'births'!K53</f>
        <v/>
      </c>
      <c r="L153" s="78" t="n"/>
    </row>
    <row r="154" ht="20.05" customHeight="1" s="215">
      <c r="A154" s="199">
        <f t="array" ref="A154">'births'!$A54</f>
        <v/>
      </c>
      <c r="B154" s="78" t="n"/>
      <c r="C154" s="78">
        <f t="array" ref="C154">'births'!C54</f>
        <v/>
      </c>
      <c r="D154" s="78">
        <f t="array" ref="D154">'births'!D54</f>
        <v/>
      </c>
      <c r="E154" s="78">
        <f t="array" ref="E154">'births'!E54</f>
        <v/>
      </c>
      <c r="F154" s="78">
        <f t="array" ref="F154">'births'!F54</f>
        <v/>
      </c>
      <c r="G154" s="78">
        <f t="array" ref="G154">'births'!G54</f>
        <v/>
      </c>
      <c r="H154" s="78">
        <f t="array" ref="H154">'births'!H54</f>
        <v/>
      </c>
      <c r="I154" s="78">
        <f t="array" ref="I154">'births'!I54</f>
        <v/>
      </c>
      <c r="J154" s="78">
        <f t="array" ref="J154">'births'!J54</f>
        <v/>
      </c>
      <c r="K154" s="78">
        <f t="array" ref="K154">'births'!K54</f>
        <v/>
      </c>
      <c r="L154" s="78" t="n"/>
    </row>
    <row r="155" ht="20.05" customHeight="1" s="215">
      <c r="A155" s="199">
        <f t="array" ref="A155">'births'!$A55</f>
        <v/>
      </c>
      <c r="B155" s="78" t="n"/>
      <c r="C155" s="78">
        <f t="array" ref="C155">'births'!C55</f>
        <v/>
      </c>
      <c r="D155" s="78">
        <f t="array" ref="D155">'births'!D55</f>
        <v/>
      </c>
      <c r="E155" s="78">
        <f t="array" ref="E155">'births'!E55</f>
        <v/>
      </c>
      <c r="F155" s="78">
        <f t="array" ref="F155">'births'!F55</f>
        <v/>
      </c>
      <c r="G155" s="78">
        <f t="array" ref="G155">'births'!G55</f>
        <v/>
      </c>
      <c r="H155" s="78">
        <f t="array" ref="H155">'births'!H55</f>
        <v/>
      </c>
      <c r="I155" s="78">
        <f t="array" ref="I155">'births'!I55</f>
        <v/>
      </c>
      <c r="J155" s="78">
        <f t="array" ref="J155">'births'!J55</f>
        <v/>
      </c>
      <c r="K155" s="78">
        <f t="array" ref="K155">'births'!K55</f>
        <v/>
      </c>
      <c r="L155" s="78" t="n"/>
    </row>
    <row r="156" ht="20.05" customHeight="1" s="215">
      <c r="A156" s="199">
        <f t="array" ref="A156">'births'!$A56</f>
        <v/>
      </c>
      <c r="B156" s="78" t="n"/>
      <c r="C156" s="78">
        <f t="array" ref="C156">'births'!C56</f>
        <v/>
      </c>
      <c r="D156" s="78">
        <f t="array" ref="D156">'births'!D56</f>
        <v/>
      </c>
      <c r="E156" s="78">
        <f t="array" ref="E156">'births'!E56</f>
        <v/>
      </c>
      <c r="F156" s="78">
        <f t="array" ref="F156">'births'!F56</f>
        <v/>
      </c>
      <c r="G156" s="78">
        <f t="array" ref="G156">'births'!G56</f>
        <v/>
      </c>
      <c r="H156" s="78">
        <f t="array" ref="H156">'births'!H56</f>
        <v/>
      </c>
      <c r="I156" s="78">
        <f t="array" ref="I156">'births'!I56</f>
        <v/>
      </c>
      <c r="J156" s="78">
        <f t="array" ref="J156">'births'!J56</f>
        <v/>
      </c>
      <c r="K156" s="78">
        <f t="array" ref="K156">'births'!K56</f>
        <v/>
      </c>
      <c r="L156" s="78" t="n"/>
    </row>
    <row r="157" ht="20.05" customHeight="1" s="215">
      <c r="A157" s="204">
        <f t="array" ref="A157">'births'!$A57</f>
        <v/>
      </c>
      <c r="B157" s="150" t="n"/>
      <c r="C157" s="150">
        <f t="array" ref="C157">'births'!C57</f>
        <v/>
      </c>
      <c r="D157" s="78">
        <f t="array" ref="D157">'births'!D57</f>
        <v/>
      </c>
      <c r="E157" s="78">
        <f t="array" ref="E157">'births'!E57</f>
        <v/>
      </c>
      <c r="F157" s="78">
        <f t="array" ref="F157">'births'!F57</f>
        <v/>
      </c>
      <c r="G157" s="78">
        <f t="array" ref="G157">'births'!G57</f>
        <v/>
      </c>
      <c r="H157" s="78">
        <f t="array" ref="H157">'births'!H57</f>
        <v/>
      </c>
      <c r="I157" s="78">
        <f t="array" ref="I157">'births'!I57</f>
        <v/>
      </c>
      <c r="J157" s="78">
        <f t="array" ref="J157">'births'!J57</f>
        <v/>
      </c>
      <c r="K157" s="78">
        <f t="array" ref="K157">'births'!K57</f>
        <v/>
      </c>
      <c r="L157" s="78" t="n"/>
    </row>
    <row r="158" ht="44.05" customHeight="1" s="215">
      <c r="A158" s="205">
        <f t="array" ref="A158">'births'!$A59</f>
        <v/>
      </c>
      <c r="B158" s="206" t="n"/>
      <c r="C158" s="183">
        <f t="array" ref="C158">'births'!C59</f>
        <v/>
      </c>
      <c r="D158" s="78" t="n"/>
      <c r="E158" s="78" t="n"/>
      <c r="F158" s="78" t="n"/>
      <c r="G158" s="78" t="n"/>
      <c r="H158" s="78" t="n"/>
      <c r="I158" s="78" t="n"/>
      <c r="J158" s="78" t="n"/>
      <c r="K158" s="78" t="n"/>
      <c r="L158" s="78" t="n"/>
    </row>
    <row r="159" ht="20.05" customHeight="1" s="215">
      <c r="A159" s="208" t="n"/>
      <c r="B159" s="209" t="n"/>
      <c r="C159" s="209" t="n"/>
      <c r="D159" s="78" t="n"/>
      <c r="E159" s="78" t="n"/>
      <c r="F159" s="78" t="n"/>
      <c r="G159" s="78" t="n"/>
      <c r="H159" s="78" t="n"/>
      <c r="I159" s="78" t="n"/>
      <c r="J159" s="78" t="n"/>
      <c r="K159" s="78" t="n"/>
      <c r="L159" s="78" t="n"/>
    </row>
    <row r="160" ht="26.85" customHeight="1" s="215">
      <c r="A160" s="30" t="n"/>
      <c r="B160" s="31" t="inlineStr">
        <is>
          <t>Deaths</t>
        </is>
      </c>
      <c r="C160" s="32" t="n"/>
      <c r="D160" s="218" t="n"/>
      <c r="E160" s="218" t="n"/>
      <c r="F160" s="218" t="n"/>
      <c r="G160" s="218" t="n"/>
      <c r="H160" s="218" t="n"/>
      <c r="I160" s="218" t="n"/>
      <c r="J160" s="218" t="n"/>
      <c r="K160" s="218" t="n"/>
      <c r="L160" s="33" t="n"/>
    </row>
    <row r="161" ht="20.05" customHeight="1" s="215">
      <c r="A161" s="199">
        <f t="array" ref="A161">'deaths'!$A7</f>
        <v/>
      </c>
      <c r="B161" s="78" t="n"/>
      <c r="C161" s="78">
        <f t="array" ref="C161">'deaths'!C7</f>
        <v/>
      </c>
      <c r="D161" s="78">
        <f t="array" ref="D161">'deaths'!D7</f>
        <v/>
      </c>
      <c r="E161" s="78">
        <f t="array" ref="E161">'deaths'!E7</f>
        <v/>
      </c>
      <c r="F161" s="78">
        <f t="array" ref="F161">'deaths'!F7</f>
        <v/>
      </c>
      <c r="G161" s="78">
        <f t="array" ref="G161">'deaths'!G7</f>
        <v/>
      </c>
      <c r="H161" s="78">
        <f t="array" ref="H161">'deaths'!H7</f>
        <v/>
      </c>
      <c r="I161" s="78">
        <f t="array" ref="I161">'deaths'!I7</f>
        <v/>
      </c>
      <c r="J161" s="78">
        <f t="array" ref="J161">'deaths'!J7</f>
        <v/>
      </c>
      <c r="K161" s="78">
        <f t="array" ref="K161">'deaths'!K7</f>
        <v/>
      </c>
      <c r="L161" s="78" t="n"/>
    </row>
    <row r="162" ht="20.05" customHeight="1" s="215">
      <c r="A162" s="199">
        <f t="array" ref="A162">'deaths'!$A8</f>
        <v/>
      </c>
      <c r="B162" s="78" t="n"/>
      <c r="C162" s="78">
        <f t="array" ref="C162">'deaths'!C8</f>
        <v/>
      </c>
      <c r="D162" s="78">
        <f t="array" ref="D162">'deaths'!D8</f>
        <v/>
      </c>
      <c r="E162" s="78">
        <f t="array" ref="E162">'deaths'!E8</f>
        <v/>
      </c>
      <c r="F162" s="78">
        <f t="array" ref="F162">'deaths'!F8</f>
        <v/>
      </c>
      <c r="G162" s="78">
        <f t="array" ref="G162">'deaths'!G8</f>
        <v/>
      </c>
      <c r="H162" s="78">
        <f t="array" ref="H162">'deaths'!H8</f>
        <v/>
      </c>
      <c r="I162" s="78">
        <f t="array" ref="I162">'deaths'!I8</f>
        <v/>
      </c>
      <c r="J162" s="78">
        <f t="array" ref="J162">'deaths'!J8</f>
        <v/>
      </c>
      <c r="K162" s="78">
        <f t="array" ref="K162">'deaths'!K8</f>
        <v/>
      </c>
      <c r="L162" s="78" t="n"/>
    </row>
    <row r="163" ht="20.05" customHeight="1" s="215">
      <c r="A163" s="199">
        <f t="array" ref="A163">'deaths'!$A9</f>
        <v/>
      </c>
      <c r="B163" s="78" t="n"/>
      <c r="C163" s="78">
        <f t="array" ref="C163">'deaths'!C9</f>
        <v/>
      </c>
      <c r="D163" s="78">
        <f t="array" ref="D163">'deaths'!D9</f>
        <v/>
      </c>
      <c r="E163" s="78">
        <f t="array" ref="E163">'deaths'!E9</f>
        <v/>
      </c>
      <c r="F163" s="78">
        <f t="array" ref="F163">'deaths'!F9</f>
        <v/>
      </c>
      <c r="G163" s="78">
        <f t="array" ref="G163">'deaths'!G9</f>
        <v/>
      </c>
      <c r="H163" s="78">
        <f t="array" ref="H163">'deaths'!H9</f>
        <v/>
      </c>
      <c r="I163" s="78">
        <f t="array" ref="I163">'deaths'!I9</f>
        <v/>
      </c>
      <c r="J163" s="78">
        <f t="array" ref="J163">'deaths'!J9</f>
        <v/>
      </c>
      <c r="K163" s="78">
        <f t="array" ref="K163">'deaths'!K9</f>
        <v/>
      </c>
      <c r="L163" s="78" t="n"/>
    </row>
    <row r="164" ht="20.05" customHeight="1" s="215">
      <c r="A164" s="199">
        <f t="array" ref="A164">'deaths'!$A10</f>
        <v/>
      </c>
      <c r="B164" s="78" t="n"/>
      <c r="C164" s="78">
        <f t="array" ref="C164">'deaths'!C10</f>
        <v/>
      </c>
      <c r="D164" s="78">
        <f t="array" ref="D164">'deaths'!D10</f>
        <v/>
      </c>
      <c r="E164" s="78">
        <f t="array" ref="E164">'deaths'!E10</f>
        <v/>
      </c>
      <c r="F164" s="78">
        <f t="array" ref="F164">'deaths'!F10</f>
        <v/>
      </c>
      <c r="G164" s="78">
        <f t="array" ref="G164">'deaths'!G10</f>
        <v/>
      </c>
      <c r="H164" s="78">
        <f t="array" ref="H164">'deaths'!H10</f>
        <v/>
      </c>
      <c r="I164" s="78">
        <f t="array" ref="I164">'deaths'!I10</f>
        <v/>
      </c>
      <c r="J164" s="78">
        <f t="array" ref="J164">'deaths'!J10</f>
        <v/>
      </c>
      <c r="K164" s="78">
        <f t="array" ref="K164">'deaths'!K10</f>
        <v/>
      </c>
      <c r="L164" s="78" t="n"/>
    </row>
    <row r="165" ht="20.05" customHeight="1" s="215">
      <c r="A165" s="199">
        <f t="array" ref="A165">'deaths'!$A11</f>
        <v/>
      </c>
      <c r="B165" s="78" t="n"/>
      <c r="C165" s="78">
        <f t="array" ref="C165">'deaths'!C11</f>
        <v/>
      </c>
      <c r="D165" s="78">
        <f t="array" ref="D165">'deaths'!D11</f>
        <v/>
      </c>
      <c r="E165" s="78">
        <f t="array" ref="E165">'deaths'!E11</f>
        <v/>
      </c>
      <c r="F165" s="78">
        <f t="array" ref="F165">'deaths'!F11</f>
        <v/>
      </c>
      <c r="G165" s="78">
        <f t="array" ref="G165">'deaths'!G11</f>
        <v/>
      </c>
      <c r="H165" s="78">
        <f t="array" ref="H165">'deaths'!H11</f>
        <v/>
      </c>
      <c r="I165" s="78">
        <f t="array" ref="I165">'deaths'!I11</f>
        <v/>
      </c>
      <c r="J165" s="78">
        <f t="array" ref="J165">'deaths'!J11</f>
        <v/>
      </c>
      <c r="K165" s="78">
        <f t="array" ref="K165">'deaths'!K11</f>
        <v/>
      </c>
      <c r="L165" s="78" t="n"/>
    </row>
    <row r="166" ht="20.05" customHeight="1" s="215">
      <c r="A166" s="199">
        <f t="array" ref="A166">'deaths'!$A12</f>
        <v/>
      </c>
      <c r="B166" s="78" t="n"/>
      <c r="C166" s="78">
        <f t="array" ref="C166">'deaths'!C12</f>
        <v/>
      </c>
      <c r="D166" s="78">
        <f t="array" ref="D166">'deaths'!D12</f>
        <v/>
      </c>
      <c r="E166" s="78">
        <f t="array" ref="E166">'deaths'!E12</f>
        <v/>
      </c>
      <c r="F166" s="78">
        <f t="array" ref="F166">'deaths'!F12</f>
        <v/>
      </c>
      <c r="G166" s="78">
        <f t="array" ref="G166">'deaths'!G12</f>
        <v/>
      </c>
      <c r="H166" s="78">
        <f t="array" ref="H166">'deaths'!H12</f>
        <v/>
      </c>
      <c r="I166" s="78">
        <f t="array" ref="I166">'deaths'!I12</f>
        <v/>
      </c>
      <c r="J166" s="78">
        <f t="array" ref="J166">'deaths'!J12</f>
        <v/>
      </c>
      <c r="K166" s="78">
        <f t="array" ref="K166">'deaths'!K12</f>
        <v/>
      </c>
      <c r="L166" s="78" t="n"/>
    </row>
    <row r="167" ht="20.05" customHeight="1" s="215">
      <c r="A167" s="199">
        <f t="array" ref="A167">'deaths'!$A13</f>
        <v/>
      </c>
      <c r="B167" s="78" t="n"/>
      <c r="C167" s="78">
        <f t="array" ref="C167">'deaths'!C13</f>
        <v/>
      </c>
      <c r="D167" s="78">
        <f t="array" ref="D167">'deaths'!D13</f>
        <v/>
      </c>
      <c r="E167" s="78">
        <f t="array" ref="E167">'deaths'!E13</f>
        <v/>
      </c>
      <c r="F167" s="78">
        <f t="array" ref="F167">'deaths'!F13</f>
        <v/>
      </c>
      <c r="G167" s="78">
        <f t="array" ref="G167">'deaths'!G13</f>
        <v/>
      </c>
      <c r="H167" s="78">
        <f t="array" ref="H167">'deaths'!H13</f>
        <v/>
      </c>
      <c r="I167" s="78">
        <f t="array" ref="I167">'deaths'!I13</f>
        <v/>
      </c>
      <c r="J167" s="78">
        <f t="array" ref="J167">'deaths'!J13</f>
        <v/>
      </c>
      <c r="K167" s="78">
        <f t="array" ref="K167">'deaths'!K13</f>
        <v/>
      </c>
      <c r="L167" s="78" t="n"/>
    </row>
    <row r="168" ht="20.05" customHeight="1" s="215">
      <c r="A168" s="199">
        <f t="array" ref="A168">'deaths'!$A14</f>
        <v/>
      </c>
      <c r="B168" s="78" t="n"/>
      <c r="C168" s="78">
        <f t="array" ref="C168">'deaths'!C14</f>
        <v/>
      </c>
      <c r="D168" s="78">
        <f t="array" ref="D168">'deaths'!D14</f>
        <v/>
      </c>
      <c r="E168" s="78">
        <f t="array" ref="E168">'deaths'!E14</f>
        <v/>
      </c>
      <c r="F168" s="78">
        <f t="array" ref="F168">'deaths'!F14</f>
        <v/>
      </c>
      <c r="G168" s="78">
        <f t="array" ref="G168">'deaths'!G14</f>
        <v/>
      </c>
      <c r="H168" s="78">
        <f t="array" ref="H168">'deaths'!H14</f>
        <v/>
      </c>
      <c r="I168" s="78">
        <f t="array" ref="I168">'deaths'!I14</f>
        <v/>
      </c>
      <c r="J168" s="78">
        <f t="array" ref="J168">'deaths'!J14</f>
        <v/>
      </c>
      <c r="K168" s="78">
        <f t="array" ref="K168">'deaths'!K14</f>
        <v/>
      </c>
      <c r="L168" s="78" t="n"/>
    </row>
    <row r="169" ht="20.05" customHeight="1" s="215">
      <c r="A169" s="199">
        <f t="array" ref="A169">'deaths'!$A15</f>
        <v/>
      </c>
      <c r="B169" s="78" t="n"/>
      <c r="C169" s="78">
        <f t="array" ref="C169">'deaths'!C15</f>
        <v/>
      </c>
      <c r="D169" s="78">
        <f t="array" ref="D169">'deaths'!D15</f>
        <v/>
      </c>
      <c r="E169" s="78">
        <f t="array" ref="E169">'deaths'!E15</f>
        <v/>
      </c>
      <c r="F169" s="78">
        <f t="array" ref="F169">'deaths'!F15</f>
        <v/>
      </c>
      <c r="G169" s="78">
        <f t="array" ref="G169">'deaths'!G15</f>
        <v/>
      </c>
      <c r="H169" s="78">
        <f t="array" ref="H169">'deaths'!H15</f>
        <v/>
      </c>
      <c r="I169" s="78">
        <f t="array" ref="I169">'deaths'!I15</f>
        <v/>
      </c>
      <c r="J169" s="78">
        <f t="array" ref="J169">'deaths'!J15</f>
        <v/>
      </c>
      <c r="K169" s="78">
        <f t="array" ref="K169">'deaths'!K15</f>
        <v/>
      </c>
      <c r="L169" s="78" t="n"/>
    </row>
    <row r="170" ht="20.05" customHeight="1" s="215">
      <c r="A170" s="199">
        <f t="array" ref="A170">'deaths'!$A16</f>
        <v/>
      </c>
      <c r="B170" s="78" t="n"/>
      <c r="C170" s="78">
        <f t="array" ref="C170">'deaths'!C16</f>
        <v/>
      </c>
      <c r="D170" s="78">
        <f t="array" ref="D170">'deaths'!D16</f>
        <v/>
      </c>
      <c r="E170" s="78">
        <f t="array" ref="E170">'deaths'!E16</f>
        <v/>
      </c>
      <c r="F170" s="78">
        <f t="array" ref="F170">'deaths'!F16</f>
        <v/>
      </c>
      <c r="G170" s="78">
        <f t="array" ref="G170">'deaths'!G16</f>
        <v/>
      </c>
      <c r="H170" s="78">
        <f t="array" ref="H170">'deaths'!H16</f>
        <v/>
      </c>
      <c r="I170" s="78">
        <f t="array" ref="I170">'deaths'!I16</f>
        <v/>
      </c>
      <c r="J170" s="78">
        <f t="array" ref="J170">'deaths'!J16</f>
        <v/>
      </c>
      <c r="K170" s="78">
        <f t="array" ref="K170">'deaths'!K16</f>
        <v/>
      </c>
      <c r="L170" s="78" t="n"/>
    </row>
    <row r="171" ht="20.05" customHeight="1" s="215">
      <c r="A171" s="199">
        <f t="array" ref="A171">'deaths'!$A17</f>
        <v/>
      </c>
      <c r="B171" s="78" t="n"/>
      <c r="C171" s="78">
        <f t="array" ref="C171">'deaths'!C17</f>
        <v/>
      </c>
      <c r="D171" s="78">
        <f t="array" ref="D171">'deaths'!D17</f>
        <v/>
      </c>
      <c r="E171" s="78">
        <f t="array" ref="E171">'deaths'!E17</f>
        <v/>
      </c>
      <c r="F171" s="78">
        <f t="array" ref="F171">'deaths'!F17</f>
        <v/>
      </c>
      <c r="G171" s="78">
        <f t="array" ref="G171">'deaths'!G17</f>
        <v/>
      </c>
      <c r="H171" s="78">
        <f t="array" ref="H171">'deaths'!H17</f>
        <v/>
      </c>
      <c r="I171" s="78">
        <f t="array" ref="I171">'deaths'!I17</f>
        <v/>
      </c>
      <c r="J171" s="78">
        <f t="array" ref="J171">'deaths'!J17</f>
        <v/>
      </c>
      <c r="K171" s="78">
        <f t="array" ref="K171">'deaths'!K17</f>
        <v/>
      </c>
      <c r="L171" s="78" t="n"/>
    </row>
    <row r="172" ht="20.05" customHeight="1" s="215">
      <c r="A172" s="199">
        <f t="array" ref="A172">'deaths'!$A18</f>
        <v/>
      </c>
      <c r="B172" s="78" t="n"/>
      <c r="C172" s="78">
        <f t="array" ref="C172">'deaths'!C18</f>
        <v/>
      </c>
      <c r="D172" s="78">
        <f t="array" ref="D172">'deaths'!D18</f>
        <v/>
      </c>
      <c r="E172" s="78">
        <f t="array" ref="E172">'deaths'!E18</f>
        <v/>
      </c>
      <c r="F172" s="78">
        <f t="array" ref="F172">'deaths'!F18</f>
        <v/>
      </c>
      <c r="G172" s="78">
        <f t="array" ref="G172">'deaths'!G18</f>
        <v/>
      </c>
      <c r="H172" s="78">
        <f t="array" ref="H172">'deaths'!H18</f>
        <v/>
      </c>
      <c r="I172" s="78">
        <f t="array" ref="I172">'deaths'!I18</f>
        <v/>
      </c>
      <c r="J172" s="78">
        <f t="array" ref="J172">'deaths'!J18</f>
        <v/>
      </c>
      <c r="K172" s="78">
        <f t="array" ref="K172">'deaths'!K18</f>
        <v/>
      </c>
      <c r="L172" s="78" t="n"/>
    </row>
    <row r="173" ht="20.05" customHeight="1" s="215">
      <c r="A173" s="199">
        <f t="array" ref="A173">'deaths'!$A19</f>
        <v/>
      </c>
      <c r="B173" s="78" t="n"/>
      <c r="C173" s="78">
        <f t="array" ref="C173">'deaths'!C19</f>
        <v/>
      </c>
      <c r="D173" s="78">
        <f t="array" ref="D173">'deaths'!D19</f>
        <v/>
      </c>
      <c r="E173" s="78">
        <f t="array" ref="E173">'deaths'!E19</f>
        <v/>
      </c>
      <c r="F173" s="78">
        <f t="array" ref="F173">'deaths'!F19</f>
        <v/>
      </c>
      <c r="G173" s="78">
        <f t="array" ref="G173">'deaths'!G19</f>
        <v/>
      </c>
      <c r="H173" s="78">
        <f t="array" ref="H173">'deaths'!H19</f>
        <v/>
      </c>
      <c r="I173" s="78">
        <f t="array" ref="I173">'deaths'!I19</f>
        <v/>
      </c>
      <c r="J173" s="78">
        <f t="array" ref="J173">'deaths'!J19</f>
        <v/>
      </c>
      <c r="K173" s="78">
        <f t="array" ref="K173">'deaths'!K19</f>
        <v/>
      </c>
      <c r="L173" s="78" t="n"/>
    </row>
    <row r="174" ht="20.05" customHeight="1" s="215">
      <c r="A174" s="199">
        <f t="array" ref="A174">'deaths'!$A20</f>
        <v/>
      </c>
      <c r="B174" s="78" t="n"/>
      <c r="C174" s="78">
        <f t="array" ref="C174">'deaths'!C20</f>
        <v/>
      </c>
      <c r="D174" s="78">
        <f t="array" ref="D174">'deaths'!D20</f>
        <v/>
      </c>
      <c r="E174" s="78">
        <f t="array" ref="E174">'deaths'!E20</f>
        <v/>
      </c>
      <c r="F174" s="78">
        <f t="array" ref="F174">'deaths'!F20</f>
        <v/>
      </c>
      <c r="G174" s="78">
        <f t="array" ref="G174">'deaths'!G20</f>
        <v/>
      </c>
      <c r="H174" s="78">
        <f t="array" ref="H174">'deaths'!H20</f>
        <v/>
      </c>
      <c r="I174" s="78">
        <f t="array" ref="I174">'deaths'!I20</f>
        <v/>
      </c>
      <c r="J174" s="78">
        <f t="array" ref="J174">'deaths'!J20</f>
        <v/>
      </c>
      <c r="K174" s="78">
        <f t="array" ref="K174">'deaths'!K20</f>
        <v/>
      </c>
      <c r="L174" s="78" t="n"/>
    </row>
    <row r="175" ht="20.05" customHeight="1" s="215">
      <c r="A175" s="199">
        <f t="array" ref="A175">'deaths'!$A21</f>
        <v/>
      </c>
      <c r="B175" s="78" t="n"/>
      <c r="C175" s="78">
        <f t="array" ref="C175">'deaths'!C21</f>
        <v/>
      </c>
      <c r="D175" s="78">
        <f t="array" ref="D175">'deaths'!D21</f>
        <v/>
      </c>
      <c r="E175" s="78">
        <f t="array" ref="E175">'deaths'!E21</f>
        <v/>
      </c>
      <c r="F175" s="78">
        <f t="array" ref="F175">'deaths'!F21</f>
        <v/>
      </c>
      <c r="G175" s="78">
        <f t="array" ref="G175">'deaths'!G21</f>
        <v/>
      </c>
      <c r="H175" s="78">
        <f t="array" ref="H175">'deaths'!H21</f>
        <v/>
      </c>
      <c r="I175" s="78">
        <f t="array" ref="I175">'deaths'!I21</f>
        <v/>
      </c>
      <c r="J175" s="78">
        <f t="array" ref="J175">'deaths'!J21</f>
        <v/>
      </c>
      <c r="K175" s="78">
        <f t="array" ref="K175">'deaths'!K21</f>
        <v/>
      </c>
      <c r="L175" s="78" t="n"/>
    </row>
    <row r="176" ht="20.05" customHeight="1" s="215">
      <c r="A176" s="199">
        <f t="array" ref="A176">'deaths'!$A22</f>
        <v/>
      </c>
      <c r="B176" s="78" t="n"/>
      <c r="C176" s="78">
        <f t="array" ref="C176">'deaths'!C22</f>
        <v/>
      </c>
      <c r="D176" s="78">
        <f t="array" ref="D176">'deaths'!D22</f>
        <v/>
      </c>
      <c r="E176" s="78">
        <f t="array" ref="E176">'deaths'!E22</f>
        <v/>
      </c>
      <c r="F176" s="78">
        <f t="array" ref="F176">'deaths'!F22</f>
        <v/>
      </c>
      <c r="G176" s="78">
        <f t="array" ref="G176">'deaths'!G22</f>
        <v/>
      </c>
      <c r="H176" s="78">
        <f t="array" ref="H176">'deaths'!H22</f>
        <v/>
      </c>
      <c r="I176" s="78">
        <f t="array" ref="I176">'deaths'!I22</f>
        <v/>
      </c>
      <c r="J176" s="78">
        <f t="array" ref="J176">'deaths'!J22</f>
        <v/>
      </c>
      <c r="K176" s="78">
        <f t="array" ref="K176">'deaths'!K22</f>
        <v/>
      </c>
      <c r="L176" s="78" t="n"/>
    </row>
    <row r="177" ht="20.05" customHeight="1" s="215">
      <c r="A177" s="199">
        <f t="array" ref="A177">'deaths'!$A23</f>
        <v/>
      </c>
      <c r="B177" s="78" t="n"/>
      <c r="C177" s="78">
        <f t="array" ref="C177">'deaths'!C23</f>
        <v/>
      </c>
      <c r="D177" s="78">
        <f t="array" ref="D177">'deaths'!D23</f>
        <v/>
      </c>
      <c r="E177" s="78">
        <f t="array" ref="E177">'deaths'!E23</f>
        <v/>
      </c>
      <c r="F177" s="78">
        <f t="array" ref="F177">'deaths'!F23</f>
        <v/>
      </c>
      <c r="G177" s="78">
        <f t="array" ref="G177">'deaths'!G23</f>
        <v/>
      </c>
      <c r="H177" s="78">
        <f t="array" ref="H177">'deaths'!H23</f>
        <v/>
      </c>
      <c r="I177" s="78">
        <f t="array" ref="I177">'deaths'!I23</f>
        <v/>
      </c>
      <c r="J177" s="78">
        <f t="array" ref="J177">'deaths'!J23</f>
        <v/>
      </c>
      <c r="K177" s="78">
        <f t="array" ref="K177">'deaths'!K23</f>
        <v/>
      </c>
      <c r="L177" s="78" t="n"/>
    </row>
    <row r="178" ht="20.05" customHeight="1" s="215">
      <c r="A178" s="199">
        <f t="array" ref="A178">'deaths'!$A24</f>
        <v/>
      </c>
      <c r="B178" s="78" t="n"/>
      <c r="C178" s="78">
        <f t="array" ref="C178">'deaths'!C24</f>
        <v/>
      </c>
      <c r="D178" s="78">
        <f t="array" ref="D178">'deaths'!D24</f>
        <v/>
      </c>
      <c r="E178" s="78">
        <f t="array" ref="E178">'deaths'!E24</f>
        <v/>
      </c>
      <c r="F178" s="78">
        <f t="array" ref="F178">'deaths'!F24</f>
        <v/>
      </c>
      <c r="G178" s="78">
        <f t="array" ref="G178">'deaths'!G24</f>
        <v/>
      </c>
      <c r="H178" s="78">
        <f t="array" ref="H178">'deaths'!H24</f>
        <v/>
      </c>
      <c r="I178" s="78">
        <f t="array" ref="I178">'deaths'!I24</f>
        <v/>
      </c>
      <c r="J178" s="78">
        <f t="array" ref="J178">'deaths'!J24</f>
        <v/>
      </c>
      <c r="K178" s="78">
        <f t="array" ref="K178">'deaths'!K24</f>
        <v/>
      </c>
      <c r="L178" s="78" t="n"/>
    </row>
    <row r="179" ht="20.05" customHeight="1" s="215">
      <c r="A179" s="199">
        <f t="array" ref="A179">'deaths'!$A25</f>
        <v/>
      </c>
      <c r="B179" s="78" t="n"/>
      <c r="C179" s="78">
        <f t="array" ref="C179">'deaths'!C25</f>
        <v/>
      </c>
      <c r="D179" s="78">
        <f t="array" ref="D179">'deaths'!D25</f>
        <v/>
      </c>
      <c r="E179" s="78">
        <f t="array" ref="E179">'deaths'!E25</f>
        <v/>
      </c>
      <c r="F179" s="78">
        <f t="array" ref="F179">'deaths'!F25</f>
        <v/>
      </c>
      <c r="G179" s="78">
        <f t="array" ref="G179">'deaths'!G25</f>
        <v/>
      </c>
      <c r="H179" s="78">
        <f t="array" ref="H179">'deaths'!H25</f>
        <v/>
      </c>
      <c r="I179" s="78">
        <f t="array" ref="I179">'deaths'!I25</f>
        <v/>
      </c>
      <c r="J179" s="78">
        <f t="array" ref="J179">'deaths'!J25</f>
        <v/>
      </c>
      <c r="K179" s="78">
        <f t="array" ref="K179">'deaths'!K25</f>
        <v/>
      </c>
      <c r="L179" s="78" t="n"/>
    </row>
    <row r="180" ht="20.05" customHeight="1" s="215">
      <c r="A180" s="199">
        <f t="array" ref="A180">'deaths'!$A26</f>
        <v/>
      </c>
      <c r="B180" s="78" t="n"/>
      <c r="C180" s="78">
        <f t="array" ref="C180">'deaths'!C26</f>
        <v/>
      </c>
      <c r="D180" s="78">
        <f t="array" ref="D180">'deaths'!D26</f>
        <v/>
      </c>
      <c r="E180" s="78">
        <f t="array" ref="E180">'deaths'!E26</f>
        <v/>
      </c>
      <c r="F180" s="78">
        <f t="array" ref="F180">'deaths'!F26</f>
        <v/>
      </c>
      <c r="G180" s="78">
        <f t="array" ref="G180">'deaths'!G26</f>
        <v/>
      </c>
      <c r="H180" s="78">
        <f t="array" ref="H180">'deaths'!H26</f>
        <v/>
      </c>
      <c r="I180" s="78">
        <f t="array" ref="I180">'deaths'!I26</f>
        <v/>
      </c>
      <c r="J180" s="78">
        <f t="array" ref="J180">'deaths'!J26</f>
        <v/>
      </c>
      <c r="K180" s="78">
        <f t="array" ref="K180">'deaths'!K26</f>
        <v/>
      </c>
      <c r="L180" s="78" t="n"/>
    </row>
    <row r="181" ht="20.05" customHeight="1" s="215">
      <c r="A181" s="199">
        <f t="array" ref="A181">'deaths'!$A27</f>
        <v/>
      </c>
      <c r="B181" s="78" t="n"/>
      <c r="C181" s="78">
        <f t="array" ref="C181">'deaths'!C27</f>
        <v/>
      </c>
      <c r="D181" s="78">
        <f t="array" ref="D181">'deaths'!D27</f>
        <v/>
      </c>
      <c r="E181" s="78">
        <f t="array" ref="E181">'deaths'!E27</f>
        <v/>
      </c>
      <c r="F181" s="78">
        <f t="array" ref="F181">'deaths'!F27</f>
        <v/>
      </c>
      <c r="G181" s="78">
        <f t="array" ref="G181">'deaths'!G27</f>
        <v/>
      </c>
      <c r="H181" s="78">
        <f t="array" ref="H181">'deaths'!H27</f>
        <v/>
      </c>
      <c r="I181" s="78">
        <f t="array" ref="I181">'deaths'!I27</f>
        <v/>
      </c>
      <c r="J181" s="78">
        <f t="array" ref="J181">'deaths'!J27</f>
        <v/>
      </c>
      <c r="K181" s="78">
        <f t="array" ref="K181">'deaths'!K27</f>
        <v/>
      </c>
      <c r="L181" s="78" t="n"/>
    </row>
    <row r="182" ht="20.05" customHeight="1" s="215">
      <c r="A182" s="199">
        <f t="array" ref="A182">'deaths'!$A28</f>
        <v/>
      </c>
      <c r="B182" s="78" t="n"/>
      <c r="C182" s="78">
        <f t="array" ref="C182">'deaths'!C28</f>
        <v/>
      </c>
      <c r="D182" s="78">
        <f t="array" ref="D182">'deaths'!D28</f>
        <v/>
      </c>
      <c r="E182" s="78">
        <f t="array" ref="E182">'deaths'!E28</f>
        <v/>
      </c>
      <c r="F182" s="78">
        <f t="array" ref="F182">'deaths'!F28</f>
        <v/>
      </c>
      <c r="G182" s="78">
        <f t="array" ref="G182">'deaths'!G28</f>
        <v/>
      </c>
      <c r="H182" s="78">
        <f t="array" ref="H182">'deaths'!H28</f>
        <v/>
      </c>
      <c r="I182" s="78">
        <f t="array" ref="I182">'deaths'!I28</f>
        <v/>
      </c>
      <c r="J182" s="78">
        <f t="array" ref="J182">'deaths'!J28</f>
        <v/>
      </c>
      <c r="K182" s="78">
        <f t="array" ref="K182">'deaths'!K28</f>
        <v/>
      </c>
      <c r="L182" s="78" t="n"/>
    </row>
    <row r="183" ht="20.05" customHeight="1" s="215">
      <c r="A183" s="199">
        <f t="array" ref="A183">'deaths'!$A29</f>
        <v/>
      </c>
      <c r="B183" s="78" t="n"/>
      <c r="C183" s="78">
        <f t="array" ref="C183">'deaths'!C29</f>
        <v/>
      </c>
      <c r="D183" s="78">
        <f t="array" ref="D183">'deaths'!D29</f>
        <v/>
      </c>
      <c r="E183" s="78">
        <f t="array" ref="E183">'deaths'!E29</f>
        <v/>
      </c>
      <c r="F183" s="78">
        <f t="array" ref="F183">'deaths'!F29</f>
        <v/>
      </c>
      <c r="G183" s="78">
        <f t="array" ref="G183">'deaths'!G29</f>
        <v/>
      </c>
      <c r="H183" s="78">
        <f t="array" ref="H183">'deaths'!H29</f>
        <v/>
      </c>
      <c r="I183" s="78">
        <f t="array" ref="I183">'deaths'!I29</f>
        <v/>
      </c>
      <c r="J183" s="78">
        <f t="array" ref="J183">'deaths'!J29</f>
        <v/>
      </c>
      <c r="K183" s="78">
        <f t="array" ref="K183">'deaths'!K29</f>
        <v/>
      </c>
      <c r="L183" s="78" t="n"/>
    </row>
    <row r="184" ht="20.05" customHeight="1" s="215">
      <c r="A184" s="199">
        <f t="array" ref="A184">'deaths'!$A30</f>
        <v/>
      </c>
      <c r="B184" s="78" t="n"/>
      <c r="C184" s="78">
        <f t="array" ref="C184">'deaths'!C30</f>
        <v/>
      </c>
      <c r="D184" s="78">
        <f t="array" ref="D184">'deaths'!D30</f>
        <v/>
      </c>
      <c r="E184" s="78">
        <f t="array" ref="E184">'deaths'!E30</f>
        <v/>
      </c>
      <c r="F184" s="78">
        <f t="array" ref="F184">'deaths'!F30</f>
        <v/>
      </c>
      <c r="G184" s="78">
        <f t="array" ref="G184">'deaths'!G30</f>
        <v/>
      </c>
      <c r="H184" s="78">
        <f t="array" ref="H184">'deaths'!H30</f>
        <v/>
      </c>
      <c r="I184" s="78">
        <f t="array" ref="I184">'deaths'!I30</f>
        <v/>
      </c>
      <c r="J184" s="78">
        <f t="array" ref="J184">'deaths'!J30</f>
        <v/>
      </c>
      <c r="K184" s="78">
        <f t="array" ref="K184">'deaths'!K30</f>
        <v/>
      </c>
      <c r="L184" s="78" t="n"/>
    </row>
    <row r="185" ht="20.05" customHeight="1" s="215">
      <c r="A185" s="199">
        <f t="array" ref="A185">'deaths'!$A31</f>
        <v/>
      </c>
      <c r="B185" s="78" t="n"/>
      <c r="C185" s="78">
        <f t="array" ref="C185">'deaths'!C31</f>
        <v/>
      </c>
      <c r="D185" s="78">
        <f t="array" ref="D185">'deaths'!D31</f>
        <v/>
      </c>
      <c r="E185" s="78">
        <f t="array" ref="E185">'deaths'!E31</f>
        <v/>
      </c>
      <c r="F185" s="78">
        <f t="array" ref="F185">'deaths'!F31</f>
        <v/>
      </c>
      <c r="G185" s="78">
        <f t="array" ref="G185">'deaths'!G31</f>
        <v/>
      </c>
      <c r="H185" s="78">
        <f t="array" ref="H185">'deaths'!H31</f>
        <v/>
      </c>
      <c r="I185" s="78">
        <f t="array" ref="I185">'deaths'!I31</f>
        <v/>
      </c>
      <c r="J185" s="78">
        <f t="array" ref="J185">'deaths'!J31</f>
        <v/>
      </c>
      <c r="K185" s="78">
        <f t="array" ref="K185">'deaths'!K31</f>
        <v/>
      </c>
      <c r="L185" s="78" t="n"/>
    </row>
    <row r="186" ht="20.05" customHeight="1" s="215">
      <c r="A186" s="199">
        <f t="array" ref="A186">'deaths'!$A32</f>
        <v/>
      </c>
      <c r="B186" s="78" t="n"/>
      <c r="C186" s="78">
        <f t="array" ref="C186">'deaths'!C32</f>
        <v/>
      </c>
      <c r="D186" s="78">
        <f t="array" ref="D186">'deaths'!D32</f>
        <v/>
      </c>
      <c r="E186" s="78">
        <f t="array" ref="E186">'deaths'!E32</f>
        <v/>
      </c>
      <c r="F186" s="78">
        <f t="array" ref="F186">'deaths'!F32</f>
        <v/>
      </c>
      <c r="G186" s="78">
        <f t="array" ref="G186">'deaths'!G32</f>
        <v/>
      </c>
      <c r="H186" s="78">
        <f t="array" ref="H186">'deaths'!H32</f>
        <v/>
      </c>
      <c r="I186" s="78">
        <f t="array" ref="I186">'deaths'!I32</f>
        <v/>
      </c>
      <c r="J186" s="78">
        <f t="array" ref="J186">'deaths'!J32</f>
        <v/>
      </c>
      <c r="K186" s="78">
        <f t="array" ref="K186">'deaths'!K32</f>
        <v/>
      </c>
      <c r="L186" s="78" t="n"/>
    </row>
    <row r="187" ht="20.05" customHeight="1" s="215">
      <c r="A187" s="199">
        <f t="array" ref="A187">'deaths'!$A33</f>
        <v/>
      </c>
      <c r="B187" s="78" t="n"/>
      <c r="C187" s="78">
        <f t="array" ref="C187">'deaths'!C33</f>
        <v/>
      </c>
      <c r="D187" s="78">
        <f t="array" ref="D187">'deaths'!D33</f>
        <v/>
      </c>
      <c r="E187" s="78">
        <f t="array" ref="E187">'deaths'!E33</f>
        <v/>
      </c>
      <c r="F187" s="78">
        <f t="array" ref="F187">'deaths'!F33</f>
        <v/>
      </c>
      <c r="G187" s="78">
        <f t="array" ref="G187">'deaths'!G33</f>
        <v/>
      </c>
      <c r="H187" s="78">
        <f t="array" ref="H187">'deaths'!H33</f>
        <v/>
      </c>
      <c r="I187" s="78">
        <f t="array" ref="I187">'deaths'!I33</f>
        <v/>
      </c>
      <c r="J187" s="78">
        <f t="array" ref="J187">'deaths'!J33</f>
        <v/>
      </c>
      <c r="K187" s="78">
        <f t="array" ref="K187">'deaths'!K33</f>
        <v/>
      </c>
      <c r="L187" s="78" t="n"/>
    </row>
    <row r="188" ht="20.05" customHeight="1" s="215">
      <c r="A188" s="199">
        <f t="array" ref="A188">'deaths'!$A34</f>
        <v/>
      </c>
      <c r="B188" s="78" t="n"/>
      <c r="C188" s="78">
        <f t="array" ref="C188">'deaths'!C34</f>
        <v/>
      </c>
      <c r="D188" s="78">
        <f t="array" ref="D188">'deaths'!D34</f>
        <v/>
      </c>
      <c r="E188" s="78">
        <f t="array" ref="E188">'deaths'!E34</f>
        <v/>
      </c>
      <c r="F188" s="78">
        <f t="array" ref="F188">'deaths'!F34</f>
        <v/>
      </c>
      <c r="G188" s="78">
        <f t="array" ref="G188">'deaths'!G34</f>
        <v/>
      </c>
      <c r="H188" s="78">
        <f t="array" ref="H188">'deaths'!H34</f>
        <v/>
      </c>
      <c r="I188" s="78">
        <f t="array" ref="I188">'deaths'!I34</f>
        <v/>
      </c>
      <c r="J188" s="78">
        <f t="array" ref="J188">'deaths'!J34</f>
        <v/>
      </c>
      <c r="K188" s="78">
        <f t="array" ref="K188">'deaths'!K34</f>
        <v/>
      </c>
      <c r="L188" s="78" t="n"/>
    </row>
    <row r="189" ht="20.05" customHeight="1" s="215">
      <c r="A189" s="199">
        <f t="array" ref="A189">'deaths'!$A35</f>
        <v/>
      </c>
      <c r="B189" s="78" t="n"/>
      <c r="C189" s="78">
        <f t="array" ref="C189">'deaths'!C35</f>
        <v/>
      </c>
      <c r="D189" s="78">
        <f t="array" ref="D189">'deaths'!D35</f>
        <v/>
      </c>
      <c r="E189" s="78">
        <f t="array" ref="E189">'deaths'!E35</f>
        <v/>
      </c>
      <c r="F189" s="78">
        <f t="array" ref="F189">'deaths'!F35</f>
        <v/>
      </c>
      <c r="G189" s="78">
        <f t="array" ref="G189">'deaths'!G35</f>
        <v/>
      </c>
      <c r="H189" s="78">
        <f t="array" ref="H189">'deaths'!H35</f>
        <v/>
      </c>
      <c r="I189" s="78">
        <f t="array" ref="I189">'deaths'!I35</f>
        <v/>
      </c>
      <c r="J189" s="78">
        <f t="array" ref="J189">'deaths'!J35</f>
        <v/>
      </c>
      <c r="K189" s="78">
        <f t="array" ref="K189">'deaths'!K35</f>
        <v/>
      </c>
      <c r="L189" s="78" t="n"/>
    </row>
    <row r="190" ht="20.05" customHeight="1" s="215">
      <c r="A190" s="199">
        <f t="array" ref="A190">'deaths'!$A36</f>
        <v/>
      </c>
      <c r="B190" s="78" t="n"/>
      <c r="C190" s="78">
        <f t="array" ref="C190">'deaths'!C36</f>
        <v/>
      </c>
      <c r="D190" s="78">
        <f t="array" ref="D190">'deaths'!D36</f>
        <v/>
      </c>
      <c r="E190" s="78">
        <f t="array" ref="E190">'deaths'!E36</f>
        <v/>
      </c>
      <c r="F190" s="78">
        <f t="array" ref="F190">'deaths'!F36</f>
        <v/>
      </c>
      <c r="G190" s="78">
        <f t="array" ref="G190">'deaths'!G36</f>
        <v/>
      </c>
      <c r="H190" s="78">
        <f t="array" ref="H190">'deaths'!H36</f>
        <v/>
      </c>
      <c r="I190" s="78">
        <f t="array" ref="I190">'deaths'!I36</f>
        <v/>
      </c>
      <c r="J190" s="78">
        <f t="array" ref="J190">'deaths'!J36</f>
        <v/>
      </c>
      <c r="K190" s="78">
        <f t="array" ref="K190">'deaths'!K36</f>
        <v/>
      </c>
      <c r="L190" s="78" t="n"/>
    </row>
    <row r="191" ht="20.05" customHeight="1" s="215">
      <c r="A191" s="199">
        <f t="array" ref="A191">'deaths'!$A37</f>
        <v/>
      </c>
      <c r="B191" s="78" t="n"/>
      <c r="C191" s="78">
        <f t="array" ref="C191">'deaths'!C37</f>
        <v/>
      </c>
      <c r="D191" s="78">
        <f t="array" ref="D191">'deaths'!D37</f>
        <v/>
      </c>
      <c r="E191" s="78">
        <f t="array" ref="E191">'deaths'!E37</f>
        <v/>
      </c>
      <c r="F191" s="78">
        <f t="array" ref="F191">'deaths'!F37</f>
        <v/>
      </c>
      <c r="G191" s="78">
        <f t="array" ref="G191">'deaths'!G37</f>
        <v/>
      </c>
      <c r="H191" s="78">
        <f t="array" ref="H191">'deaths'!H37</f>
        <v/>
      </c>
      <c r="I191" s="78">
        <f t="array" ref="I191">'deaths'!I37</f>
        <v/>
      </c>
      <c r="J191" s="78">
        <f t="array" ref="J191">'deaths'!J37</f>
        <v/>
      </c>
      <c r="K191" s="78">
        <f t="array" ref="K191">'deaths'!K37</f>
        <v/>
      </c>
      <c r="L191" s="78" t="n"/>
    </row>
    <row r="192" ht="20.05" customHeight="1" s="215">
      <c r="A192" s="199">
        <f t="array" ref="A192">'deaths'!$A38</f>
        <v/>
      </c>
      <c r="B192" s="78" t="n"/>
      <c r="C192" s="78">
        <f t="array" ref="C192">'deaths'!C38</f>
        <v/>
      </c>
      <c r="D192" s="78">
        <f t="array" ref="D192">'deaths'!D38</f>
        <v/>
      </c>
      <c r="E192" s="78">
        <f t="array" ref="E192">'deaths'!E38</f>
        <v/>
      </c>
      <c r="F192" s="78">
        <f t="array" ref="F192">'deaths'!F38</f>
        <v/>
      </c>
      <c r="G192" s="78">
        <f t="array" ref="G192">'deaths'!G38</f>
        <v/>
      </c>
      <c r="H192" s="78">
        <f t="array" ref="H192">'deaths'!H38</f>
        <v/>
      </c>
      <c r="I192" s="78">
        <f t="array" ref="I192">'deaths'!I38</f>
        <v/>
      </c>
      <c r="J192" s="78">
        <f t="array" ref="J192">'deaths'!J38</f>
        <v/>
      </c>
      <c r="K192" s="78">
        <f t="array" ref="K192">'deaths'!K38</f>
        <v/>
      </c>
      <c r="L192" s="78" t="n"/>
    </row>
    <row r="193" ht="20.05" customHeight="1" s="215">
      <c r="A193" s="199">
        <f t="array" ref="A193">'deaths'!$A39</f>
        <v/>
      </c>
      <c r="B193" s="78" t="n"/>
      <c r="C193" s="78">
        <f t="array" ref="C193">'deaths'!C39</f>
        <v/>
      </c>
      <c r="D193" s="78">
        <f t="array" ref="D193">'deaths'!D39</f>
        <v/>
      </c>
      <c r="E193" s="78">
        <f t="array" ref="E193">'deaths'!E39</f>
        <v/>
      </c>
      <c r="F193" s="78">
        <f t="array" ref="F193">'deaths'!F39</f>
        <v/>
      </c>
      <c r="G193" s="78">
        <f t="array" ref="G193">'deaths'!G39</f>
        <v/>
      </c>
      <c r="H193" s="78">
        <f t="array" ref="H193">'deaths'!H39</f>
        <v/>
      </c>
      <c r="I193" s="78">
        <f t="array" ref="I193">'deaths'!I39</f>
        <v/>
      </c>
      <c r="J193" s="78">
        <f t="array" ref="J193">'deaths'!J39</f>
        <v/>
      </c>
      <c r="K193" s="78">
        <f t="array" ref="K193">'deaths'!K39</f>
        <v/>
      </c>
      <c r="L193" s="78" t="n"/>
    </row>
    <row r="194" ht="20.05" customHeight="1" s="215">
      <c r="A194" s="199">
        <f t="array" ref="A194">'deaths'!$A40</f>
        <v/>
      </c>
      <c r="B194" s="78" t="n"/>
      <c r="C194" s="78">
        <f t="array" ref="C194">'deaths'!C40</f>
        <v/>
      </c>
      <c r="D194" s="78">
        <f t="array" ref="D194">'deaths'!D40</f>
        <v/>
      </c>
      <c r="E194" s="78">
        <f t="array" ref="E194">'deaths'!E40</f>
        <v/>
      </c>
      <c r="F194" s="78">
        <f t="array" ref="F194">'deaths'!F40</f>
        <v/>
      </c>
      <c r="G194" s="78">
        <f t="array" ref="G194">'deaths'!G40</f>
        <v/>
      </c>
      <c r="H194" s="78">
        <f t="array" ref="H194">'deaths'!H40</f>
        <v/>
      </c>
      <c r="I194" s="78">
        <f t="array" ref="I194">'deaths'!I40</f>
        <v/>
      </c>
      <c r="J194" s="78">
        <f t="array" ref="J194">'deaths'!J40</f>
        <v/>
      </c>
      <c r="K194" s="78">
        <f t="array" ref="K194">'deaths'!K40</f>
        <v/>
      </c>
      <c r="L194" s="78" t="n"/>
    </row>
    <row r="195" ht="20.05" customHeight="1" s="215">
      <c r="A195" s="199">
        <f t="array" ref="A195">'deaths'!$A41</f>
        <v/>
      </c>
      <c r="B195" s="78" t="n"/>
      <c r="C195" s="78">
        <f t="array" ref="C195">'deaths'!C41</f>
        <v/>
      </c>
      <c r="D195" s="78">
        <f t="array" ref="D195">'deaths'!D41</f>
        <v/>
      </c>
      <c r="E195" s="78">
        <f t="array" ref="E195">'deaths'!E41</f>
        <v/>
      </c>
      <c r="F195" s="78">
        <f t="array" ref="F195">'deaths'!F41</f>
        <v/>
      </c>
      <c r="G195" s="78">
        <f t="array" ref="G195">'deaths'!G41</f>
        <v/>
      </c>
      <c r="H195" s="78">
        <f t="array" ref="H195">'deaths'!H41</f>
        <v/>
      </c>
      <c r="I195" s="78">
        <f t="array" ref="I195">'deaths'!I41</f>
        <v/>
      </c>
      <c r="J195" s="78">
        <f t="array" ref="J195">'deaths'!J41</f>
        <v/>
      </c>
      <c r="K195" s="78">
        <f t="array" ref="K195">'deaths'!K41</f>
        <v/>
      </c>
      <c r="L195" s="78" t="n"/>
    </row>
    <row r="196" ht="20.05" customHeight="1" s="215">
      <c r="A196" s="199">
        <f t="array" ref="A196">'deaths'!$A42</f>
        <v/>
      </c>
      <c r="B196" s="78" t="n"/>
      <c r="C196" s="78">
        <f t="array" ref="C196">'deaths'!C42</f>
        <v/>
      </c>
      <c r="D196" s="78">
        <f t="array" ref="D196">'deaths'!D42</f>
        <v/>
      </c>
      <c r="E196" s="78">
        <f t="array" ref="E196">'deaths'!E42</f>
        <v/>
      </c>
      <c r="F196" s="78">
        <f t="array" ref="F196">'deaths'!F42</f>
        <v/>
      </c>
      <c r="G196" s="78">
        <f t="array" ref="G196">'deaths'!G42</f>
        <v/>
      </c>
      <c r="H196" s="78">
        <f t="array" ref="H196">'deaths'!H42</f>
        <v/>
      </c>
      <c r="I196" s="78">
        <f t="array" ref="I196">'deaths'!I42</f>
        <v/>
      </c>
      <c r="J196" s="78">
        <f t="array" ref="J196">'deaths'!J42</f>
        <v/>
      </c>
      <c r="K196" s="78">
        <f t="array" ref="K196">'deaths'!K42</f>
        <v/>
      </c>
      <c r="L196" s="78" t="n"/>
    </row>
    <row r="197" ht="20.05" customHeight="1" s="215">
      <c r="A197" s="199">
        <f t="array" ref="A197">'deaths'!$A43</f>
        <v/>
      </c>
      <c r="B197" s="78" t="n"/>
      <c r="C197" s="78">
        <f t="array" ref="C197">'deaths'!C43</f>
        <v/>
      </c>
      <c r="D197" s="78">
        <f t="array" ref="D197">'deaths'!D43</f>
        <v/>
      </c>
      <c r="E197" s="78">
        <f t="array" ref="E197">'deaths'!E43</f>
        <v/>
      </c>
      <c r="F197" s="78">
        <f t="array" ref="F197">'deaths'!F43</f>
        <v/>
      </c>
      <c r="G197" s="78">
        <f t="array" ref="G197">'deaths'!G43</f>
        <v/>
      </c>
      <c r="H197" s="78">
        <f t="array" ref="H197">'deaths'!H43</f>
        <v/>
      </c>
      <c r="I197" s="78">
        <f t="array" ref="I197">'deaths'!I43</f>
        <v/>
      </c>
      <c r="J197" s="78">
        <f t="array" ref="J197">'deaths'!J43</f>
        <v/>
      </c>
      <c r="K197" s="78">
        <f t="array" ref="K197">'deaths'!K43</f>
        <v/>
      </c>
      <c r="L197" s="78" t="n"/>
    </row>
    <row r="198" ht="20.05" customHeight="1" s="215">
      <c r="A198" s="199">
        <f t="array" ref="A198">'deaths'!$A44</f>
        <v/>
      </c>
      <c r="B198" s="78" t="n"/>
      <c r="C198" s="78">
        <f t="array" ref="C198">'deaths'!C44</f>
        <v/>
      </c>
      <c r="D198" s="78">
        <f t="array" ref="D198">'deaths'!D44</f>
        <v/>
      </c>
      <c r="E198" s="78">
        <f t="array" ref="E198">'deaths'!E44</f>
        <v/>
      </c>
      <c r="F198" s="78">
        <f t="array" ref="F198">'deaths'!F44</f>
        <v/>
      </c>
      <c r="G198" s="78">
        <f t="array" ref="G198">'deaths'!G44</f>
        <v/>
      </c>
      <c r="H198" s="78">
        <f t="array" ref="H198">'deaths'!H44</f>
        <v/>
      </c>
      <c r="I198" s="78">
        <f t="array" ref="I198">'deaths'!I44</f>
        <v/>
      </c>
      <c r="J198" s="78">
        <f t="array" ref="J198">'deaths'!J44</f>
        <v/>
      </c>
      <c r="K198" s="78">
        <f t="array" ref="K198">'deaths'!K44</f>
        <v/>
      </c>
      <c r="L198" s="78" t="n"/>
    </row>
    <row r="199" ht="20.05" customHeight="1" s="215">
      <c r="A199" s="199">
        <f t="array" ref="A199">'deaths'!$A45</f>
        <v/>
      </c>
      <c r="B199" s="78" t="n"/>
      <c r="C199" s="78">
        <f t="array" ref="C199">'deaths'!C45</f>
        <v/>
      </c>
      <c r="D199" s="78">
        <f t="array" ref="D199">'deaths'!D45</f>
        <v/>
      </c>
      <c r="E199" s="78">
        <f t="array" ref="E199">'deaths'!E45</f>
        <v/>
      </c>
      <c r="F199" s="78">
        <f t="array" ref="F199">'deaths'!F45</f>
        <v/>
      </c>
      <c r="G199" s="78">
        <f t="array" ref="G199">'deaths'!G45</f>
        <v/>
      </c>
      <c r="H199" s="78">
        <f t="array" ref="H199">'deaths'!H45</f>
        <v/>
      </c>
      <c r="I199" s="78">
        <f t="array" ref="I199">'deaths'!I45</f>
        <v/>
      </c>
      <c r="J199" s="78">
        <f t="array" ref="J199">'deaths'!J45</f>
        <v/>
      </c>
      <c r="K199" s="78">
        <f t="array" ref="K199">'deaths'!K45</f>
        <v/>
      </c>
      <c r="L199" s="78" t="n"/>
    </row>
    <row r="200" ht="20.05" customHeight="1" s="215">
      <c r="A200" s="199">
        <f t="array" ref="A200">'deaths'!$A46</f>
        <v/>
      </c>
      <c r="B200" s="78" t="n"/>
      <c r="C200" s="78">
        <f t="array" ref="C200">'deaths'!C46</f>
        <v/>
      </c>
      <c r="D200" s="78">
        <f t="array" ref="D200">'deaths'!D46</f>
        <v/>
      </c>
      <c r="E200" s="78">
        <f t="array" ref="E200">'deaths'!E46</f>
        <v/>
      </c>
      <c r="F200" s="78">
        <f t="array" ref="F200">'deaths'!F46</f>
        <v/>
      </c>
      <c r="G200" s="78">
        <f t="array" ref="G200">'deaths'!G46</f>
        <v/>
      </c>
      <c r="H200" s="78">
        <f t="array" ref="H200">'deaths'!H46</f>
        <v/>
      </c>
      <c r="I200" s="78">
        <f t="array" ref="I200">'deaths'!I46</f>
        <v/>
      </c>
      <c r="J200" s="78">
        <f t="array" ref="J200">'deaths'!J46</f>
        <v/>
      </c>
      <c r="K200" s="78">
        <f t="array" ref="K200">'deaths'!K46</f>
        <v/>
      </c>
      <c r="L200" s="78" t="n"/>
    </row>
    <row r="201" ht="20.05" customHeight="1" s="215">
      <c r="A201" s="199">
        <f t="array" ref="A201">'deaths'!$A47</f>
        <v/>
      </c>
      <c r="B201" s="78" t="n"/>
      <c r="C201" s="78">
        <f t="array" ref="C201">'deaths'!C47</f>
        <v/>
      </c>
      <c r="D201" s="78">
        <f t="array" ref="D201">'deaths'!D47</f>
        <v/>
      </c>
      <c r="E201" s="78">
        <f t="array" ref="E201">'deaths'!E47</f>
        <v/>
      </c>
      <c r="F201" s="78">
        <f t="array" ref="F201">'deaths'!F47</f>
        <v/>
      </c>
      <c r="G201" s="78">
        <f t="array" ref="G201">'deaths'!G47</f>
        <v/>
      </c>
      <c r="H201" s="78">
        <f t="array" ref="H201">'deaths'!H47</f>
        <v/>
      </c>
      <c r="I201" s="78">
        <f t="array" ref="I201">'deaths'!I47</f>
        <v/>
      </c>
      <c r="J201" s="78">
        <f t="array" ref="J201">'deaths'!J47</f>
        <v/>
      </c>
      <c r="K201" s="78">
        <f t="array" ref="K201">'deaths'!K47</f>
        <v/>
      </c>
      <c r="L201" s="78" t="n"/>
    </row>
    <row r="202" ht="20.05" customHeight="1" s="215">
      <c r="A202" s="199">
        <f t="array" ref="A202">'deaths'!$A48</f>
        <v/>
      </c>
      <c r="B202" s="78" t="n"/>
      <c r="C202" s="78">
        <f t="array" ref="C202">'deaths'!C48</f>
        <v/>
      </c>
      <c r="D202" s="78">
        <f t="array" ref="D202">'deaths'!D48</f>
        <v/>
      </c>
      <c r="E202" s="78">
        <f t="array" ref="E202">'deaths'!E48</f>
        <v/>
      </c>
      <c r="F202" s="78">
        <f t="array" ref="F202">'deaths'!F48</f>
        <v/>
      </c>
      <c r="G202" s="78">
        <f t="array" ref="G202">'deaths'!G48</f>
        <v/>
      </c>
      <c r="H202" s="78">
        <f t="array" ref="H202">'deaths'!H48</f>
        <v/>
      </c>
      <c r="I202" s="78">
        <f t="array" ref="I202">'deaths'!I48</f>
        <v/>
      </c>
      <c r="J202" s="78">
        <f t="array" ref="J202">'deaths'!J48</f>
        <v/>
      </c>
      <c r="K202" s="78">
        <f t="array" ref="K202">'deaths'!K48</f>
        <v/>
      </c>
      <c r="L202" s="78" t="n"/>
    </row>
    <row r="203" ht="20.05" customHeight="1" s="215">
      <c r="A203" s="199">
        <f t="array" ref="A203">'deaths'!$A49</f>
        <v/>
      </c>
      <c r="B203" s="78" t="n"/>
      <c r="C203" s="78">
        <f t="array" ref="C203">'deaths'!C49</f>
        <v/>
      </c>
      <c r="D203" s="78">
        <f t="array" ref="D203">'deaths'!D49</f>
        <v/>
      </c>
      <c r="E203" s="78">
        <f t="array" ref="E203">'deaths'!E49</f>
        <v/>
      </c>
      <c r="F203" s="78">
        <f t="array" ref="F203">'deaths'!F49</f>
        <v/>
      </c>
      <c r="G203" s="78">
        <f t="array" ref="G203">'deaths'!G49</f>
        <v/>
      </c>
      <c r="H203" s="78">
        <f t="array" ref="H203">'deaths'!H49</f>
        <v/>
      </c>
      <c r="I203" s="78">
        <f t="array" ref="I203">'deaths'!I49</f>
        <v/>
      </c>
      <c r="J203" s="78">
        <f t="array" ref="J203">'deaths'!J49</f>
        <v/>
      </c>
      <c r="K203" s="78">
        <f t="array" ref="K203">'deaths'!K49</f>
        <v/>
      </c>
      <c r="L203" s="78" t="n"/>
    </row>
    <row r="204" ht="20.05" customHeight="1" s="215">
      <c r="A204" s="199">
        <f t="array" ref="A204">'deaths'!$A50</f>
        <v/>
      </c>
      <c r="B204" s="78" t="n"/>
      <c r="C204" s="78">
        <f t="array" ref="C204">'deaths'!C50</f>
        <v/>
      </c>
      <c r="D204" s="78">
        <f t="array" ref="D204">'deaths'!D50</f>
        <v/>
      </c>
      <c r="E204" s="78">
        <f t="array" ref="E204">'deaths'!E50</f>
        <v/>
      </c>
      <c r="F204" s="78">
        <f t="array" ref="F204">'deaths'!F50</f>
        <v/>
      </c>
      <c r="G204" s="78">
        <f t="array" ref="G204">'deaths'!G50</f>
        <v/>
      </c>
      <c r="H204" s="78">
        <f t="array" ref="H204">'deaths'!H50</f>
        <v/>
      </c>
      <c r="I204" s="78">
        <f t="array" ref="I204">'deaths'!I50</f>
        <v/>
      </c>
      <c r="J204" s="78">
        <f t="array" ref="J204">'deaths'!J50</f>
        <v/>
      </c>
      <c r="K204" s="78">
        <f t="array" ref="K204">'deaths'!K50</f>
        <v/>
      </c>
      <c r="L204" s="78" t="n"/>
    </row>
    <row r="205" ht="20.05" customHeight="1" s="215">
      <c r="A205" s="199">
        <f t="array" ref="A205">'deaths'!$A51</f>
        <v/>
      </c>
      <c r="B205" s="78" t="n"/>
      <c r="C205" s="78">
        <f t="array" ref="C205">'deaths'!C51</f>
        <v/>
      </c>
      <c r="D205" s="78">
        <f t="array" ref="D205">'deaths'!D51</f>
        <v/>
      </c>
      <c r="E205" s="78">
        <f t="array" ref="E205">'deaths'!E51</f>
        <v/>
      </c>
      <c r="F205" s="78">
        <f t="array" ref="F205">'deaths'!F51</f>
        <v/>
      </c>
      <c r="G205" s="78">
        <f t="array" ref="G205">'deaths'!G51</f>
        <v/>
      </c>
      <c r="H205" s="78">
        <f t="array" ref="H205">'deaths'!H51</f>
        <v/>
      </c>
      <c r="I205" s="78">
        <f t="array" ref="I205">'deaths'!I51</f>
        <v/>
      </c>
      <c r="J205" s="78">
        <f t="array" ref="J205">'deaths'!J51</f>
        <v/>
      </c>
      <c r="K205" s="78">
        <f t="array" ref="K205">'deaths'!K51</f>
        <v/>
      </c>
      <c r="L205" s="78" t="n"/>
    </row>
    <row r="206" ht="20.05" customHeight="1" s="215">
      <c r="A206" s="199">
        <f t="array" ref="A206">'deaths'!$A52</f>
        <v/>
      </c>
      <c r="B206" s="78" t="n"/>
      <c r="C206" s="78">
        <f t="array" ref="C206">'deaths'!C52</f>
        <v/>
      </c>
      <c r="D206" s="78">
        <f t="array" ref="D206">'deaths'!D52</f>
        <v/>
      </c>
      <c r="E206" s="78">
        <f t="array" ref="E206">'deaths'!E52</f>
        <v/>
      </c>
      <c r="F206" s="78">
        <f t="array" ref="F206">'deaths'!F52</f>
        <v/>
      </c>
      <c r="G206" s="78">
        <f t="array" ref="G206">'deaths'!G52</f>
        <v/>
      </c>
      <c r="H206" s="78">
        <f t="array" ref="H206">'deaths'!H52</f>
        <v/>
      </c>
      <c r="I206" s="78">
        <f t="array" ref="I206">'deaths'!I52</f>
        <v/>
      </c>
      <c r="J206" s="78">
        <f t="array" ref="J206">'deaths'!J52</f>
        <v/>
      </c>
      <c r="K206" s="78">
        <f t="array" ref="K206">'deaths'!K52</f>
        <v/>
      </c>
      <c r="L206" s="78" t="n"/>
    </row>
    <row r="207" ht="20.05" customHeight="1" s="215">
      <c r="A207" s="199">
        <f t="array" ref="A207">'deaths'!$A53</f>
        <v/>
      </c>
      <c r="B207" s="78" t="n"/>
      <c r="C207" s="78">
        <f t="array" ref="C207">'deaths'!C53</f>
        <v/>
      </c>
      <c r="D207" s="78">
        <f t="array" ref="D207">'deaths'!D53</f>
        <v/>
      </c>
      <c r="E207" s="78">
        <f t="array" ref="E207">'deaths'!E53</f>
        <v/>
      </c>
      <c r="F207" s="78">
        <f t="array" ref="F207">'deaths'!F53</f>
        <v/>
      </c>
      <c r="G207" s="78">
        <f t="array" ref="G207">'deaths'!G53</f>
        <v/>
      </c>
      <c r="H207" s="78">
        <f t="array" ref="H207">'deaths'!H53</f>
        <v/>
      </c>
      <c r="I207" s="78">
        <f t="array" ref="I207">'deaths'!I53</f>
        <v/>
      </c>
      <c r="J207" s="78">
        <f t="array" ref="J207">'deaths'!J53</f>
        <v/>
      </c>
      <c r="K207" s="78">
        <f t="array" ref="K207">'deaths'!K53</f>
        <v/>
      </c>
      <c r="L207" s="78" t="n"/>
    </row>
    <row r="208" ht="20.05" customHeight="1" s="215">
      <c r="A208" s="199">
        <f t="array" ref="A208">'deaths'!$A54</f>
        <v/>
      </c>
      <c r="B208" s="78" t="n"/>
      <c r="C208" s="78">
        <f t="array" ref="C208">'deaths'!C54</f>
        <v/>
      </c>
      <c r="D208" s="78">
        <f t="array" ref="D208">'deaths'!D54</f>
        <v/>
      </c>
      <c r="E208" s="78">
        <f t="array" ref="E208">'deaths'!E54</f>
        <v/>
      </c>
      <c r="F208" s="78">
        <f t="array" ref="F208">'deaths'!F54</f>
        <v/>
      </c>
      <c r="G208" s="78">
        <f t="array" ref="G208">'deaths'!G54</f>
        <v/>
      </c>
      <c r="H208" s="78">
        <f t="array" ref="H208">'deaths'!H54</f>
        <v/>
      </c>
      <c r="I208" s="78">
        <f t="array" ref="I208">'deaths'!I54</f>
        <v/>
      </c>
      <c r="J208" s="78">
        <f t="array" ref="J208">'deaths'!J54</f>
        <v/>
      </c>
      <c r="K208" s="78">
        <f t="array" ref="K208">'deaths'!K54</f>
        <v/>
      </c>
      <c r="L208" s="78" t="n"/>
    </row>
    <row r="209" ht="20.05" customHeight="1" s="215">
      <c r="A209" s="199">
        <f t="array" ref="A209">'deaths'!$A55</f>
        <v/>
      </c>
      <c r="B209" s="78" t="n"/>
      <c r="C209" s="78">
        <f t="array" ref="C209">'deaths'!C55</f>
        <v/>
      </c>
      <c r="D209" s="78">
        <f t="array" ref="D209">'deaths'!D55</f>
        <v/>
      </c>
      <c r="E209" s="78">
        <f t="array" ref="E209">'deaths'!E55</f>
        <v/>
      </c>
      <c r="F209" s="78">
        <f t="array" ref="F209">'deaths'!F55</f>
        <v/>
      </c>
      <c r="G209" s="78">
        <f t="array" ref="G209">'deaths'!G55</f>
        <v/>
      </c>
      <c r="H209" s="78">
        <f t="array" ref="H209">'deaths'!H55</f>
        <v/>
      </c>
      <c r="I209" s="78">
        <f t="array" ref="I209">'deaths'!I55</f>
        <v/>
      </c>
      <c r="J209" s="78">
        <f t="array" ref="J209">'deaths'!J55</f>
        <v/>
      </c>
      <c r="K209" s="78">
        <f t="array" ref="K209">'deaths'!K55</f>
        <v/>
      </c>
      <c r="L209" s="78" t="n"/>
    </row>
    <row r="210" ht="20.05" customHeight="1" s="215">
      <c r="A210" s="199">
        <f t="array" ref="A210">'deaths'!$A56</f>
        <v/>
      </c>
      <c r="B210" s="78" t="n"/>
      <c r="C210" s="78">
        <f t="array" ref="C210">'deaths'!C56</f>
        <v/>
      </c>
      <c r="D210" s="78">
        <f t="array" ref="D210">'deaths'!D56</f>
        <v/>
      </c>
      <c r="E210" s="78">
        <f t="array" ref="E210">'deaths'!E56</f>
        <v/>
      </c>
      <c r="F210" s="78">
        <f t="array" ref="F210">'deaths'!F56</f>
        <v/>
      </c>
      <c r="G210" s="78">
        <f t="array" ref="G210">'deaths'!G56</f>
        <v/>
      </c>
      <c r="H210" s="78">
        <f t="array" ref="H210">'deaths'!H56</f>
        <v/>
      </c>
      <c r="I210" s="78">
        <f t="array" ref="I210">'deaths'!I56</f>
        <v/>
      </c>
      <c r="J210" s="78">
        <f t="array" ref="J210">'deaths'!J56</f>
        <v/>
      </c>
      <c r="K210" s="78">
        <f t="array" ref="K210">'deaths'!K56</f>
        <v/>
      </c>
      <c r="L210" s="78" t="n"/>
    </row>
    <row r="211" ht="20.05" customHeight="1" s="215">
      <c r="A211" s="199">
        <f t="array" ref="A211">'deaths'!$A57</f>
        <v/>
      </c>
      <c r="B211" s="78" t="n"/>
      <c r="C211" s="78">
        <f t="array" ref="C211">'deaths'!C57</f>
        <v/>
      </c>
      <c r="D211" s="78">
        <f t="array" ref="D211">'deaths'!D57</f>
        <v/>
      </c>
      <c r="E211" s="78">
        <f t="array" ref="E211">'deaths'!E57</f>
        <v/>
      </c>
      <c r="F211" s="78">
        <f t="array" ref="F211">'deaths'!F57</f>
        <v/>
      </c>
      <c r="G211" s="78">
        <f t="array" ref="G211">'deaths'!G57</f>
        <v/>
      </c>
      <c r="H211" s="78">
        <f t="array" ref="H211">'deaths'!H57</f>
        <v/>
      </c>
      <c r="I211" s="78">
        <f t="array" ref="I211">'deaths'!I57</f>
        <v/>
      </c>
      <c r="J211" s="78">
        <f t="array" ref="J211">'deaths'!J57</f>
        <v/>
      </c>
      <c r="K211" s="78">
        <f t="array" ref="K211">'deaths'!K57</f>
        <v/>
      </c>
      <c r="L211" s="78" t="n"/>
    </row>
    <row r="212" ht="20.05" customHeight="1" s="215">
      <c r="A212" s="199">
        <f t="array" ref="A212">'deaths'!$A58</f>
        <v/>
      </c>
      <c r="B212" s="78" t="n"/>
      <c r="C212" s="78">
        <f t="array" ref="C212">'deaths'!C58</f>
        <v/>
      </c>
      <c r="D212" s="78">
        <f t="array" ref="D212">'deaths'!D58</f>
        <v/>
      </c>
      <c r="E212" s="78">
        <f t="array" ref="E212">'deaths'!E58</f>
        <v/>
      </c>
      <c r="F212" s="78">
        <f t="array" ref="F212">'deaths'!F58</f>
        <v/>
      </c>
      <c r="G212" s="78">
        <f t="array" ref="G212">'deaths'!G58</f>
        <v/>
      </c>
      <c r="H212" s="78">
        <f t="array" ref="H212">'deaths'!H58</f>
        <v/>
      </c>
      <c r="I212" s="78">
        <f t="array" ref="I212">'deaths'!I58</f>
        <v/>
      </c>
      <c r="J212" s="78">
        <f t="array" ref="J212">'deaths'!J58</f>
        <v/>
      </c>
      <c r="K212" s="78">
        <f t="array" ref="K212">'deaths'!K58</f>
        <v/>
      </c>
      <c r="L212" s="78" t="n"/>
    </row>
    <row r="213" ht="20.05" customHeight="1" s="215">
      <c r="A213" s="199">
        <f t="array" ref="A213">'deaths'!$A59</f>
        <v/>
      </c>
      <c r="B213" s="78" t="n"/>
      <c r="C213" s="78">
        <f t="array" ref="C213">'deaths'!C59</f>
        <v/>
      </c>
      <c r="D213" s="78">
        <f t="array" ref="D213">'deaths'!D59</f>
        <v/>
      </c>
      <c r="E213" s="78">
        <f t="array" ref="E213">'deaths'!E59</f>
        <v/>
      </c>
      <c r="F213" s="78">
        <f t="array" ref="F213">'deaths'!F59</f>
        <v/>
      </c>
      <c r="G213" s="78">
        <f t="array" ref="G213">'deaths'!G59</f>
        <v/>
      </c>
      <c r="H213" s="78">
        <f t="array" ref="H213">'deaths'!H59</f>
        <v/>
      </c>
      <c r="I213" s="78">
        <f t="array" ref="I213">'deaths'!I59</f>
        <v/>
      </c>
      <c r="J213" s="78">
        <f t="array" ref="J213">'deaths'!J59</f>
        <v/>
      </c>
      <c r="K213" s="78">
        <f t="array" ref="K213">'deaths'!K59</f>
        <v/>
      </c>
      <c r="L213" s="78" t="n"/>
    </row>
    <row r="214" ht="20.05" customHeight="1" s="215">
      <c r="A214" s="199">
        <f t="array" ref="A214">'deaths'!$A60</f>
        <v/>
      </c>
      <c r="B214" s="78" t="n"/>
      <c r="C214" s="78">
        <f t="array" ref="C214">'deaths'!C60</f>
        <v/>
      </c>
      <c r="D214" s="78">
        <f t="array" ref="D214">'deaths'!D60</f>
        <v/>
      </c>
      <c r="E214" s="78">
        <f t="array" ref="E214">'deaths'!E60</f>
        <v/>
      </c>
      <c r="F214" s="78">
        <f t="array" ref="F214">'deaths'!F60</f>
        <v/>
      </c>
      <c r="G214" s="78">
        <f t="array" ref="G214">'deaths'!G60</f>
        <v/>
      </c>
      <c r="H214" s="78">
        <f t="array" ref="H214">'deaths'!H60</f>
        <v/>
      </c>
      <c r="I214" s="78">
        <f t="array" ref="I214">'deaths'!I60</f>
        <v/>
      </c>
      <c r="J214" s="78">
        <f t="array" ref="J214">'deaths'!J60</f>
        <v/>
      </c>
      <c r="K214" s="78">
        <f t="array" ref="K214">'deaths'!K60</f>
        <v/>
      </c>
      <c r="L214" s="78" t="n"/>
    </row>
    <row r="215" ht="20.05" customHeight="1" s="215">
      <c r="A215" s="199">
        <f t="array" ref="A215">'deaths'!$A61</f>
        <v/>
      </c>
      <c r="B215" s="78" t="n"/>
      <c r="C215" s="78">
        <f t="array" ref="C215">'deaths'!C61</f>
        <v/>
      </c>
      <c r="D215" s="78">
        <f t="array" ref="D215">'deaths'!D61</f>
        <v/>
      </c>
      <c r="E215" s="78">
        <f t="array" ref="E215">'deaths'!E61</f>
        <v/>
      </c>
      <c r="F215" s="78">
        <f t="array" ref="F215">'deaths'!F61</f>
        <v/>
      </c>
      <c r="G215" s="78">
        <f t="array" ref="G215">'deaths'!G61</f>
        <v/>
      </c>
      <c r="H215" s="78">
        <f t="array" ref="H215">'deaths'!H61</f>
        <v/>
      </c>
      <c r="I215" s="78">
        <f t="array" ref="I215">'deaths'!I61</f>
        <v/>
      </c>
      <c r="J215" s="78">
        <f t="array" ref="J215">'deaths'!J61</f>
        <v/>
      </c>
      <c r="K215" s="78">
        <f t="array" ref="K215">'deaths'!K61</f>
        <v/>
      </c>
      <c r="L215" s="78" t="n"/>
    </row>
    <row r="216" ht="20.05" customHeight="1" s="215">
      <c r="A216" s="199">
        <f t="array" ref="A216">'deaths'!$A62</f>
        <v/>
      </c>
      <c r="B216" s="78" t="n"/>
      <c r="C216" s="78">
        <f t="array" ref="C216">'deaths'!C62</f>
        <v/>
      </c>
      <c r="D216" s="78">
        <f t="array" ref="D216">'deaths'!D62</f>
        <v/>
      </c>
      <c r="E216" s="78">
        <f t="array" ref="E216">'deaths'!E62</f>
        <v/>
      </c>
      <c r="F216" s="78">
        <f t="array" ref="F216">'deaths'!F62</f>
        <v/>
      </c>
      <c r="G216" s="78">
        <f t="array" ref="G216">'deaths'!G62</f>
        <v/>
      </c>
      <c r="H216" s="78">
        <f t="array" ref="H216">'deaths'!H62</f>
        <v/>
      </c>
      <c r="I216" s="78">
        <f t="array" ref="I216">'deaths'!I62</f>
        <v/>
      </c>
      <c r="J216" s="78">
        <f t="array" ref="J216">'deaths'!J62</f>
        <v/>
      </c>
      <c r="K216" s="78">
        <f t="array" ref="K216">'deaths'!K62</f>
        <v/>
      </c>
      <c r="L216" s="78" t="n"/>
    </row>
    <row r="217" ht="20.05" customHeight="1" s="215">
      <c r="A217" s="199">
        <f t="array" ref="A217">'deaths'!$A63</f>
        <v/>
      </c>
      <c r="B217" s="78" t="n"/>
      <c r="C217" s="78">
        <f t="array" ref="C217">'deaths'!C63</f>
        <v/>
      </c>
      <c r="D217" s="78">
        <f t="array" ref="D217">'deaths'!D63</f>
        <v/>
      </c>
      <c r="E217" s="78">
        <f t="array" ref="E217">'deaths'!E63</f>
        <v/>
      </c>
      <c r="F217" s="78">
        <f t="array" ref="F217">'deaths'!F63</f>
        <v/>
      </c>
      <c r="G217" s="78">
        <f t="array" ref="G217">'deaths'!G63</f>
        <v/>
      </c>
      <c r="H217" s="78">
        <f t="array" ref="H217">'deaths'!H63</f>
        <v/>
      </c>
      <c r="I217" s="78">
        <f t="array" ref="I217">'deaths'!I63</f>
        <v/>
      </c>
      <c r="J217" s="78">
        <f t="array" ref="J217">'deaths'!J63</f>
        <v/>
      </c>
      <c r="K217" s="78">
        <f t="array" ref="K217">'deaths'!K63</f>
        <v/>
      </c>
      <c r="L217" s="78" t="n"/>
    </row>
    <row r="218" ht="20.05" customHeight="1" s="215">
      <c r="A218" s="199">
        <f t="array" ref="A218">'deaths'!$A64</f>
        <v/>
      </c>
      <c r="B218" s="78" t="n"/>
      <c r="C218" s="78">
        <f t="array" ref="C218">'deaths'!C64</f>
        <v/>
      </c>
      <c r="D218" s="78">
        <f t="array" ref="D218">'deaths'!D64</f>
        <v/>
      </c>
      <c r="E218" s="78">
        <f t="array" ref="E218">'deaths'!E64</f>
        <v/>
      </c>
      <c r="F218" s="78">
        <f t="array" ref="F218">'deaths'!F64</f>
        <v/>
      </c>
      <c r="G218" s="78">
        <f t="array" ref="G218">'deaths'!G64</f>
        <v/>
      </c>
      <c r="H218" s="78">
        <f t="array" ref="H218">'deaths'!H64</f>
        <v/>
      </c>
      <c r="I218" s="78">
        <f t="array" ref="I218">'deaths'!I64</f>
        <v/>
      </c>
      <c r="J218" s="78">
        <f t="array" ref="J218">'deaths'!J64</f>
        <v/>
      </c>
      <c r="K218" s="78">
        <f t="array" ref="K218">'deaths'!K64</f>
        <v/>
      </c>
      <c r="L218" s="78" t="n"/>
    </row>
    <row r="219" ht="20.05" customHeight="1" s="215">
      <c r="A219" s="199">
        <f t="array" ref="A219">'deaths'!$A65</f>
        <v/>
      </c>
      <c r="B219" s="78" t="n"/>
      <c r="C219" s="78">
        <f t="array" ref="C219">'deaths'!C65</f>
        <v/>
      </c>
      <c r="D219" s="78">
        <f t="array" ref="D219">'deaths'!D65</f>
        <v/>
      </c>
      <c r="E219" s="78">
        <f t="array" ref="E219">'deaths'!E65</f>
        <v/>
      </c>
      <c r="F219" s="78">
        <f t="array" ref="F219">'deaths'!F65</f>
        <v/>
      </c>
      <c r="G219" s="78">
        <f t="array" ref="G219">'deaths'!G65</f>
        <v/>
      </c>
      <c r="H219" s="78">
        <f t="array" ref="H219">'deaths'!H65</f>
        <v/>
      </c>
      <c r="I219" s="78">
        <f t="array" ref="I219">'deaths'!I65</f>
        <v/>
      </c>
      <c r="J219" s="78">
        <f t="array" ref="J219">'deaths'!J65</f>
        <v/>
      </c>
      <c r="K219" s="78">
        <f t="array" ref="K219">'deaths'!K65</f>
        <v/>
      </c>
      <c r="L219" s="78" t="n"/>
    </row>
    <row r="220" ht="20.05" customHeight="1" s="215">
      <c r="A220" s="199">
        <f t="array" ref="A220">'deaths'!$A66</f>
        <v/>
      </c>
      <c r="B220" s="78" t="n"/>
      <c r="C220" s="78">
        <f t="array" ref="C220">'deaths'!C66</f>
        <v/>
      </c>
      <c r="D220" s="78">
        <f t="array" ref="D220">'deaths'!D66</f>
        <v/>
      </c>
      <c r="E220" s="78">
        <f t="array" ref="E220">'deaths'!E66</f>
        <v/>
      </c>
      <c r="F220" s="78">
        <f t="array" ref="F220">'deaths'!F66</f>
        <v/>
      </c>
      <c r="G220" s="78">
        <f t="array" ref="G220">'deaths'!G66</f>
        <v/>
      </c>
      <c r="H220" s="78">
        <f t="array" ref="H220">'deaths'!H66</f>
        <v/>
      </c>
      <c r="I220" s="78">
        <f t="array" ref="I220">'deaths'!I66</f>
        <v/>
      </c>
      <c r="J220" s="78">
        <f t="array" ref="J220">'deaths'!J66</f>
        <v/>
      </c>
      <c r="K220" s="78">
        <f t="array" ref="K220">'deaths'!K66</f>
        <v/>
      </c>
      <c r="L220" s="78" t="n"/>
    </row>
    <row r="221" ht="20.05" customHeight="1" s="215">
      <c r="A221" s="199">
        <f t="array" ref="A221">'deaths'!$A67</f>
        <v/>
      </c>
      <c r="B221" s="78" t="n"/>
      <c r="C221" s="78">
        <f t="array" ref="C221">'deaths'!C67</f>
        <v/>
      </c>
      <c r="D221" s="78">
        <f t="array" ref="D221">'deaths'!D67</f>
        <v/>
      </c>
      <c r="E221" s="78">
        <f t="array" ref="E221">'deaths'!E67</f>
        <v/>
      </c>
      <c r="F221" s="78">
        <f t="array" ref="F221">'deaths'!F67</f>
        <v/>
      </c>
      <c r="G221" s="78">
        <f t="array" ref="G221">'deaths'!G67</f>
        <v/>
      </c>
      <c r="H221" s="78">
        <f t="array" ref="H221">'deaths'!H67</f>
        <v/>
      </c>
      <c r="I221" s="78">
        <f t="array" ref="I221">'deaths'!I67</f>
        <v/>
      </c>
      <c r="J221" s="78">
        <f t="array" ref="J221">'deaths'!J67</f>
        <v/>
      </c>
      <c r="K221" s="78">
        <f t="array" ref="K221">'deaths'!K67</f>
        <v/>
      </c>
      <c r="L221" s="78" t="n"/>
    </row>
    <row r="222" ht="20.05" customHeight="1" s="215">
      <c r="A222" s="199">
        <f t="array" ref="A222">'deaths'!$A68</f>
        <v/>
      </c>
      <c r="B222" s="78" t="n"/>
      <c r="C222" s="78">
        <f t="array" ref="C222">'deaths'!C68</f>
        <v/>
      </c>
      <c r="D222" s="78">
        <f t="array" ref="D222">'deaths'!D68</f>
        <v/>
      </c>
      <c r="E222" s="78">
        <f t="array" ref="E222">'deaths'!E68</f>
        <v/>
      </c>
      <c r="F222" s="78">
        <f t="array" ref="F222">'deaths'!F68</f>
        <v/>
      </c>
      <c r="G222" s="78">
        <f t="array" ref="G222">'deaths'!G68</f>
        <v/>
      </c>
      <c r="H222" s="78">
        <f t="array" ref="H222">'deaths'!H68</f>
        <v/>
      </c>
      <c r="I222" s="78">
        <f t="array" ref="I222">'deaths'!I68</f>
        <v/>
      </c>
      <c r="J222" s="78">
        <f t="array" ref="J222">'deaths'!J68</f>
        <v/>
      </c>
      <c r="K222" s="78">
        <f t="array" ref="K222">'deaths'!K68</f>
        <v/>
      </c>
      <c r="L222" s="78" t="n"/>
    </row>
    <row r="223" ht="20.05" customHeight="1" s="215">
      <c r="A223" s="199">
        <f t="array" ref="A223">'deaths'!$A69</f>
        <v/>
      </c>
      <c r="B223" s="78" t="n"/>
      <c r="C223" s="78">
        <f t="array" ref="C223">'deaths'!C69</f>
        <v/>
      </c>
      <c r="D223" s="78">
        <f t="array" ref="D223">'deaths'!D69</f>
        <v/>
      </c>
      <c r="E223" s="78">
        <f t="array" ref="E223">'deaths'!E69</f>
        <v/>
      </c>
      <c r="F223" s="78">
        <f t="array" ref="F223">'deaths'!F69</f>
        <v/>
      </c>
      <c r="G223" s="78">
        <f t="array" ref="G223">'deaths'!G69</f>
        <v/>
      </c>
      <c r="H223" s="78">
        <f t="array" ref="H223">'deaths'!H69</f>
        <v/>
      </c>
      <c r="I223" s="78">
        <f t="array" ref="I223">'deaths'!I69</f>
        <v/>
      </c>
      <c r="J223" s="78">
        <f t="array" ref="J223">'deaths'!J69</f>
        <v/>
      </c>
      <c r="K223" s="78">
        <f t="array" ref="K223">'deaths'!K69</f>
        <v/>
      </c>
      <c r="L223" s="78" t="n"/>
    </row>
    <row r="224" ht="20.05" customHeight="1" s="215">
      <c r="A224" s="199">
        <f t="array" ref="A224">'deaths'!$A70</f>
        <v/>
      </c>
      <c r="B224" s="78" t="n"/>
      <c r="C224" s="78">
        <f t="array" ref="C224">'deaths'!C70</f>
        <v/>
      </c>
      <c r="D224" s="78">
        <f t="array" ref="D224">'deaths'!D70</f>
        <v/>
      </c>
      <c r="E224" s="78">
        <f t="array" ref="E224">'deaths'!E70</f>
        <v/>
      </c>
      <c r="F224" s="78">
        <f t="array" ref="F224">'deaths'!F70</f>
        <v/>
      </c>
      <c r="G224" s="78">
        <f t="array" ref="G224">'deaths'!G70</f>
        <v/>
      </c>
      <c r="H224" s="78">
        <f t="array" ref="H224">'deaths'!H70</f>
        <v/>
      </c>
      <c r="I224" s="78">
        <f t="array" ref="I224">'deaths'!I70</f>
        <v/>
      </c>
      <c r="J224" s="78">
        <f t="array" ref="J224">'deaths'!J70</f>
        <v/>
      </c>
      <c r="K224" s="78">
        <f t="array" ref="K224">'deaths'!K70</f>
        <v/>
      </c>
      <c r="L224" s="78" t="n"/>
    </row>
    <row r="225" ht="20.05" customHeight="1" s="215">
      <c r="A225" s="199">
        <f t="array" ref="A225">'deaths'!$A71</f>
        <v/>
      </c>
      <c r="B225" s="78" t="n"/>
      <c r="C225" s="78">
        <f t="array" ref="C225">'deaths'!C71</f>
        <v/>
      </c>
      <c r="D225" s="78">
        <f t="array" ref="D225">'deaths'!D71</f>
        <v/>
      </c>
      <c r="E225" s="78">
        <f t="array" ref="E225">'deaths'!E71</f>
        <v/>
      </c>
      <c r="F225" s="78">
        <f t="array" ref="F225">'deaths'!F71</f>
        <v/>
      </c>
      <c r="G225" s="78">
        <f t="array" ref="G225">'deaths'!G71</f>
        <v/>
      </c>
      <c r="H225" s="78">
        <f t="array" ref="H225">'deaths'!H71</f>
        <v/>
      </c>
      <c r="I225" s="78">
        <f t="array" ref="I225">'deaths'!I71</f>
        <v/>
      </c>
      <c r="J225" s="78">
        <f t="array" ref="J225">'deaths'!J71</f>
        <v/>
      </c>
      <c r="K225" s="78">
        <f t="array" ref="K225">'deaths'!K71</f>
        <v/>
      </c>
      <c r="L225" s="78" t="n"/>
    </row>
    <row r="226" ht="20.05" customHeight="1" s="215">
      <c r="A226" s="199">
        <f t="array" ref="A226">'deaths'!$A72</f>
        <v/>
      </c>
      <c r="B226" s="78" t="n"/>
      <c r="C226" s="78">
        <f t="array" ref="C226">'deaths'!C72</f>
        <v/>
      </c>
      <c r="D226" s="78">
        <f t="array" ref="D226">'deaths'!D72</f>
        <v/>
      </c>
      <c r="E226" s="78">
        <f t="array" ref="E226">'deaths'!E72</f>
        <v/>
      </c>
      <c r="F226" s="78">
        <f t="array" ref="F226">'deaths'!F72</f>
        <v/>
      </c>
      <c r="G226" s="78">
        <f t="array" ref="G226">'deaths'!G72</f>
        <v/>
      </c>
      <c r="H226" s="78">
        <f t="array" ref="H226">'deaths'!H72</f>
        <v/>
      </c>
      <c r="I226" s="78">
        <f t="array" ref="I226">'deaths'!I72</f>
        <v/>
      </c>
      <c r="J226" s="78">
        <f t="array" ref="J226">'deaths'!J72</f>
        <v/>
      </c>
      <c r="K226" s="78">
        <f t="array" ref="K226">'deaths'!K72</f>
        <v/>
      </c>
      <c r="L226" s="78" t="n"/>
    </row>
    <row r="227" ht="20.05" customHeight="1" s="215">
      <c r="A227" s="199">
        <f t="array" ref="A227">'deaths'!$A73</f>
        <v/>
      </c>
      <c r="B227" s="78" t="n"/>
      <c r="C227" s="78">
        <f t="array" ref="C227">'deaths'!C73</f>
        <v/>
      </c>
      <c r="D227" s="78">
        <f t="array" ref="D227">'deaths'!D73</f>
        <v/>
      </c>
      <c r="E227" s="78">
        <f t="array" ref="E227">'deaths'!E73</f>
        <v/>
      </c>
      <c r="F227" s="78">
        <f t="array" ref="F227">'deaths'!F73</f>
        <v/>
      </c>
      <c r="G227" s="78">
        <f t="array" ref="G227">'deaths'!G73</f>
        <v/>
      </c>
      <c r="H227" s="78">
        <f t="array" ref="H227">'deaths'!H73</f>
        <v/>
      </c>
      <c r="I227" s="78">
        <f t="array" ref="I227">'deaths'!I73</f>
        <v/>
      </c>
      <c r="J227" s="78">
        <f t="array" ref="J227">'deaths'!J73</f>
        <v/>
      </c>
      <c r="K227" s="78">
        <f t="array" ref="K227">'deaths'!K73</f>
        <v/>
      </c>
      <c r="L227" s="78" t="n"/>
    </row>
    <row r="228" ht="20.05" customHeight="1" s="215">
      <c r="A228" s="199">
        <f t="array" ref="A228">'deaths'!$A74</f>
        <v/>
      </c>
      <c r="B228" s="78" t="n"/>
      <c r="C228" s="78">
        <f t="array" ref="C228">'deaths'!C74</f>
        <v/>
      </c>
      <c r="D228" s="78">
        <f t="array" ref="D228">'deaths'!D74</f>
        <v/>
      </c>
      <c r="E228" s="78">
        <f t="array" ref="E228">'deaths'!E74</f>
        <v/>
      </c>
      <c r="F228" s="78">
        <f t="array" ref="F228">'deaths'!F74</f>
        <v/>
      </c>
      <c r="G228" s="78">
        <f t="array" ref="G228">'deaths'!G74</f>
        <v/>
      </c>
      <c r="H228" s="78">
        <f t="array" ref="H228">'deaths'!H74</f>
        <v/>
      </c>
      <c r="I228" s="78">
        <f t="array" ref="I228">'deaths'!I74</f>
        <v/>
      </c>
      <c r="J228" s="78">
        <f t="array" ref="J228">'deaths'!J74</f>
        <v/>
      </c>
      <c r="K228" s="78">
        <f t="array" ref="K228">'deaths'!K74</f>
        <v/>
      </c>
      <c r="L228" s="78" t="n"/>
    </row>
    <row r="229" ht="20.05" customHeight="1" s="215">
      <c r="A229" s="199">
        <f t="array" ref="A229">'deaths'!$A75</f>
        <v/>
      </c>
      <c r="B229" s="78" t="n"/>
      <c r="C229" s="78">
        <f t="array" ref="C229">'deaths'!C75</f>
        <v/>
      </c>
      <c r="D229" s="78">
        <f t="array" ref="D229">'deaths'!D75</f>
        <v/>
      </c>
      <c r="E229" s="78">
        <f t="array" ref="E229">'deaths'!E75</f>
        <v/>
      </c>
      <c r="F229" s="78">
        <f t="array" ref="F229">'deaths'!F75</f>
        <v/>
      </c>
      <c r="G229" s="78">
        <f t="array" ref="G229">'deaths'!G75</f>
        <v/>
      </c>
      <c r="H229" s="78">
        <f t="array" ref="H229">'deaths'!H75</f>
        <v/>
      </c>
      <c r="I229" s="78">
        <f t="array" ref="I229">'deaths'!I75</f>
        <v/>
      </c>
      <c r="J229" s="78">
        <f t="array" ref="J229">'deaths'!J75</f>
        <v/>
      </c>
      <c r="K229" s="78">
        <f t="array" ref="K229">'deaths'!K75</f>
        <v/>
      </c>
      <c r="L229" s="78" t="n"/>
    </row>
    <row r="230" ht="20.05" customHeight="1" s="215">
      <c r="A230" s="199">
        <f t="array" ref="A230">'deaths'!$A76</f>
        <v/>
      </c>
      <c r="B230" s="78" t="n"/>
      <c r="C230" s="78">
        <f t="array" ref="C230">'deaths'!C76</f>
        <v/>
      </c>
      <c r="D230" s="78">
        <f t="array" ref="D230">'deaths'!D76</f>
        <v/>
      </c>
      <c r="E230" s="78">
        <f t="array" ref="E230">'deaths'!E76</f>
        <v/>
      </c>
      <c r="F230" s="78">
        <f t="array" ref="F230">'deaths'!F76</f>
        <v/>
      </c>
      <c r="G230" s="78">
        <f t="array" ref="G230">'deaths'!G76</f>
        <v/>
      </c>
      <c r="H230" s="78">
        <f t="array" ref="H230">'deaths'!H76</f>
        <v/>
      </c>
      <c r="I230" s="78">
        <f t="array" ref="I230">'deaths'!I76</f>
        <v/>
      </c>
      <c r="J230" s="78">
        <f t="array" ref="J230">'deaths'!J76</f>
        <v/>
      </c>
      <c r="K230" s="78">
        <f t="array" ref="K230">'deaths'!K76</f>
        <v/>
      </c>
      <c r="L230" s="78" t="n"/>
    </row>
    <row r="231" ht="20.05" customHeight="1" s="215">
      <c r="A231" s="199">
        <f t="array" ref="A231">'deaths'!$A77</f>
        <v/>
      </c>
      <c r="B231" s="78" t="n"/>
      <c r="C231" s="78">
        <f t="array" ref="C231">'deaths'!C77</f>
        <v/>
      </c>
      <c r="D231" s="78">
        <f t="array" ref="D231">'deaths'!D77</f>
        <v/>
      </c>
      <c r="E231" s="78">
        <f t="array" ref="E231">'deaths'!E77</f>
        <v/>
      </c>
      <c r="F231" s="78">
        <f t="array" ref="F231">'deaths'!F77</f>
        <v/>
      </c>
      <c r="G231" s="78">
        <f t="array" ref="G231">'deaths'!G77</f>
        <v/>
      </c>
      <c r="H231" s="78">
        <f t="array" ref="H231">'deaths'!H77</f>
        <v/>
      </c>
      <c r="I231" s="78">
        <f t="array" ref="I231">'deaths'!I77</f>
        <v/>
      </c>
      <c r="J231" s="78">
        <f t="array" ref="J231">'deaths'!J77</f>
        <v/>
      </c>
      <c r="K231" s="78">
        <f t="array" ref="K231">'deaths'!K77</f>
        <v/>
      </c>
      <c r="L231" s="78" t="n"/>
    </row>
    <row r="232" ht="20.05" customHeight="1" s="215">
      <c r="A232" s="199">
        <f t="array" ref="A232">'deaths'!$A78</f>
        <v/>
      </c>
      <c r="B232" s="78" t="n"/>
      <c r="C232" s="78">
        <f t="array" ref="C232">'deaths'!C78</f>
        <v/>
      </c>
      <c r="D232" s="78">
        <f t="array" ref="D232">'deaths'!D78</f>
        <v/>
      </c>
      <c r="E232" s="78">
        <f t="array" ref="E232">'deaths'!E78</f>
        <v/>
      </c>
      <c r="F232" s="78">
        <f t="array" ref="F232">'deaths'!F78</f>
        <v/>
      </c>
      <c r="G232" s="78">
        <f t="array" ref="G232">'deaths'!G78</f>
        <v/>
      </c>
      <c r="H232" s="78">
        <f t="array" ref="H232">'deaths'!H78</f>
        <v/>
      </c>
      <c r="I232" s="78">
        <f t="array" ref="I232">'deaths'!I78</f>
        <v/>
      </c>
      <c r="J232" s="78">
        <f t="array" ref="J232">'deaths'!J78</f>
        <v/>
      </c>
      <c r="K232" s="78">
        <f t="array" ref="K232">'deaths'!K78</f>
        <v/>
      </c>
      <c r="L232" s="78" t="n"/>
    </row>
    <row r="233" ht="20.05" customHeight="1" s="215">
      <c r="A233" s="199">
        <f t="array" ref="A233">'deaths'!$A79</f>
        <v/>
      </c>
      <c r="B233" s="78" t="n"/>
      <c r="C233" s="78">
        <f t="array" ref="C233">'deaths'!C79</f>
        <v/>
      </c>
      <c r="D233" s="78">
        <f t="array" ref="D233">'deaths'!D79</f>
        <v/>
      </c>
      <c r="E233" s="78">
        <f t="array" ref="E233">'deaths'!E79</f>
        <v/>
      </c>
      <c r="F233" s="78">
        <f t="array" ref="F233">'deaths'!F79</f>
        <v/>
      </c>
      <c r="G233" s="78">
        <f t="array" ref="G233">'deaths'!G79</f>
        <v/>
      </c>
      <c r="H233" s="78">
        <f t="array" ref="H233">'deaths'!H79</f>
        <v/>
      </c>
      <c r="I233" s="78">
        <f t="array" ref="I233">'deaths'!I79</f>
        <v/>
      </c>
      <c r="J233" s="78">
        <f t="array" ref="J233">'deaths'!J79</f>
        <v/>
      </c>
      <c r="K233" s="78">
        <f t="array" ref="K233">'deaths'!K79</f>
        <v/>
      </c>
      <c r="L233" s="78" t="n"/>
    </row>
    <row r="234" ht="20.05" customHeight="1" s="215">
      <c r="A234" s="199">
        <f t="array" ref="A234">'deaths'!$A80</f>
        <v/>
      </c>
      <c r="B234" s="78" t="n"/>
      <c r="C234" s="78">
        <f t="array" ref="C234">'deaths'!C80</f>
        <v/>
      </c>
      <c r="D234" s="78">
        <f t="array" ref="D234">'deaths'!D80</f>
        <v/>
      </c>
      <c r="E234" s="78">
        <f t="array" ref="E234">'deaths'!E80</f>
        <v/>
      </c>
      <c r="F234" s="78">
        <f t="array" ref="F234">'deaths'!F80</f>
        <v/>
      </c>
      <c r="G234" s="78">
        <f t="array" ref="G234">'deaths'!G80</f>
        <v/>
      </c>
      <c r="H234" s="78">
        <f t="array" ref="H234">'deaths'!H80</f>
        <v/>
      </c>
      <c r="I234" s="78">
        <f t="array" ref="I234">'deaths'!I80</f>
        <v/>
      </c>
      <c r="J234" s="78">
        <f t="array" ref="J234">'deaths'!J80</f>
        <v/>
      </c>
      <c r="K234" s="78">
        <f t="array" ref="K234">'deaths'!K80</f>
        <v/>
      </c>
      <c r="L234" s="78" t="n"/>
    </row>
    <row r="235" ht="20.05" customHeight="1" s="215">
      <c r="A235" s="199">
        <f t="array" ref="A235">'deaths'!$A81</f>
        <v/>
      </c>
      <c r="B235" s="78" t="n"/>
      <c r="C235" s="78">
        <f t="array" ref="C235">'deaths'!C81</f>
        <v/>
      </c>
      <c r="D235" s="78">
        <f t="array" ref="D235">'deaths'!D81</f>
        <v/>
      </c>
      <c r="E235" s="78">
        <f t="array" ref="E235">'deaths'!E81</f>
        <v/>
      </c>
      <c r="F235" s="78">
        <f t="array" ref="F235">'deaths'!F81</f>
        <v/>
      </c>
      <c r="G235" s="78">
        <f t="array" ref="G235">'deaths'!G81</f>
        <v/>
      </c>
      <c r="H235" s="78">
        <f t="array" ref="H235">'deaths'!H81</f>
        <v/>
      </c>
      <c r="I235" s="78">
        <f t="array" ref="I235">'deaths'!I81</f>
        <v/>
      </c>
      <c r="J235" s="78">
        <f t="array" ref="J235">'deaths'!J81</f>
        <v/>
      </c>
      <c r="K235" s="78">
        <f t="array" ref="K235">'deaths'!K81</f>
        <v/>
      </c>
      <c r="L235" s="78" t="n"/>
    </row>
    <row r="236" ht="20.05" customHeight="1" s="215">
      <c r="A236" s="199">
        <f t="array" ref="A236">'deaths'!$A82</f>
        <v/>
      </c>
      <c r="B236" s="78" t="n"/>
      <c r="C236" s="78">
        <f t="array" ref="C236">'deaths'!C82</f>
        <v/>
      </c>
      <c r="D236" s="78">
        <f t="array" ref="D236">'deaths'!D82</f>
        <v/>
      </c>
      <c r="E236" s="78">
        <f t="array" ref="E236">'deaths'!E82</f>
        <v/>
      </c>
      <c r="F236" s="78">
        <f t="array" ref="F236">'deaths'!F82</f>
        <v/>
      </c>
      <c r="G236" s="78">
        <f t="array" ref="G236">'deaths'!G82</f>
        <v/>
      </c>
      <c r="H236" s="78">
        <f t="array" ref="H236">'deaths'!H82</f>
        <v/>
      </c>
      <c r="I236" s="78">
        <f t="array" ref="I236">'deaths'!I82</f>
        <v/>
      </c>
      <c r="J236" s="78">
        <f t="array" ref="J236">'deaths'!J82</f>
        <v/>
      </c>
      <c r="K236" s="78">
        <f t="array" ref="K236">'deaths'!K82</f>
        <v/>
      </c>
      <c r="L236" s="78" t="n"/>
    </row>
    <row r="237" ht="20.05" customHeight="1" s="215">
      <c r="A237" s="199">
        <f t="array" ref="A237">'deaths'!$A83</f>
        <v/>
      </c>
      <c r="B237" s="78" t="n"/>
      <c r="C237" s="78">
        <f t="array" ref="C237">'deaths'!C83</f>
        <v/>
      </c>
      <c r="D237" s="78">
        <f t="array" ref="D237">'deaths'!D83</f>
        <v/>
      </c>
      <c r="E237" s="78">
        <f t="array" ref="E237">'deaths'!E83</f>
        <v/>
      </c>
      <c r="F237" s="78">
        <f t="array" ref="F237">'deaths'!F83</f>
        <v/>
      </c>
      <c r="G237" s="78">
        <f t="array" ref="G237">'deaths'!G83</f>
        <v/>
      </c>
      <c r="H237" s="78">
        <f t="array" ref="H237">'deaths'!H83</f>
        <v/>
      </c>
      <c r="I237" s="78">
        <f t="array" ref="I237">'deaths'!I83</f>
        <v/>
      </c>
      <c r="J237" s="78">
        <f t="array" ref="J237">'deaths'!J83</f>
        <v/>
      </c>
      <c r="K237" s="78">
        <f t="array" ref="K237">'deaths'!K83</f>
        <v/>
      </c>
      <c r="L237" s="78" t="n"/>
    </row>
    <row r="238" ht="20.05" customHeight="1" s="215">
      <c r="A238" s="199">
        <f t="array" ref="A238">'deaths'!$A84</f>
        <v/>
      </c>
      <c r="B238" s="78" t="n"/>
      <c r="C238" s="78">
        <f t="array" ref="C238">'deaths'!C84</f>
        <v/>
      </c>
      <c r="D238" s="78">
        <f t="array" ref="D238">'deaths'!D84</f>
        <v/>
      </c>
      <c r="E238" s="78">
        <f t="array" ref="E238">'deaths'!E84</f>
        <v/>
      </c>
      <c r="F238" s="78">
        <f t="array" ref="F238">'deaths'!F84</f>
        <v/>
      </c>
      <c r="G238" s="78">
        <f t="array" ref="G238">'deaths'!G84</f>
        <v/>
      </c>
      <c r="H238" s="78">
        <f t="array" ref="H238">'deaths'!H84</f>
        <v/>
      </c>
      <c r="I238" s="78">
        <f t="array" ref="I238">'deaths'!I84</f>
        <v/>
      </c>
      <c r="J238" s="78">
        <f t="array" ref="J238">'deaths'!J84</f>
        <v/>
      </c>
      <c r="K238" s="78">
        <f t="array" ref="K238">'deaths'!K84</f>
        <v/>
      </c>
      <c r="L238" s="78" t="n"/>
    </row>
    <row r="239" ht="20.05" customHeight="1" s="215">
      <c r="A239" s="199">
        <f t="array" ref="A239">'deaths'!$A85</f>
        <v/>
      </c>
      <c r="B239" s="78" t="n"/>
      <c r="C239" s="78">
        <f t="array" ref="C239">'deaths'!C85</f>
        <v/>
      </c>
      <c r="D239" s="78">
        <f t="array" ref="D239">'deaths'!D85</f>
        <v/>
      </c>
      <c r="E239" s="78">
        <f t="array" ref="E239">'deaths'!E85</f>
        <v/>
      </c>
      <c r="F239" s="78">
        <f t="array" ref="F239">'deaths'!F85</f>
        <v/>
      </c>
      <c r="G239" s="78">
        <f t="array" ref="G239">'deaths'!G85</f>
        <v/>
      </c>
      <c r="H239" s="78">
        <f t="array" ref="H239">'deaths'!H85</f>
        <v/>
      </c>
      <c r="I239" s="78">
        <f t="array" ref="I239">'deaths'!I85</f>
        <v/>
      </c>
      <c r="J239" s="78">
        <f t="array" ref="J239">'deaths'!J85</f>
        <v/>
      </c>
      <c r="K239" s="78">
        <f t="array" ref="K239">'deaths'!K85</f>
        <v/>
      </c>
      <c r="L239" s="78" t="n"/>
    </row>
    <row r="240" ht="20.05" customHeight="1" s="215">
      <c r="A240" s="199">
        <f t="array" ref="A240">'deaths'!$A86</f>
        <v/>
      </c>
      <c r="B240" s="78" t="n"/>
      <c r="C240" s="78">
        <f t="array" ref="C240">'deaths'!C86</f>
        <v/>
      </c>
      <c r="D240" s="78">
        <f t="array" ref="D240">'deaths'!D86</f>
        <v/>
      </c>
      <c r="E240" s="78">
        <f t="array" ref="E240">'deaths'!E86</f>
        <v/>
      </c>
      <c r="F240" s="78">
        <f t="array" ref="F240">'deaths'!F86</f>
        <v/>
      </c>
      <c r="G240" s="78">
        <f t="array" ref="G240">'deaths'!G86</f>
        <v/>
      </c>
      <c r="H240" s="78">
        <f t="array" ref="H240">'deaths'!H86</f>
        <v/>
      </c>
      <c r="I240" s="78">
        <f t="array" ref="I240">'deaths'!I86</f>
        <v/>
      </c>
      <c r="J240" s="78">
        <f t="array" ref="J240">'deaths'!J86</f>
        <v/>
      </c>
      <c r="K240" s="78">
        <f t="array" ref="K240">'deaths'!K86</f>
        <v/>
      </c>
      <c r="L240" s="78" t="n"/>
    </row>
    <row r="241" ht="20.05" customHeight="1" s="215">
      <c r="A241" s="199">
        <f t="array" ref="A241">'deaths'!$A87</f>
        <v/>
      </c>
      <c r="B241" s="78" t="n"/>
      <c r="C241" s="78">
        <f t="array" ref="C241">'deaths'!C87</f>
        <v/>
      </c>
      <c r="D241" s="78">
        <f t="array" ref="D241">'deaths'!D87</f>
        <v/>
      </c>
      <c r="E241" s="78">
        <f t="array" ref="E241">'deaths'!E87</f>
        <v/>
      </c>
      <c r="F241" s="78">
        <f t="array" ref="F241">'deaths'!F87</f>
        <v/>
      </c>
      <c r="G241" s="78">
        <f t="array" ref="G241">'deaths'!G87</f>
        <v/>
      </c>
      <c r="H241" s="78">
        <f t="array" ref="H241">'deaths'!H87</f>
        <v/>
      </c>
      <c r="I241" s="78">
        <f t="array" ref="I241">'deaths'!I87</f>
        <v/>
      </c>
      <c r="J241" s="78">
        <f t="array" ref="J241">'deaths'!J87</f>
        <v/>
      </c>
      <c r="K241" s="78">
        <f t="array" ref="K241">'deaths'!K87</f>
        <v/>
      </c>
      <c r="L241" s="78" t="n"/>
    </row>
    <row r="242" ht="20.05" customHeight="1" s="215">
      <c r="A242" s="199">
        <f t="array" ref="A242">'deaths'!$A88</f>
        <v/>
      </c>
      <c r="B242" s="78" t="n"/>
      <c r="C242" s="78">
        <f t="array" ref="C242">'deaths'!C88</f>
        <v/>
      </c>
      <c r="D242" s="78">
        <f t="array" ref="D242">'deaths'!D88</f>
        <v/>
      </c>
      <c r="E242" s="78">
        <f t="array" ref="E242">'deaths'!E88</f>
        <v/>
      </c>
      <c r="F242" s="78">
        <f t="array" ref="F242">'deaths'!F88</f>
        <v/>
      </c>
      <c r="G242" s="78">
        <f t="array" ref="G242">'deaths'!G88</f>
        <v/>
      </c>
      <c r="H242" s="78">
        <f t="array" ref="H242">'deaths'!H88</f>
        <v/>
      </c>
      <c r="I242" s="78">
        <f t="array" ref="I242">'deaths'!I88</f>
        <v/>
      </c>
      <c r="J242" s="78">
        <f t="array" ref="J242">'deaths'!J88</f>
        <v/>
      </c>
      <c r="K242" s="78">
        <f t="array" ref="K242">'deaths'!K88</f>
        <v/>
      </c>
      <c r="L242" s="78" t="n"/>
    </row>
    <row r="243" ht="20.05" customHeight="1" s="215">
      <c r="A243" s="199">
        <f t="array" ref="A243">'deaths'!$A89</f>
        <v/>
      </c>
      <c r="B243" s="78" t="n"/>
      <c r="C243" s="78">
        <f t="array" ref="C243">'deaths'!C89</f>
        <v/>
      </c>
      <c r="D243" s="78">
        <f t="array" ref="D243">'deaths'!D89</f>
        <v/>
      </c>
      <c r="E243" s="78">
        <f t="array" ref="E243">'deaths'!E89</f>
        <v/>
      </c>
      <c r="F243" s="78">
        <f t="array" ref="F243">'deaths'!F89</f>
        <v/>
      </c>
      <c r="G243" s="78">
        <f t="array" ref="G243">'deaths'!G89</f>
        <v/>
      </c>
      <c r="H243" s="78">
        <f t="array" ref="H243">'deaths'!H89</f>
        <v/>
      </c>
      <c r="I243" s="78">
        <f t="array" ref="I243">'deaths'!I89</f>
        <v/>
      </c>
      <c r="J243" s="78">
        <f t="array" ref="J243">'deaths'!J89</f>
        <v/>
      </c>
      <c r="K243" s="78">
        <f t="array" ref="K243">'deaths'!K89</f>
        <v/>
      </c>
      <c r="L243" s="78" t="n"/>
    </row>
    <row r="244" ht="20.05" customHeight="1" s="215">
      <c r="A244" s="199">
        <f t="array" ref="A244">'deaths'!$A90</f>
        <v/>
      </c>
      <c r="B244" s="78" t="n"/>
      <c r="C244" s="78">
        <f t="array" ref="C244">'deaths'!C90</f>
        <v/>
      </c>
      <c r="D244" s="78">
        <f t="array" ref="D244">'deaths'!D90</f>
        <v/>
      </c>
      <c r="E244" s="78">
        <f t="array" ref="E244">'deaths'!E90</f>
        <v/>
      </c>
      <c r="F244" s="78">
        <f t="array" ref="F244">'deaths'!F90</f>
        <v/>
      </c>
      <c r="G244" s="78">
        <f t="array" ref="G244">'deaths'!G90</f>
        <v/>
      </c>
      <c r="H244" s="78">
        <f t="array" ref="H244">'deaths'!H90</f>
        <v/>
      </c>
      <c r="I244" s="78">
        <f t="array" ref="I244">'deaths'!I90</f>
        <v/>
      </c>
      <c r="J244" s="78">
        <f t="array" ref="J244">'deaths'!J90</f>
        <v/>
      </c>
      <c r="K244" s="78">
        <f t="array" ref="K244">'deaths'!K90</f>
        <v/>
      </c>
      <c r="L244" s="78" t="n"/>
    </row>
    <row r="245" ht="20.05" customHeight="1" s="215">
      <c r="A245" s="199">
        <f t="array" ref="A245">'deaths'!$A91</f>
        <v/>
      </c>
      <c r="B245" s="78" t="n"/>
      <c r="C245" s="78">
        <f t="array" ref="C245">'deaths'!C91</f>
        <v/>
      </c>
      <c r="D245" s="78">
        <f t="array" ref="D245">'deaths'!D91</f>
        <v/>
      </c>
      <c r="E245" s="78">
        <f t="array" ref="E245">'deaths'!E91</f>
        <v/>
      </c>
      <c r="F245" s="78">
        <f t="array" ref="F245">'deaths'!F91</f>
        <v/>
      </c>
      <c r="G245" s="78">
        <f t="array" ref="G245">'deaths'!G91</f>
        <v/>
      </c>
      <c r="H245" s="78">
        <f t="array" ref="H245">'deaths'!H91</f>
        <v/>
      </c>
      <c r="I245" s="78">
        <f t="array" ref="I245">'deaths'!I91</f>
        <v/>
      </c>
      <c r="J245" s="78">
        <f t="array" ref="J245">'deaths'!J91</f>
        <v/>
      </c>
      <c r="K245" s="78">
        <f t="array" ref="K245">'deaths'!K91</f>
        <v/>
      </c>
      <c r="L245" s="78" t="n"/>
    </row>
    <row r="246" ht="20.05" customHeight="1" s="215">
      <c r="A246" s="199">
        <f t="array" ref="A246">'deaths'!$A92</f>
        <v/>
      </c>
      <c r="B246" s="78" t="n"/>
      <c r="C246" s="78">
        <f t="array" ref="C246">'deaths'!C92</f>
        <v/>
      </c>
      <c r="D246" s="78">
        <f t="array" ref="D246">'deaths'!D92</f>
        <v/>
      </c>
      <c r="E246" s="78">
        <f t="array" ref="E246">'deaths'!E92</f>
        <v/>
      </c>
      <c r="F246" s="78">
        <f t="array" ref="F246">'deaths'!F92</f>
        <v/>
      </c>
      <c r="G246" s="78">
        <f t="array" ref="G246">'deaths'!G92</f>
        <v/>
      </c>
      <c r="H246" s="78">
        <f t="array" ref="H246">'deaths'!H92</f>
        <v/>
      </c>
      <c r="I246" s="78">
        <f t="array" ref="I246">'deaths'!I92</f>
        <v/>
      </c>
      <c r="J246" s="78">
        <f t="array" ref="J246">'deaths'!J92</f>
        <v/>
      </c>
      <c r="K246" s="78">
        <f t="array" ref="K246">'deaths'!K92</f>
        <v/>
      </c>
      <c r="L246" s="78" t="n"/>
    </row>
    <row r="247" ht="20.05" customHeight="1" s="215">
      <c r="A247" s="199">
        <f t="array" ref="A247">'deaths'!$A93</f>
        <v/>
      </c>
      <c r="B247" s="78" t="n"/>
      <c r="C247" s="78">
        <f t="array" ref="C247">'deaths'!C93</f>
        <v/>
      </c>
      <c r="D247" s="78">
        <f t="array" ref="D247">'deaths'!D93</f>
        <v/>
      </c>
      <c r="E247" s="78">
        <f t="array" ref="E247">'deaths'!E93</f>
        <v/>
      </c>
      <c r="F247" s="78">
        <f t="array" ref="F247">'deaths'!F93</f>
        <v/>
      </c>
      <c r="G247" s="78">
        <f t="array" ref="G247">'deaths'!G93</f>
        <v/>
      </c>
      <c r="H247" s="78">
        <f t="array" ref="H247">'deaths'!H93</f>
        <v/>
      </c>
      <c r="I247" s="78">
        <f t="array" ref="I247">'deaths'!I93</f>
        <v/>
      </c>
      <c r="J247" s="78">
        <f t="array" ref="J247">'deaths'!J93</f>
        <v/>
      </c>
      <c r="K247" s="78">
        <f t="array" ref="K247">'deaths'!K93</f>
        <v/>
      </c>
      <c r="L247" s="78" t="n"/>
    </row>
    <row r="248" ht="20.05" customHeight="1" s="215">
      <c r="A248" s="199">
        <f t="array" ref="A248">'deaths'!$A94</f>
        <v/>
      </c>
      <c r="B248" s="78" t="n"/>
      <c r="C248" s="78">
        <f t="array" ref="C248">'deaths'!C94</f>
        <v/>
      </c>
      <c r="D248" s="78">
        <f t="array" ref="D248">'deaths'!D94</f>
        <v/>
      </c>
      <c r="E248" s="78">
        <f t="array" ref="E248">'deaths'!E94</f>
        <v/>
      </c>
      <c r="F248" s="78">
        <f t="array" ref="F248">'deaths'!F94</f>
        <v/>
      </c>
      <c r="G248" s="78">
        <f t="array" ref="G248">'deaths'!G94</f>
        <v/>
      </c>
      <c r="H248" s="78">
        <f t="array" ref="H248">'deaths'!H94</f>
        <v/>
      </c>
      <c r="I248" s="78">
        <f t="array" ref="I248">'deaths'!I94</f>
        <v/>
      </c>
      <c r="J248" s="78">
        <f t="array" ref="J248">'deaths'!J94</f>
        <v/>
      </c>
      <c r="K248" s="78">
        <f t="array" ref="K248">'deaths'!K94</f>
        <v/>
      </c>
      <c r="L248" s="78" t="n"/>
    </row>
    <row r="249" ht="20.05" customHeight="1" s="215">
      <c r="A249" s="199">
        <f t="array" ref="A249">'deaths'!$A95</f>
        <v/>
      </c>
      <c r="B249" s="78" t="n"/>
      <c r="C249" s="78">
        <f t="array" ref="C249">'deaths'!C95</f>
        <v/>
      </c>
      <c r="D249" s="78">
        <f t="array" ref="D249">'deaths'!D95</f>
        <v/>
      </c>
      <c r="E249" s="78">
        <f t="array" ref="E249">'deaths'!E95</f>
        <v/>
      </c>
      <c r="F249" s="78">
        <f t="array" ref="F249">'deaths'!F95</f>
        <v/>
      </c>
      <c r="G249" s="78">
        <f t="array" ref="G249">'deaths'!G95</f>
        <v/>
      </c>
      <c r="H249" s="78">
        <f t="array" ref="H249">'deaths'!H95</f>
        <v/>
      </c>
      <c r="I249" s="78">
        <f t="array" ref="I249">'deaths'!I95</f>
        <v/>
      </c>
      <c r="J249" s="78">
        <f t="array" ref="J249">'deaths'!J95</f>
        <v/>
      </c>
      <c r="K249" s="78">
        <f t="array" ref="K249">'deaths'!K95</f>
        <v/>
      </c>
      <c r="L249" s="78" t="n"/>
    </row>
    <row r="250" ht="20.05" customHeight="1" s="215">
      <c r="A250" s="199">
        <f t="array" ref="A250">'deaths'!$A96</f>
        <v/>
      </c>
      <c r="B250" s="78" t="n"/>
      <c r="C250" s="78">
        <f t="array" ref="C250">'deaths'!C96</f>
        <v/>
      </c>
      <c r="D250" s="78">
        <f t="array" ref="D250">'deaths'!D96</f>
        <v/>
      </c>
      <c r="E250" s="78">
        <f t="array" ref="E250">'deaths'!E96</f>
        <v/>
      </c>
      <c r="F250" s="78">
        <f t="array" ref="F250">'deaths'!F96</f>
        <v/>
      </c>
      <c r="G250" s="78">
        <f t="array" ref="G250">'deaths'!G96</f>
        <v/>
      </c>
      <c r="H250" s="78">
        <f t="array" ref="H250">'deaths'!H96</f>
        <v/>
      </c>
      <c r="I250" s="78">
        <f t="array" ref="I250">'deaths'!I96</f>
        <v/>
      </c>
      <c r="J250" s="78">
        <f t="array" ref="J250">'deaths'!J96</f>
        <v/>
      </c>
      <c r="K250" s="78">
        <f t="array" ref="K250">'deaths'!K96</f>
        <v/>
      </c>
      <c r="L250" s="78" t="n"/>
    </row>
    <row r="251" ht="20.05" customHeight="1" s="215">
      <c r="A251" s="199">
        <f t="array" ref="A251">'deaths'!$A97</f>
        <v/>
      </c>
      <c r="B251" s="78" t="n"/>
      <c r="C251" s="78">
        <f t="array" ref="C251">'deaths'!C97</f>
        <v/>
      </c>
      <c r="D251" s="78">
        <f t="array" ref="D251">'deaths'!D97</f>
        <v/>
      </c>
      <c r="E251" s="78">
        <f t="array" ref="E251">'deaths'!E97</f>
        <v/>
      </c>
      <c r="F251" s="78">
        <f t="array" ref="F251">'deaths'!F97</f>
        <v/>
      </c>
      <c r="G251" s="78">
        <f t="array" ref="G251">'deaths'!G97</f>
        <v/>
      </c>
      <c r="H251" s="78">
        <f t="array" ref="H251">'deaths'!H97</f>
        <v/>
      </c>
      <c r="I251" s="78">
        <f t="array" ref="I251">'deaths'!I97</f>
        <v/>
      </c>
      <c r="J251" s="78">
        <f t="array" ref="J251">'deaths'!J97</f>
        <v/>
      </c>
      <c r="K251" s="78">
        <f t="array" ref="K251">'deaths'!K97</f>
        <v/>
      </c>
      <c r="L251" s="78" t="n"/>
    </row>
    <row r="252" ht="20.05" customHeight="1" s="215">
      <c r="A252" s="199">
        <f t="array" ref="A252">'deaths'!$A98</f>
        <v/>
      </c>
      <c r="B252" s="78" t="n"/>
      <c r="C252" s="78">
        <f t="array" ref="C252">'deaths'!C98</f>
        <v/>
      </c>
      <c r="D252" s="78">
        <f t="array" ref="D252">'deaths'!D98</f>
        <v/>
      </c>
      <c r="E252" s="78">
        <f t="array" ref="E252">'deaths'!E98</f>
        <v/>
      </c>
      <c r="F252" s="78">
        <f t="array" ref="F252">'deaths'!F98</f>
        <v/>
      </c>
      <c r="G252" s="78">
        <f t="array" ref="G252">'deaths'!G98</f>
        <v/>
      </c>
      <c r="H252" s="78">
        <f t="array" ref="H252">'deaths'!H98</f>
        <v/>
      </c>
      <c r="I252" s="78">
        <f t="array" ref="I252">'deaths'!I98</f>
        <v/>
      </c>
      <c r="J252" s="78">
        <f t="array" ref="J252">'deaths'!J98</f>
        <v/>
      </c>
      <c r="K252" s="78">
        <f t="array" ref="K252">'deaths'!K98</f>
        <v/>
      </c>
      <c r="L252" s="78" t="n"/>
    </row>
    <row r="253" ht="20.05" customHeight="1" s="215">
      <c r="A253" s="199">
        <f t="array" ref="A253">'deaths'!$A99</f>
        <v/>
      </c>
      <c r="B253" s="78" t="n"/>
      <c r="C253" s="78">
        <f t="array" ref="C253">'deaths'!C99</f>
        <v/>
      </c>
      <c r="D253" s="78">
        <f t="array" ref="D253">'deaths'!D99</f>
        <v/>
      </c>
      <c r="E253" s="78">
        <f t="array" ref="E253">'deaths'!E99</f>
        <v/>
      </c>
      <c r="F253" s="78">
        <f t="array" ref="F253">'deaths'!F99</f>
        <v/>
      </c>
      <c r="G253" s="78">
        <f t="array" ref="G253">'deaths'!G99</f>
        <v/>
      </c>
      <c r="H253" s="78">
        <f t="array" ref="H253">'deaths'!H99</f>
        <v/>
      </c>
      <c r="I253" s="78">
        <f t="array" ref="I253">'deaths'!I99</f>
        <v/>
      </c>
      <c r="J253" s="78">
        <f t="array" ref="J253">'deaths'!J99</f>
        <v/>
      </c>
      <c r="K253" s="78">
        <f t="array" ref="K253">'deaths'!K99</f>
        <v/>
      </c>
      <c r="L253" s="78" t="n"/>
    </row>
    <row r="254" ht="20.05" customHeight="1" s="215">
      <c r="A254" s="199">
        <f t="array" ref="A254">'deaths'!$A100</f>
        <v/>
      </c>
      <c r="B254" s="78" t="n"/>
      <c r="C254" s="78">
        <f t="array" ref="C254">'deaths'!C100</f>
        <v/>
      </c>
      <c r="D254" s="78">
        <f t="array" ref="D254">'deaths'!D100</f>
        <v/>
      </c>
      <c r="E254" s="78">
        <f t="array" ref="E254">'deaths'!E100</f>
        <v/>
      </c>
      <c r="F254" s="78">
        <f t="array" ref="F254">'deaths'!F100</f>
        <v/>
      </c>
      <c r="G254" s="78">
        <f t="array" ref="G254">'deaths'!G100</f>
        <v/>
      </c>
      <c r="H254" s="78">
        <f t="array" ref="H254">'deaths'!H100</f>
        <v/>
      </c>
      <c r="I254" s="78">
        <f t="array" ref="I254">'deaths'!I100</f>
        <v/>
      </c>
      <c r="J254" s="78">
        <f t="array" ref="J254">'deaths'!J100</f>
        <v/>
      </c>
      <c r="K254" s="78">
        <f t="array" ref="K254">'deaths'!K100</f>
        <v/>
      </c>
      <c r="L254" s="78" t="n"/>
    </row>
    <row r="255" ht="20.05" customHeight="1" s="215">
      <c r="A255" s="199">
        <f t="array" ref="A255">'deaths'!$A101</f>
        <v/>
      </c>
      <c r="B255" s="78" t="n"/>
      <c r="C255" s="78">
        <f t="array" ref="C255">'deaths'!C101</f>
        <v/>
      </c>
      <c r="D255" s="78">
        <f t="array" ref="D255">'deaths'!D101</f>
        <v/>
      </c>
      <c r="E255" s="78">
        <f t="array" ref="E255">'deaths'!E101</f>
        <v/>
      </c>
      <c r="F255" s="78">
        <f t="array" ref="F255">'deaths'!F101</f>
        <v/>
      </c>
      <c r="G255" s="78">
        <f t="array" ref="G255">'deaths'!G101</f>
        <v/>
      </c>
      <c r="H255" s="78">
        <f t="array" ref="H255">'deaths'!H101</f>
        <v/>
      </c>
      <c r="I255" s="78">
        <f t="array" ref="I255">'deaths'!I101</f>
        <v/>
      </c>
      <c r="J255" s="78">
        <f t="array" ref="J255">'deaths'!J101</f>
        <v/>
      </c>
      <c r="K255" s="78">
        <f t="array" ref="K255">'deaths'!K101</f>
        <v/>
      </c>
      <c r="L255" s="78" t="n"/>
    </row>
    <row r="256" ht="20.05" customHeight="1" s="215">
      <c r="A256" s="199">
        <f t="array" ref="A256">'deaths'!$A102</f>
        <v/>
      </c>
      <c r="B256" s="78" t="n"/>
      <c r="C256" s="78">
        <f t="array" ref="C256">'deaths'!C102</f>
        <v/>
      </c>
      <c r="D256" s="78">
        <f t="array" ref="D256">'deaths'!D102</f>
        <v/>
      </c>
      <c r="E256" s="78">
        <f t="array" ref="E256">'deaths'!E102</f>
        <v/>
      </c>
      <c r="F256" s="78">
        <f t="array" ref="F256">'deaths'!F102</f>
        <v/>
      </c>
      <c r="G256" s="78">
        <f t="array" ref="G256">'deaths'!G102</f>
        <v/>
      </c>
      <c r="H256" s="78">
        <f t="array" ref="H256">'deaths'!H102</f>
        <v/>
      </c>
      <c r="I256" s="78">
        <f t="array" ref="I256">'deaths'!I102</f>
        <v/>
      </c>
      <c r="J256" s="78">
        <f t="array" ref="J256">'deaths'!J102</f>
        <v/>
      </c>
      <c r="K256" s="78">
        <f t="array" ref="K256">'deaths'!K102</f>
        <v/>
      </c>
      <c r="L256" s="78" t="n"/>
    </row>
    <row r="257" ht="20.05" customHeight="1" s="215">
      <c r="A257" s="199">
        <f t="array" ref="A257">'deaths'!$A103</f>
        <v/>
      </c>
      <c r="B257" s="78" t="n"/>
      <c r="C257" s="78">
        <f t="array" ref="C257">'deaths'!C103</f>
        <v/>
      </c>
      <c r="D257" s="78">
        <f t="array" ref="D257">'deaths'!D103</f>
        <v/>
      </c>
      <c r="E257" s="78">
        <f t="array" ref="E257">'deaths'!E103</f>
        <v/>
      </c>
      <c r="F257" s="78">
        <f t="array" ref="F257">'deaths'!F103</f>
        <v/>
      </c>
      <c r="G257" s="78">
        <f t="array" ref="G257">'deaths'!G103</f>
        <v/>
      </c>
      <c r="H257" s="78">
        <f t="array" ref="H257">'deaths'!H103</f>
        <v/>
      </c>
      <c r="I257" s="78">
        <f t="array" ref="I257">'deaths'!I103</f>
        <v/>
      </c>
      <c r="J257" s="78">
        <f t="array" ref="J257">'deaths'!J103</f>
        <v/>
      </c>
      <c r="K257" s="78">
        <f t="array" ref="K257">'deaths'!K103</f>
        <v/>
      </c>
      <c r="L257" s="78" t="n"/>
    </row>
    <row r="258" ht="20.05" customHeight="1" s="215">
      <c r="A258" s="199">
        <f t="array" ref="A258">'deaths'!$A104</f>
        <v/>
      </c>
      <c r="B258" s="78" t="n"/>
      <c r="C258" s="78">
        <f t="array" ref="C258">'deaths'!C104</f>
        <v/>
      </c>
      <c r="D258" s="78">
        <f t="array" ref="D258">'deaths'!D104</f>
        <v/>
      </c>
      <c r="E258" s="78">
        <f t="array" ref="E258">'deaths'!E104</f>
        <v/>
      </c>
      <c r="F258" s="78">
        <f t="array" ref="F258">'deaths'!F104</f>
        <v/>
      </c>
      <c r="G258" s="78">
        <f t="array" ref="G258">'deaths'!G104</f>
        <v/>
      </c>
      <c r="H258" s="78">
        <f t="array" ref="H258">'deaths'!H104</f>
        <v/>
      </c>
      <c r="I258" s="78">
        <f t="array" ref="I258">'deaths'!I104</f>
        <v/>
      </c>
      <c r="J258" s="78">
        <f t="array" ref="J258">'deaths'!J104</f>
        <v/>
      </c>
      <c r="K258" s="78">
        <f t="array" ref="K258">'deaths'!K104</f>
        <v/>
      </c>
      <c r="L258" s="78" t="n"/>
    </row>
    <row r="259" ht="20.05" customHeight="1" s="215">
      <c r="A259" s="199">
        <f t="array" ref="A259">'deaths'!$A105</f>
        <v/>
      </c>
      <c r="B259" s="78" t="n"/>
      <c r="C259" s="78">
        <f t="array" ref="C259">'deaths'!C105</f>
        <v/>
      </c>
      <c r="D259" s="78">
        <f t="array" ref="D259">'deaths'!D105</f>
        <v/>
      </c>
      <c r="E259" s="78">
        <f t="array" ref="E259">'deaths'!E105</f>
        <v/>
      </c>
      <c r="F259" s="78">
        <f t="array" ref="F259">'deaths'!F105</f>
        <v/>
      </c>
      <c r="G259" s="78">
        <f t="array" ref="G259">'deaths'!G105</f>
        <v/>
      </c>
      <c r="H259" s="78">
        <f t="array" ref="H259">'deaths'!H105</f>
        <v/>
      </c>
      <c r="I259" s="78">
        <f t="array" ref="I259">'deaths'!I105</f>
        <v/>
      </c>
      <c r="J259" s="78">
        <f t="array" ref="J259">'deaths'!J105</f>
        <v/>
      </c>
      <c r="K259" s="78">
        <f t="array" ref="K259">'deaths'!K105</f>
        <v/>
      </c>
      <c r="L259" s="78" t="n"/>
    </row>
    <row r="260" ht="20.05" customHeight="1" s="215">
      <c r="A260" s="199">
        <f t="array" ref="A260">'deaths'!$A106</f>
        <v/>
      </c>
      <c r="B260" s="78" t="n"/>
      <c r="C260" s="78">
        <f t="array" ref="C260">'deaths'!C106</f>
        <v/>
      </c>
      <c r="D260" s="78">
        <f t="array" ref="D260">'deaths'!D106</f>
        <v/>
      </c>
      <c r="E260" s="78">
        <f t="array" ref="E260">'deaths'!E106</f>
        <v/>
      </c>
      <c r="F260" s="78">
        <f t="array" ref="F260">'deaths'!F106</f>
        <v/>
      </c>
      <c r="G260" s="78">
        <f t="array" ref="G260">'deaths'!G106</f>
        <v/>
      </c>
      <c r="H260" s="78">
        <f t="array" ref="H260">'deaths'!H106</f>
        <v/>
      </c>
      <c r="I260" s="78">
        <f t="array" ref="I260">'deaths'!I106</f>
        <v/>
      </c>
      <c r="J260" s="78">
        <f t="array" ref="J260">'deaths'!J106</f>
        <v/>
      </c>
      <c r="K260" s="78">
        <f t="array" ref="K260">'deaths'!K106</f>
        <v/>
      </c>
      <c r="L260" s="78" t="n"/>
    </row>
    <row r="261" ht="20.05" customHeight="1" s="215">
      <c r="A261" s="204">
        <f t="array" ref="A261">'deaths'!$A107</f>
        <v/>
      </c>
      <c r="B261" s="150" t="n"/>
      <c r="C261" s="150">
        <f t="array" ref="C261">'deaths'!C107</f>
        <v/>
      </c>
      <c r="D261" s="78">
        <f t="array" ref="D261">'deaths'!D107</f>
        <v/>
      </c>
      <c r="E261" s="78">
        <f t="array" ref="E261">'deaths'!E107</f>
        <v/>
      </c>
      <c r="F261" s="78">
        <f t="array" ref="F261">'deaths'!F107</f>
        <v/>
      </c>
      <c r="G261" s="78">
        <f t="array" ref="G261">'deaths'!G107</f>
        <v/>
      </c>
      <c r="H261" s="78">
        <f t="array" ref="H261">'deaths'!H107</f>
        <v/>
      </c>
      <c r="I261" s="78">
        <f t="array" ref="I261">'deaths'!I107</f>
        <v/>
      </c>
      <c r="J261" s="78">
        <f t="array" ref="J261">'deaths'!J107</f>
        <v/>
      </c>
      <c r="K261" s="78">
        <f t="array" ref="K261">'deaths'!K107</f>
        <v/>
      </c>
      <c r="L261" s="78" t="n"/>
    </row>
    <row r="262" ht="44.05" customHeight="1" s="215">
      <c r="A262" s="205">
        <f t="array" ref="A262">'deaths'!$A109</f>
        <v/>
      </c>
      <c r="B262" s="206" t="n"/>
      <c r="C262" s="183">
        <f t="array" ref="C262">'deaths'!C109</f>
        <v/>
      </c>
      <c r="D262" s="78" t="n"/>
      <c r="E262" s="78" t="n"/>
      <c r="F262" s="78" t="n"/>
      <c r="G262" s="78" t="n"/>
      <c r="H262" s="78" t="n"/>
      <c r="I262" s="78" t="n"/>
      <c r="J262" s="78" t="n"/>
      <c r="K262" s="78" t="n"/>
      <c r="L262" s="78" t="n"/>
    </row>
    <row r="263" ht="20.05" customHeight="1" s="215">
      <c r="A263" s="208" t="n"/>
      <c r="B263" s="209" t="n"/>
      <c r="C263" s="209" t="n"/>
      <c r="D263" s="78" t="n"/>
      <c r="E263" s="78" t="n"/>
      <c r="F263" s="78" t="n"/>
      <c r="G263" s="78" t="n"/>
      <c r="H263" s="78" t="n"/>
      <c r="I263" s="78" t="n"/>
      <c r="J263" s="78" t="n"/>
      <c r="K263" s="78" t="n"/>
      <c r="L263" s="78" t="n"/>
    </row>
    <row r="264" ht="26.85" customHeight="1" s="215">
      <c r="A264" s="30" t="n"/>
      <c r="B264" s="31" t="inlineStr">
        <is>
          <t>Migration balance</t>
        </is>
      </c>
      <c r="C264" s="32" t="n"/>
      <c r="D264" s="218" t="n"/>
      <c r="E264" s="218" t="n"/>
      <c r="F264" s="218" t="n"/>
      <c r="G264" s="218" t="n"/>
      <c r="H264" s="218" t="n"/>
      <c r="I264" s="218" t="n"/>
      <c r="J264" s="218" t="n"/>
      <c r="K264" s="218" t="n"/>
      <c r="L264" s="33" t="n"/>
    </row>
    <row r="265" ht="20.05" customHeight="1" s="215">
      <c r="A265" s="199">
        <f t="array" ref="A265">'migration'!$A9</f>
        <v/>
      </c>
      <c r="B265" s="78" t="n"/>
      <c r="C265" s="78">
        <f t="array" ref="C265">'migration'!C9</f>
        <v/>
      </c>
      <c r="D265" s="78">
        <f t="array" ref="D265">'migration'!D9</f>
        <v/>
      </c>
      <c r="E265" s="78">
        <f t="array" ref="E265">'migration'!E9</f>
        <v/>
      </c>
      <c r="F265" s="78">
        <f t="array" ref="F265">'migration'!F9</f>
        <v/>
      </c>
      <c r="G265" s="78">
        <f t="array" ref="G265">'migration'!G9</f>
        <v/>
      </c>
      <c r="H265" s="78">
        <f t="array" ref="H265">'migration'!H9</f>
        <v/>
      </c>
      <c r="I265" s="78">
        <f t="array" ref="I265">'migration'!I9</f>
        <v/>
      </c>
      <c r="J265" s="78">
        <f t="array" ref="J265">'migration'!J9</f>
        <v/>
      </c>
      <c r="K265" s="78">
        <f t="array" ref="K265">'migration'!K9</f>
        <v/>
      </c>
      <c r="L265" s="78" t="n"/>
    </row>
    <row r="266" ht="20.05" customHeight="1" s="215">
      <c r="A266" s="199">
        <f t="array" ref="A266">'migration'!$A11</f>
        <v/>
      </c>
      <c r="B266" s="78" t="n"/>
      <c r="C266" s="78">
        <f t="array" ref="C266">'migration'!C11</f>
        <v/>
      </c>
      <c r="D266" s="78">
        <f t="array" ref="D266">'migration'!D11</f>
        <v/>
      </c>
      <c r="E266" s="78">
        <f t="array" ref="E266">'migration'!E11</f>
        <v/>
      </c>
      <c r="F266" s="78">
        <f t="array" ref="F266">'migration'!F11</f>
        <v/>
      </c>
      <c r="G266" s="78">
        <f t="array" ref="G266">'migration'!G11</f>
        <v/>
      </c>
      <c r="H266" s="78">
        <f t="array" ref="H266">'migration'!H11</f>
        <v/>
      </c>
      <c r="I266" s="78">
        <f t="array" ref="I266">'migration'!I11</f>
        <v/>
      </c>
      <c r="J266" s="78">
        <f t="array" ref="J266">'migration'!J11</f>
        <v/>
      </c>
      <c r="K266" s="78">
        <f t="array" ref="K266">'migration'!K11</f>
        <v/>
      </c>
      <c r="L266" s="78" t="n"/>
    </row>
    <row r="267" ht="20.05" customHeight="1" s="215">
      <c r="A267" s="199">
        <f t="array" ref="A267">'migration'!$A12</f>
        <v/>
      </c>
      <c r="B267" s="78" t="n"/>
      <c r="C267" s="78">
        <f t="array" ref="C267">'migration'!C12</f>
        <v/>
      </c>
      <c r="D267" s="78">
        <f t="array" ref="D267">'migration'!D12</f>
        <v/>
      </c>
      <c r="E267" s="78">
        <f t="array" ref="E267">'migration'!E12</f>
        <v/>
      </c>
      <c r="F267" s="78">
        <f t="array" ref="F267">'migration'!F12</f>
        <v/>
      </c>
      <c r="G267" s="78">
        <f t="array" ref="G267">'migration'!G12</f>
        <v/>
      </c>
      <c r="H267" s="78">
        <f t="array" ref="H267">'migration'!H12</f>
        <v/>
      </c>
      <c r="I267" s="78">
        <f t="array" ref="I267">'migration'!I12</f>
        <v/>
      </c>
      <c r="J267" s="78">
        <f t="array" ref="J267">'migration'!J12</f>
        <v/>
      </c>
      <c r="K267" s="78">
        <f t="array" ref="K267">'migration'!K12</f>
        <v/>
      </c>
      <c r="L267" s="78" t="n"/>
    </row>
    <row r="268" ht="20.05" customHeight="1" s="215">
      <c r="A268" s="199">
        <f t="array" ref="A268">'migration'!$A13</f>
        <v/>
      </c>
      <c r="B268" s="78" t="n"/>
      <c r="C268" s="78">
        <f t="array" ref="C268">'migration'!C13</f>
        <v/>
      </c>
      <c r="D268" s="78">
        <f t="array" ref="D268">'migration'!D13</f>
        <v/>
      </c>
      <c r="E268" s="78">
        <f t="array" ref="E268">'migration'!E13</f>
        <v/>
      </c>
      <c r="F268" s="78">
        <f t="array" ref="F268">'migration'!F13</f>
        <v/>
      </c>
      <c r="G268" s="78">
        <f t="array" ref="G268">'migration'!G13</f>
        <v/>
      </c>
      <c r="H268" s="78">
        <f t="array" ref="H268">'migration'!H13</f>
        <v/>
      </c>
      <c r="I268" s="78">
        <f t="array" ref="I268">'migration'!I13</f>
        <v/>
      </c>
      <c r="J268" s="78">
        <f t="array" ref="J268">'migration'!J13</f>
        <v/>
      </c>
      <c r="K268" s="78">
        <f t="array" ref="K268">'migration'!K13</f>
        <v/>
      </c>
      <c r="L268" s="78" t="n"/>
    </row>
    <row r="269" ht="20.05" customHeight="1" s="215">
      <c r="A269" s="199">
        <f t="array" ref="A269">'migration'!$A14</f>
        <v/>
      </c>
      <c r="B269" s="78" t="n"/>
      <c r="C269" s="78">
        <f t="array" ref="C269">'migration'!C14</f>
        <v/>
      </c>
      <c r="D269" s="78">
        <f t="array" ref="D269">'migration'!D14</f>
        <v/>
      </c>
      <c r="E269" s="78">
        <f t="array" ref="E269">'migration'!E14</f>
        <v/>
      </c>
      <c r="F269" s="78">
        <f t="array" ref="F269">'migration'!F14</f>
        <v/>
      </c>
      <c r="G269" s="78">
        <f t="array" ref="G269">'migration'!G14</f>
        <v/>
      </c>
      <c r="H269" s="78">
        <f t="array" ref="H269">'migration'!H14</f>
        <v/>
      </c>
      <c r="I269" s="78">
        <f t="array" ref="I269">'migration'!I14</f>
        <v/>
      </c>
      <c r="J269" s="78">
        <f t="array" ref="J269">'migration'!J14</f>
        <v/>
      </c>
      <c r="K269" s="78">
        <f t="array" ref="K269">'migration'!K14</f>
        <v/>
      </c>
      <c r="L269" s="78" t="n"/>
    </row>
    <row r="270" ht="20.05" customHeight="1" s="215">
      <c r="A270" s="199">
        <f t="array" ref="A270">'migration'!$A15</f>
        <v/>
      </c>
      <c r="B270" s="78" t="n"/>
      <c r="C270" s="78">
        <f t="array" ref="C270">'migration'!C15</f>
        <v/>
      </c>
      <c r="D270" s="78">
        <f t="array" ref="D270">'migration'!D15</f>
        <v/>
      </c>
      <c r="E270" s="78">
        <f t="array" ref="E270">'migration'!E15</f>
        <v/>
      </c>
      <c r="F270" s="78">
        <f t="array" ref="F270">'migration'!F15</f>
        <v/>
      </c>
      <c r="G270" s="78">
        <f t="array" ref="G270">'migration'!G15</f>
        <v/>
      </c>
      <c r="H270" s="78">
        <f t="array" ref="H270">'migration'!H15</f>
        <v/>
      </c>
      <c r="I270" s="78">
        <f t="array" ref="I270">'migration'!I15</f>
        <v/>
      </c>
      <c r="J270" s="78">
        <f t="array" ref="J270">'migration'!J15</f>
        <v/>
      </c>
      <c r="K270" s="78">
        <f t="array" ref="K270">'migration'!K15</f>
        <v/>
      </c>
      <c r="L270" s="78" t="n"/>
    </row>
    <row r="271" ht="20.05" customHeight="1" s="215">
      <c r="A271" s="199">
        <f t="array" ref="A271">'migration'!$A16</f>
        <v/>
      </c>
      <c r="B271" s="78" t="n"/>
      <c r="C271" s="78">
        <f t="array" ref="C271">'migration'!C16</f>
        <v/>
      </c>
      <c r="D271" s="78">
        <f t="array" ref="D271">'migration'!D16</f>
        <v/>
      </c>
      <c r="E271" s="78">
        <f t="array" ref="E271">'migration'!E16</f>
        <v/>
      </c>
      <c r="F271" s="78">
        <f t="array" ref="F271">'migration'!F16</f>
        <v/>
      </c>
      <c r="G271" s="78">
        <f t="array" ref="G271">'migration'!G16</f>
        <v/>
      </c>
      <c r="H271" s="78">
        <f t="array" ref="H271">'migration'!H16</f>
        <v/>
      </c>
      <c r="I271" s="78">
        <f t="array" ref="I271">'migration'!I16</f>
        <v/>
      </c>
      <c r="J271" s="78">
        <f t="array" ref="J271">'migration'!J16</f>
        <v/>
      </c>
      <c r="K271" s="78">
        <f t="array" ref="K271">'migration'!K16</f>
        <v/>
      </c>
      <c r="L271" s="78" t="n"/>
    </row>
    <row r="272" ht="20.05" customHeight="1" s="215">
      <c r="A272" s="199">
        <f t="array" ref="A272">'migration'!$A17</f>
        <v/>
      </c>
      <c r="B272" s="78" t="n"/>
      <c r="C272" s="78">
        <f t="array" ref="C272">'migration'!C17</f>
        <v/>
      </c>
      <c r="D272" s="78">
        <f t="array" ref="D272">'migration'!D17</f>
        <v/>
      </c>
      <c r="E272" s="78">
        <f t="array" ref="E272">'migration'!E17</f>
        <v/>
      </c>
      <c r="F272" s="78">
        <f t="array" ref="F272">'migration'!F17</f>
        <v/>
      </c>
      <c r="G272" s="78">
        <f t="array" ref="G272">'migration'!G17</f>
        <v/>
      </c>
      <c r="H272" s="78">
        <f t="array" ref="H272">'migration'!H17</f>
        <v/>
      </c>
      <c r="I272" s="78">
        <f t="array" ref="I272">'migration'!I17</f>
        <v/>
      </c>
      <c r="J272" s="78">
        <f t="array" ref="J272">'migration'!J17</f>
        <v/>
      </c>
      <c r="K272" s="78">
        <f t="array" ref="K272">'migration'!K17</f>
        <v/>
      </c>
      <c r="L272" s="78" t="n"/>
    </row>
    <row r="273" ht="20.05" customHeight="1" s="215">
      <c r="A273" s="199">
        <f t="array" ref="A273">'migration'!$A18</f>
        <v/>
      </c>
      <c r="B273" s="78" t="n"/>
      <c r="C273" s="78">
        <f t="array" ref="C273">'migration'!C18</f>
        <v/>
      </c>
      <c r="D273" s="78">
        <f t="array" ref="D273">'migration'!D18</f>
        <v/>
      </c>
      <c r="E273" s="78">
        <f t="array" ref="E273">'migration'!E18</f>
        <v/>
      </c>
      <c r="F273" s="78">
        <f t="array" ref="F273">'migration'!F18</f>
        <v/>
      </c>
      <c r="G273" s="78">
        <f t="array" ref="G273">'migration'!G18</f>
        <v/>
      </c>
      <c r="H273" s="78">
        <f t="array" ref="H273">'migration'!H18</f>
        <v/>
      </c>
      <c r="I273" s="78">
        <f t="array" ref="I273">'migration'!I18</f>
        <v/>
      </c>
      <c r="J273" s="78">
        <f t="array" ref="J273">'migration'!J18</f>
        <v/>
      </c>
      <c r="K273" s="78">
        <f t="array" ref="K273">'migration'!K18</f>
        <v/>
      </c>
      <c r="L273" s="78" t="n"/>
    </row>
    <row r="274" ht="20.05" customHeight="1" s="215">
      <c r="A274" s="199">
        <f t="array" ref="A274">'migration'!$A19</f>
        <v/>
      </c>
      <c r="B274" s="78" t="n"/>
      <c r="C274" s="78">
        <f t="array" ref="C274">'migration'!C19</f>
        <v/>
      </c>
      <c r="D274" s="78">
        <f t="array" ref="D274">'migration'!D19</f>
        <v/>
      </c>
      <c r="E274" s="78">
        <f t="array" ref="E274">'migration'!E19</f>
        <v/>
      </c>
      <c r="F274" s="78">
        <f t="array" ref="F274">'migration'!F19</f>
        <v/>
      </c>
      <c r="G274" s="78">
        <f t="array" ref="G274">'migration'!G19</f>
        <v/>
      </c>
      <c r="H274" s="78">
        <f t="array" ref="H274">'migration'!H19</f>
        <v/>
      </c>
      <c r="I274" s="78">
        <f t="array" ref="I274">'migration'!I19</f>
        <v/>
      </c>
      <c r="J274" s="78">
        <f t="array" ref="J274">'migration'!J19</f>
        <v/>
      </c>
      <c r="K274" s="78">
        <f t="array" ref="K274">'migration'!K19</f>
        <v/>
      </c>
      <c r="L274" s="78" t="n"/>
    </row>
    <row r="275" ht="20.05" customHeight="1" s="215">
      <c r="A275" s="199">
        <f t="array" ref="A275">'migration'!$A20</f>
        <v/>
      </c>
      <c r="B275" s="78" t="n"/>
      <c r="C275" s="78">
        <f t="array" ref="C275">'migration'!C20</f>
        <v/>
      </c>
      <c r="D275" s="78">
        <f t="array" ref="D275">'migration'!D20</f>
        <v/>
      </c>
      <c r="E275" s="78">
        <f t="array" ref="E275">'migration'!E20</f>
        <v/>
      </c>
      <c r="F275" s="78">
        <f t="array" ref="F275">'migration'!F20</f>
        <v/>
      </c>
      <c r="G275" s="78">
        <f t="array" ref="G275">'migration'!G20</f>
        <v/>
      </c>
      <c r="H275" s="78">
        <f t="array" ref="H275">'migration'!H20</f>
        <v/>
      </c>
      <c r="I275" s="78">
        <f t="array" ref="I275">'migration'!I20</f>
        <v/>
      </c>
      <c r="J275" s="78">
        <f t="array" ref="J275">'migration'!J20</f>
        <v/>
      </c>
      <c r="K275" s="78">
        <f t="array" ref="K275">'migration'!K20</f>
        <v/>
      </c>
      <c r="L275" s="78" t="n"/>
    </row>
    <row r="276" ht="20.05" customHeight="1" s="215">
      <c r="A276" s="199">
        <f t="array" ref="A276">'migration'!$A21</f>
        <v/>
      </c>
      <c r="B276" s="78" t="n"/>
      <c r="C276" s="78">
        <f t="array" ref="C276">'migration'!C21</f>
        <v/>
      </c>
      <c r="D276" s="78">
        <f t="array" ref="D276">'migration'!D21</f>
        <v/>
      </c>
      <c r="E276" s="78">
        <f t="array" ref="E276">'migration'!E21</f>
        <v/>
      </c>
      <c r="F276" s="78">
        <f t="array" ref="F276">'migration'!F21</f>
        <v/>
      </c>
      <c r="G276" s="78">
        <f t="array" ref="G276">'migration'!G21</f>
        <v/>
      </c>
      <c r="H276" s="78">
        <f t="array" ref="H276">'migration'!H21</f>
        <v/>
      </c>
      <c r="I276" s="78">
        <f t="array" ref="I276">'migration'!I21</f>
        <v/>
      </c>
      <c r="J276" s="78">
        <f t="array" ref="J276">'migration'!J21</f>
        <v/>
      </c>
      <c r="K276" s="78">
        <f t="array" ref="K276">'migration'!K21</f>
        <v/>
      </c>
      <c r="L276" s="78" t="n"/>
    </row>
    <row r="277" ht="20.05" customHeight="1" s="215">
      <c r="A277" s="199">
        <f t="array" ref="A277">'migration'!$A22</f>
        <v/>
      </c>
      <c r="B277" s="78" t="n"/>
      <c r="C277" s="78">
        <f t="array" ref="C277">'migration'!C22</f>
        <v/>
      </c>
      <c r="D277" s="78">
        <f t="array" ref="D277">'migration'!D22</f>
        <v/>
      </c>
      <c r="E277" s="78">
        <f t="array" ref="E277">'migration'!E22</f>
        <v/>
      </c>
      <c r="F277" s="78">
        <f t="array" ref="F277">'migration'!F22</f>
        <v/>
      </c>
      <c r="G277" s="78">
        <f t="array" ref="G277">'migration'!G22</f>
        <v/>
      </c>
      <c r="H277" s="78">
        <f t="array" ref="H277">'migration'!H22</f>
        <v/>
      </c>
      <c r="I277" s="78">
        <f t="array" ref="I277">'migration'!I22</f>
        <v/>
      </c>
      <c r="J277" s="78">
        <f t="array" ref="J277">'migration'!J22</f>
        <v/>
      </c>
      <c r="K277" s="78">
        <f t="array" ref="K277">'migration'!K22</f>
        <v/>
      </c>
      <c r="L277" s="78" t="n"/>
    </row>
    <row r="278" ht="20.05" customHeight="1" s="215">
      <c r="A278" s="199">
        <f t="array" ref="A278">'migration'!$A23</f>
        <v/>
      </c>
      <c r="B278" s="78" t="n"/>
      <c r="C278" s="78">
        <f t="array" ref="C278">'migration'!C23</f>
        <v/>
      </c>
      <c r="D278" s="78">
        <f t="array" ref="D278">'migration'!D23</f>
        <v/>
      </c>
      <c r="E278" s="78">
        <f t="array" ref="E278">'migration'!E23</f>
        <v/>
      </c>
      <c r="F278" s="78">
        <f t="array" ref="F278">'migration'!F23</f>
        <v/>
      </c>
      <c r="G278" s="78">
        <f t="array" ref="G278">'migration'!G23</f>
        <v/>
      </c>
      <c r="H278" s="78">
        <f t="array" ref="H278">'migration'!H23</f>
        <v/>
      </c>
      <c r="I278" s="78">
        <f t="array" ref="I278">'migration'!I23</f>
        <v/>
      </c>
      <c r="J278" s="78">
        <f t="array" ref="J278">'migration'!J23</f>
        <v/>
      </c>
      <c r="K278" s="78">
        <f t="array" ref="K278">'migration'!K23</f>
        <v/>
      </c>
      <c r="L278" s="78" t="n"/>
    </row>
    <row r="279" ht="20.05" customHeight="1" s="215">
      <c r="A279" s="199">
        <f t="array" ref="A279">'migration'!$A24</f>
        <v/>
      </c>
      <c r="B279" s="78" t="n"/>
      <c r="C279" s="78">
        <f t="array" ref="C279">'migration'!C24</f>
        <v/>
      </c>
      <c r="D279" s="78">
        <f t="array" ref="D279">'migration'!D24</f>
        <v/>
      </c>
      <c r="E279" s="78">
        <f t="array" ref="E279">'migration'!E24</f>
        <v/>
      </c>
      <c r="F279" s="78">
        <f t="array" ref="F279">'migration'!F24</f>
        <v/>
      </c>
      <c r="G279" s="78">
        <f t="array" ref="G279">'migration'!G24</f>
        <v/>
      </c>
      <c r="H279" s="78">
        <f t="array" ref="H279">'migration'!H24</f>
        <v/>
      </c>
      <c r="I279" s="78">
        <f t="array" ref="I279">'migration'!I24</f>
        <v/>
      </c>
      <c r="J279" s="78">
        <f t="array" ref="J279">'migration'!J24</f>
        <v/>
      </c>
      <c r="K279" s="78">
        <f t="array" ref="K279">'migration'!K24</f>
        <v/>
      </c>
      <c r="L279" s="78" t="n"/>
    </row>
    <row r="280" ht="20.05" customHeight="1" s="215">
      <c r="A280" s="199">
        <f t="array" ref="A280">'migration'!$A25</f>
        <v/>
      </c>
      <c r="B280" s="78" t="n"/>
      <c r="C280" s="78">
        <f t="array" ref="C280">'migration'!C25</f>
        <v/>
      </c>
      <c r="D280" s="78">
        <f t="array" ref="D280">'migration'!D25</f>
        <v/>
      </c>
      <c r="E280" s="78">
        <f t="array" ref="E280">'migration'!E25</f>
        <v/>
      </c>
      <c r="F280" s="78">
        <f t="array" ref="F280">'migration'!F25</f>
        <v/>
      </c>
      <c r="G280" s="78">
        <f t="array" ref="G280">'migration'!G25</f>
        <v/>
      </c>
      <c r="H280" s="78">
        <f t="array" ref="H280">'migration'!H25</f>
        <v/>
      </c>
      <c r="I280" s="78">
        <f t="array" ref="I280">'migration'!I25</f>
        <v/>
      </c>
      <c r="J280" s="78">
        <f t="array" ref="J280">'migration'!J25</f>
        <v/>
      </c>
      <c r="K280" s="78">
        <f t="array" ref="K280">'migration'!K25</f>
        <v/>
      </c>
      <c r="L280" s="78" t="n"/>
    </row>
    <row r="281" ht="20.05" customHeight="1" s="215">
      <c r="A281" s="199">
        <f t="array" ref="A281">'migration'!$A26</f>
        <v/>
      </c>
      <c r="B281" s="78" t="n"/>
      <c r="C281" s="78">
        <f t="array" ref="C281">'migration'!C26</f>
        <v/>
      </c>
      <c r="D281" s="78">
        <f t="array" ref="D281">'migration'!D26</f>
        <v/>
      </c>
      <c r="E281" s="78">
        <f t="array" ref="E281">'migration'!E26</f>
        <v/>
      </c>
      <c r="F281" s="78">
        <f t="array" ref="F281">'migration'!F26</f>
        <v/>
      </c>
      <c r="G281" s="78">
        <f t="array" ref="G281">'migration'!G26</f>
        <v/>
      </c>
      <c r="H281" s="78">
        <f t="array" ref="H281">'migration'!H26</f>
        <v/>
      </c>
      <c r="I281" s="78">
        <f t="array" ref="I281">'migration'!I26</f>
        <v/>
      </c>
      <c r="J281" s="78">
        <f t="array" ref="J281">'migration'!J26</f>
        <v/>
      </c>
      <c r="K281" s="78">
        <f t="array" ref="K281">'migration'!K26</f>
        <v/>
      </c>
      <c r="L281" s="78" t="n"/>
    </row>
    <row r="282" ht="20.05" customHeight="1" s="215">
      <c r="A282" s="199">
        <f t="array" ref="A282">'migration'!$A27</f>
        <v/>
      </c>
      <c r="B282" s="78" t="n"/>
      <c r="C282" s="78">
        <f t="array" ref="C282">'migration'!C27</f>
        <v/>
      </c>
      <c r="D282" s="78">
        <f t="array" ref="D282">'migration'!D27</f>
        <v/>
      </c>
      <c r="E282" s="78">
        <f t="array" ref="E282">'migration'!E27</f>
        <v/>
      </c>
      <c r="F282" s="78">
        <f t="array" ref="F282">'migration'!F27</f>
        <v/>
      </c>
      <c r="G282" s="78">
        <f t="array" ref="G282">'migration'!G27</f>
        <v/>
      </c>
      <c r="H282" s="78">
        <f t="array" ref="H282">'migration'!H27</f>
        <v/>
      </c>
      <c r="I282" s="78">
        <f t="array" ref="I282">'migration'!I27</f>
        <v/>
      </c>
      <c r="J282" s="78">
        <f t="array" ref="J282">'migration'!J27</f>
        <v/>
      </c>
      <c r="K282" s="78">
        <f t="array" ref="K282">'migration'!K27</f>
        <v/>
      </c>
      <c r="L282" s="78" t="n"/>
    </row>
    <row r="283" ht="20.05" customHeight="1" s="215">
      <c r="A283" s="199">
        <f t="array" ref="A283">'migration'!$A28</f>
        <v/>
      </c>
      <c r="B283" s="78" t="n"/>
      <c r="C283" s="78">
        <f t="array" ref="C283">'migration'!C28</f>
        <v/>
      </c>
      <c r="D283" s="78">
        <f t="array" ref="D283">'migration'!D28</f>
        <v/>
      </c>
      <c r="E283" s="78">
        <f t="array" ref="E283">'migration'!E28</f>
        <v/>
      </c>
      <c r="F283" s="78">
        <f t="array" ref="F283">'migration'!F28</f>
        <v/>
      </c>
      <c r="G283" s="78">
        <f t="array" ref="G283">'migration'!G28</f>
        <v/>
      </c>
      <c r="H283" s="78">
        <f t="array" ref="H283">'migration'!H28</f>
        <v/>
      </c>
      <c r="I283" s="78">
        <f t="array" ref="I283">'migration'!I28</f>
        <v/>
      </c>
      <c r="J283" s="78">
        <f t="array" ref="J283">'migration'!J28</f>
        <v/>
      </c>
      <c r="K283" s="78">
        <f t="array" ref="K283">'migration'!K28</f>
        <v/>
      </c>
      <c r="L283" s="78" t="n"/>
    </row>
    <row r="284" ht="20.05" customHeight="1" s="215">
      <c r="A284" s="199">
        <f t="array" ref="A284">'migration'!$A29</f>
        <v/>
      </c>
      <c r="B284" s="78" t="n"/>
      <c r="C284" s="78">
        <f t="array" ref="C284">'migration'!C29</f>
        <v/>
      </c>
      <c r="D284" s="78">
        <f t="array" ref="D284">'migration'!D29</f>
        <v/>
      </c>
      <c r="E284" s="78">
        <f t="array" ref="E284">'migration'!E29</f>
        <v/>
      </c>
      <c r="F284" s="78">
        <f t="array" ref="F284">'migration'!F29</f>
        <v/>
      </c>
      <c r="G284" s="78">
        <f t="array" ref="G284">'migration'!G29</f>
        <v/>
      </c>
      <c r="H284" s="78">
        <f t="array" ref="H284">'migration'!H29</f>
        <v/>
      </c>
      <c r="I284" s="78">
        <f t="array" ref="I284">'migration'!I29</f>
        <v/>
      </c>
      <c r="J284" s="78">
        <f t="array" ref="J284">'migration'!J29</f>
        <v/>
      </c>
      <c r="K284" s="78">
        <f t="array" ref="K284">'migration'!K29</f>
        <v/>
      </c>
      <c r="L284" s="78" t="n"/>
    </row>
    <row r="285" ht="20.05" customHeight="1" s="215">
      <c r="A285" s="199">
        <f t="array" ref="A285">'migration'!$A30</f>
        <v/>
      </c>
      <c r="B285" s="78" t="n"/>
      <c r="C285" s="78">
        <f t="array" ref="C285">'migration'!C30</f>
        <v/>
      </c>
      <c r="D285" s="78">
        <f t="array" ref="D285">'migration'!D30</f>
        <v/>
      </c>
      <c r="E285" s="78">
        <f t="array" ref="E285">'migration'!E30</f>
        <v/>
      </c>
      <c r="F285" s="78">
        <f t="array" ref="F285">'migration'!F30</f>
        <v/>
      </c>
      <c r="G285" s="78">
        <f t="array" ref="G285">'migration'!G30</f>
        <v/>
      </c>
      <c r="H285" s="78">
        <f t="array" ref="H285">'migration'!H30</f>
        <v/>
      </c>
      <c r="I285" s="78">
        <f t="array" ref="I285">'migration'!I30</f>
        <v/>
      </c>
      <c r="J285" s="78">
        <f t="array" ref="J285">'migration'!J30</f>
        <v/>
      </c>
      <c r="K285" s="78">
        <f t="array" ref="K285">'migration'!K30</f>
        <v/>
      </c>
      <c r="L285" s="78" t="n"/>
    </row>
    <row r="286" ht="20.05" customHeight="1" s="215">
      <c r="A286" s="199">
        <f t="array" ref="A286">'migration'!$A31</f>
        <v/>
      </c>
      <c r="B286" s="78" t="n"/>
      <c r="C286" s="78">
        <f t="array" ref="C286">'migration'!C31</f>
        <v/>
      </c>
      <c r="D286" s="78">
        <f t="array" ref="D286">'migration'!D31</f>
        <v/>
      </c>
      <c r="E286" s="78">
        <f t="array" ref="E286">'migration'!E31</f>
        <v/>
      </c>
      <c r="F286" s="78">
        <f t="array" ref="F286">'migration'!F31</f>
        <v/>
      </c>
      <c r="G286" s="78">
        <f t="array" ref="G286">'migration'!G31</f>
        <v/>
      </c>
      <c r="H286" s="78">
        <f t="array" ref="H286">'migration'!H31</f>
        <v/>
      </c>
      <c r="I286" s="78">
        <f t="array" ref="I286">'migration'!I31</f>
        <v/>
      </c>
      <c r="J286" s="78">
        <f t="array" ref="J286">'migration'!J31</f>
        <v/>
      </c>
      <c r="K286" s="78">
        <f t="array" ref="K286">'migration'!K31</f>
        <v/>
      </c>
      <c r="L286" s="78" t="n"/>
    </row>
    <row r="287" ht="20.05" customHeight="1" s="215">
      <c r="A287" s="199">
        <f t="array" ref="A287">'migration'!$A32</f>
        <v/>
      </c>
      <c r="B287" s="78" t="n"/>
      <c r="C287" s="78">
        <f t="array" ref="C287">'migration'!C32</f>
        <v/>
      </c>
      <c r="D287" s="78">
        <f t="array" ref="D287">'migration'!D32</f>
        <v/>
      </c>
      <c r="E287" s="78">
        <f t="array" ref="E287">'migration'!E32</f>
        <v/>
      </c>
      <c r="F287" s="78">
        <f t="array" ref="F287">'migration'!F32</f>
        <v/>
      </c>
      <c r="G287" s="78">
        <f t="array" ref="G287">'migration'!G32</f>
        <v/>
      </c>
      <c r="H287" s="78">
        <f t="array" ref="H287">'migration'!H32</f>
        <v/>
      </c>
      <c r="I287" s="78">
        <f t="array" ref="I287">'migration'!I32</f>
        <v/>
      </c>
      <c r="J287" s="78">
        <f t="array" ref="J287">'migration'!J32</f>
        <v/>
      </c>
      <c r="K287" s="78">
        <f t="array" ref="K287">'migration'!K32</f>
        <v/>
      </c>
      <c r="L287" s="78" t="n"/>
    </row>
    <row r="288" ht="20.05" customHeight="1" s="215">
      <c r="A288" s="199">
        <f t="array" ref="A288">'migration'!$A33</f>
        <v/>
      </c>
      <c r="B288" s="78" t="n"/>
      <c r="C288" s="78">
        <f t="array" ref="C288">'migration'!C33</f>
        <v/>
      </c>
      <c r="D288" s="78">
        <f t="array" ref="D288">'migration'!D33</f>
        <v/>
      </c>
      <c r="E288" s="78">
        <f t="array" ref="E288">'migration'!E33</f>
        <v/>
      </c>
      <c r="F288" s="78">
        <f t="array" ref="F288">'migration'!F33</f>
        <v/>
      </c>
      <c r="G288" s="78">
        <f t="array" ref="G288">'migration'!G33</f>
        <v/>
      </c>
      <c r="H288" s="78">
        <f t="array" ref="H288">'migration'!H33</f>
        <v/>
      </c>
      <c r="I288" s="78">
        <f t="array" ref="I288">'migration'!I33</f>
        <v/>
      </c>
      <c r="J288" s="78">
        <f t="array" ref="J288">'migration'!J33</f>
        <v/>
      </c>
      <c r="K288" s="78">
        <f t="array" ref="K288">'migration'!K33</f>
        <v/>
      </c>
      <c r="L288" s="78" t="n"/>
    </row>
    <row r="289" ht="20.05" customHeight="1" s="215">
      <c r="A289" s="199">
        <f t="array" ref="A289">'migration'!$A34</f>
        <v/>
      </c>
      <c r="B289" s="78" t="n"/>
      <c r="C289" s="78">
        <f t="array" ref="C289">'migration'!C34</f>
        <v/>
      </c>
      <c r="D289" s="78">
        <f t="array" ref="D289">'migration'!D34</f>
        <v/>
      </c>
      <c r="E289" s="78">
        <f t="array" ref="E289">'migration'!E34</f>
        <v/>
      </c>
      <c r="F289" s="78">
        <f t="array" ref="F289">'migration'!F34</f>
        <v/>
      </c>
      <c r="G289" s="78">
        <f t="array" ref="G289">'migration'!G34</f>
        <v/>
      </c>
      <c r="H289" s="78">
        <f t="array" ref="H289">'migration'!H34</f>
        <v/>
      </c>
      <c r="I289" s="78">
        <f t="array" ref="I289">'migration'!I34</f>
        <v/>
      </c>
      <c r="J289" s="78">
        <f t="array" ref="J289">'migration'!J34</f>
        <v/>
      </c>
      <c r="K289" s="78">
        <f t="array" ref="K289">'migration'!K34</f>
        <v/>
      </c>
      <c r="L289" s="78" t="n"/>
    </row>
    <row r="290" ht="20.05" customHeight="1" s="215">
      <c r="A290" s="199">
        <f t="array" ref="A290">'migration'!$A35</f>
        <v/>
      </c>
      <c r="B290" s="78" t="n"/>
      <c r="C290" s="78">
        <f t="array" ref="C290">'migration'!C35</f>
        <v/>
      </c>
      <c r="D290" s="78">
        <f t="array" ref="D290">'migration'!D35</f>
        <v/>
      </c>
      <c r="E290" s="78">
        <f t="array" ref="E290">'migration'!E35</f>
        <v/>
      </c>
      <c r="F290" s="78">
        <f t="array" ref="F290">'migration'!F35</f>
        <v/>
      </c>
      <c r="G290" s="78">
        <f t="array" ref="G290">'migration'!G35</f>
        <v/>
      </c>
      <c r="H290" s="78">
        <f t="array" ref="H290">'migration'!H35</f>
        <v/>
      </c>
      <c r="I290" s="78">
        <f t="array" ref="I290">'migration'!I35</f>
        <v/>
      </c>
      <c r="J290" s="78">
        <f t="array" ref="J290">'migration'!J35</f>
        <v/>
      </c>
      <c r="K290" s="78">
        <f t="array" ref="K290">'migration'!K35</f>
        <v/>
      </c>
      <c r="L290" s="78" t="n"/>
    </row>
    <row r="291" ht="20.05" customHeight="1" s="215">
      <c r="A291" s="199">
        <f t="array" ref="A291">'migration'!$A36</f>
        <v/>
      </c>
      <c r="B291" s="78" t="n"/>
      <c r="C291" s="78">
        <f t="array" ref="C291">'migration'!C36</f>
        <v/>
      </c>
      <c r="D291" s="78">
        <f t="array" ref="D291">'migration'!D36</f>
        <v/>
      </c>
      <c r="E291" s="78">
        <f t="array" ref="E291">'migration'!E36</f>
        <v/>
      </c>
      <c r="F291" s="78">
        <f t="array" ref="F291">'migration'!F36</f>
        <v/>
      </c>
      <c r="G291" s="78">
        <f t="array" ref="G291">'migration'!G36</f>
        <v/>
      </c>
      <c r="H291" s="78">
        <f t="array" ref="H291">'migration'!H36</f>
        <v/>
      </c>
      <c r="I291" s="78">
        <f t="array" ref="I291">'migration'!I36</f>
        <v/>
      </c>
      <c r="J291" s="78">
        <f t="array" ref="J291">'migration'!J36</f>
        <v/>
      </c>
      <c r="K291" s="78">
        <f t="array" ref="K291">'migration'!K36</f>
        <v/>
      </c>
      <c r="L291" s="78" t="n"/>
    </row>
    <row r="292" ht="20.05" customHeight="1" s="215">
      <c r="A292" s="199">
        <f t="array" ref="A292">'migration'!$A37</f>
        <v/>
      </c>
      <c r="B292" s="78" t="n"/>
      <c r="C292" s="78">
        <f t="array" ref="C292">'migration'!C37</f>
        <v/>
      </c>
      <c r="D292" s="78">
        <f t="array" ref="D292">'migration'!D37</f>
        <v/>
      </c>
      <c r="E292" s="78">
        <f t="array" ref="E292">'migration'!E37</f>
        <v/>
      </c>
      <c r="F292" s="78">
        <f t="array" ref="F292">'migration'!F37</f>
        <v/>
      </c>
      <c r="G292" s="78">
        <f t="array" ref="G292">'migration'!G37</f>
        <v/>
      </c>
      <c r="H292" s="78">
        <f t="array" ref="H292">'migration'!H37</f>
        <v/>
      </c>
      <c r="I292" s="78">
        <f t="array" ref="I292">'migration'!I37</f>
        <v/>
      </c>
      <c r="J292" s="78">
        <f t="array" ref="J292">'migration'!J37</f>
        <v/>
      </c>
      <c r="K292" s="78">
        <f t="array" ref="K292">'migration'!K37</f>
        <v/>
      </c>
      <c r="L292" s="78" t="n"/>
    </row>
    <row r="293" ht="20.05" customHeight="1" s="215">
      <c r="A293" s="199">
        <f t="array" ref="A293">'migration'!$A38</f>
        <v/>
      </c>
      <c r="B293" s="78" t="n"/>
      <c r="C293" s="78">
        <f t="array" ref="C293">'migration'!C38</f>
        <v/>
      </c>
      <c r="D293" s="78">
        <f t="array" ref="D293">'migration'!D38</f>
        <v/>
      </c>
      <c r="E293" s="78">
        <f t="array" ref="E293">'migration'!E38</f>
        <v/>
      </c>
      <c r="F293" s="78">
        <f t="array" ref="F293">'migration'!F38</f>
        <v/>
      </c>
      <c r="G293" s="78">
        <f t="array" ref="G293">'migration'!G38</f>
        <v/>
      </c>
      <c r="H293" s="78">
        <f t="array" ref="H293">'migration'!H38</f>
        <v/>
      </c>
      <c r="I293" s="78">
        <f t="array" ref="I293">'migration'!I38</f>
        <v/>
      </c>
      <c r="J293" s="78">
        <f t="array" ref="J293">'migration'!J38</f>
        <v/>
      </c>
      <c r="K293" s="78">
        <f t="array" ref="K293">'migration'!K38</f>
        <v/>
      </c>
      <c r="L293" s="78" t="n"/>
    </row>
    <row r="294" ht="20.05" customHeight="1" s="215">
      <c r="A294" s="199">
        <f t="array" ref="A294">'migration'!$A39</f>
        <v/>
      </c>
      <c r="B294" s="78" t="n"/>
      <c r="C294" s="78">
        <f t="array" ref="C294">'migration'!C39</f>
        <v/>
      </c>
      <c r="D294" s="78">
        <f t="array" ref="D294">'migration'!D39</f>
        <v/>
      </c>
      <c r="E294" s="78">
        <f t="array" ref="E294">'migration'!E39</f>
        <v/>
      </c>
      <c r="F294" s="78">
        <f t="array" ref="F294">'migration'!F39</f>
        <v/>
      </c>
      <c r="G294" s="78">
        <f t="array" ref="G294">'migration'!G39</f>
        <v/>
      </c>
      <c r="H294" s="78">
        <f t="array" ref="H294">'migration'!H39</f>
        <v/>
      </c>
      <c r="I294" s="78">
        <f t="array" ref="I294">'migration'!I39</f>
        <v/>
      </c>
      <c r="J294" s="78">
        <f t="array" ref="J294">'migration'!J39</f>
        <v/>
      </c>
      <c r="K294" s="78">
        <f t="array" ref="K294">'migration'!K39</f>
        <v/>
      </c>
      <c r="L294" s="78" t="n"/>
    </row>
    <row r="295" ht="20.05" customHeight="1" s="215">
      <c r="A295" s="199">
        <f t="array" ref="A295">'migration'!$A40</f>
        <v/>
      </c>
      <c r="B295" s="78" t="n"/>
      <c r="C295" s="78">
        <f t="array" ref="C295">'migration'!C40</f>
        <v/>
      </c>
      <c r="D295" s="78">
        <f t="array" ref="D295">'migration'!D40</f>
        <v/>
      </c>
      <c r="E295" s="78">
        <f t="array" ref="E295">'migration'!E40</f>
        <v/>
      </c>
      <c r="F295" s="78">
        <f t="array" ref="F295">'migration'!F40</f>
        <v/>
      </c>
      <c r="G295" s="78">
        <f t="array" ref="G295">'migration'!G40</f>
        <v/>
      </c>
      <c r="H295" s="78">
        <f t="array" ref="H295">'migration'!H40</f>
        <v/>
      </c>
      <c r="I295" s="78">
        <f t="array" ref="I295">'migration'!I40</f>
        <v/>
      </c>
      <c r="J295" s="78">
        <f t="array" ref="J295">'migration'!J40</f>
        <v/>
      </c>
      <c r="K295" s="78">
        <f t="array" ref="K295">'migration'!K40</f>
        <v/>
      </c>
      <c r="L295" s="78" t="n"/>
    </row>
    <row r="296" ht="20.05" customHeight="1" s="215">
      <c r="A296" s="199">
        <f t="array" ref="A296">'migration'!$A41</f>
        <v/>
      </c>
      <c r="B296" s="78" t="n"/>
      <c r="C296" s="78">
        <f t="array" ref="C296">'migration'!C41</f>
        <v/>
      </c>
      <c r="D296" s="78">
        <f t="array" ref="D296">'migration'!D41</f>
        <v/>
      </c>
      <c r="E296" s="78">
        <f t="array" ref="E296">'migration'!E41</f>
        <v/>
      </c>
      <c r="F296" s="78">
        <f t="array" ref="F296">'migration'!F41</f>
        <v/>
      </c>
      <c r="G296" s="78">
        <f t="array" ref="G296">'migration'!G41</f>
        <v/>
      </c>
      <c r="H296" s="78">
        <f t="array" ref="H296">'migration'!H41</f>
        <v/>
      </c>
      <c r="I296" s="78">
        <f t="array" ref="I296">'migration'!I41</f>
        <v/>
      </c>
      <c r="J296" s="78">
        <f t="array" ref="J296">'migration'!J41</f>
        <v/>
      </c>
      <c r="K296" s="78">
        <f t="array" ref="K296">'migration'!K41</f>
        <v/>
      </c>
      <c r="L296" s="78" t="n"/>
    </row>
    <row r="297" ht="20.05" customHeight="1" s="215">
      <c r="A297" s="199">
        <f t="array" ref="A297">'migration'!$A42</f>
        <v/>
      </c>
      <c r="B297" s="78" t="n"/>
      <c r="C297" s="78">
        <f t="array" ref="C297">'migration'!C42</f>
        <v/>
      </c>
      <c r="D297" s="78">
        <f t="array" ref="D297">'migration'!D42</f>
        <v/>
      </c>
      <c r="E297" s="78">
        <f t="array" ref="E297">'migration'!E42</f>
        <v/>
      </c>
      <c r="F297" s="78">
        <f t="array" ref="F297">'migration'!F42</f>
        <v/>
      </c>
      <c r="G297" s="78">
        <f t="array" ref="G297">'migration'!G42</f>
        <v/>
      </c>
      <c r="H297" s="78">
        <f t="array" ref="H297">'migration'!H42</f>
        <v/>
      </c>
      <c r="I297" s="78">
        <f t="array" ref="I297">'migration'!I42</f>
        <v/>
      </c>
      <c r="J297" s="78">
        <f t="array" ref="J297">'migration'!J42</f>
        <v/>
      </c>
      <c r="K297" s="78">
        <f t="array" ref="K297">'migration'!K42</f>
        <v/>
      </c>
      <c r="L297" s="78" t="n"/>
    </row>
    <row r="298" ht="20.05" customHeight="1" s="215">
      <c r="A298" s="199">
        <f t="array" ref="A298">'migration'!$A43</f>
        <v/>
      </c>
      <c r="B298" s="78" t="n"/>
      <c r="C298" s="78">
        <f t="array" ref="C298">'migration'!C43</f>
        <v/>
      </c>
      <c r="D298" s="78">
        <f t="array" ref="D298">'migration'!D43</f>
        <v/>
      </c>
      <c r="E298" s="78">
        <f t="array" ref="E298">'migration'!E43</f>
        <v/>
      </c>
      <c r="F298" s="78">
        <f t="array" ref="F298">'migration'!F43</f>
        <v/>
      </c>
      <c r="G298" s="78">
        <f t="array" ref="G298">'migration'!G43</f>
        <v/>
      </c>
      <c r="H298" s="78">
        <f t="array" ref="H298">'migration'!H43</f>
        <v/>
      </c>
      <c r="I298" s="78">
        <f t="array" ref="I298">'migration'!I43</f>
        <v/>
      </c>
      <c r="J298" s="78">
        <f t="array" ref="J298">'migration'!J43</f>
        <v/>
      </c>
      <c r="K298" s="78">
        <f t="array" ref="K298">'migration'!K43</f>
        <v/>
      </c>
      <c r="L298" s="78" t="n"/>
    </row>
    <row r="299" ht="20.05" customHeight="1" s="215">
      <c r="A299" s="199">
        <f t="array" ref="A299">'migration'!$A44</f>
        <v/>
      </c>
      <c r="B299" s="78" t="n"/>
      <c r="C299" s="78">
        <f t="array" ref="C299">'migration'!C44</f>
        <v/>
      </c>
      <c r="D299" s="78">
        <f t="array" ref="D299">'migration'!D44</f>
        <v/>
      </c>
      <c r="E299" s="78">
        <f t="array" ref="E299">'migration'!E44</f>
        <v/>
      </c>
      <c r="F299" s="78">
        <f t="array" ref="F299">'migration'!F44</f>
        <v/>
      </c>
      <c r="G299" s="78">
        <f t="array" ref="G299">'migration'!G44</f>
        <v/>
      </c>
      <c r="H299" s="78">
        <f t="array" ref="H299">'migration'!H44</f>
        <v/>
      </c>
      <c r="I299" s="78">
        <f t="array" ref="I299">'migration'!I44</f>
        <v/>
      </c>
      <c r="J299" s="78">
        <f t="array" ref="J299">'migration'!J44</f>
        <v/>
      </c>
      <c r="K299" s="78">
        <f t="array" ref="K299">'migration'!K44</f>
        <v/>
      </c>
      <c r="L299" s="78" t="n"/>
    </row>
    <row r="300" ht="20.05" customHeight="1" s="215">
      <c r="A300" s="199">
        <f t="array" ref="A300">'migration'!$A45</f>
        <v/>
      </c>
      <c r="B300" s="78" t="n"/>
      <c r="C300" s="78">
        <f t="array" ref="C300">'migration'!C45</f>
        <v/>
      </c>
      <c r="D300" s="78">
        <f t="array" ref="D300">'migration'!D45</f>
        <v/>
      </c>
      <c r="E300" s="78">
        <f t="array" ref="E300">'migration'!E45</f>
        <v/>
      </c>
      <c r="F300" s="78">
        <f t="array" ref="F300">'migration'!F45</f>
        <v/>
      </c>
      <c r="G300" s="78">
        <f t="array" ref="G300">'migration'!G45</f>
        <v/>
      </c>
      <c r="H300" s="78">
        <f t="array" ref="H300">'migration'!H45</f>
        <v/>
      </c>
      <c r="I300" s="78">
        <f t="array" ref="I300">'migration'!I45</f>
        <v/>
      </c>
      <c r="J300" s="78">
        <f t="array" ref="J300">'migration'!J45</f>
        <v/>
      </c>
      <c r="K300" s="78">
        <f t="array" ref="K300">'migration'!K45</f>
        <v/>
      </c>
      <c r="L300" s="78" t="n"/>
    </row>
    <row r="301" ht="20.05" customHeight="1" s="215">
      <c r="A301" s="199">
        <f t="array" ref="A301">'migration'!$A46</f>
        <v/>
      </c>
      <c r="B301" s="78" t="n"/>
      <c r="C301" s="78">
        <f t="array" ref="C301">'migration'!C46</f>
        <v/>
      </c>
      <c r="D301" s="78">
        <f t="array" ref="D301">'migration'!D46</f>
        <v/>
      </c>
      <c r="E301" s="78">
        <f t="array" ref="E301">'migration'!E46</f>
        <v/>
      </c>
      <c r="F301" s="78">
        <f t="array" ref="F301">'migration'!F46</f>
        <v/>
      </c>
      <c r="G301" s="78">
        <f t="array" ref="G301">'migration'!G46</f>
        <v/>
      </c>
      <c r="H301" s="78">
        <f t="array" ref="H301">'migration'!H46</f>
        <v/>
      </c>
      <c r="I301" s="78">
        <f t="array" ref="I301">'migration'!I46</f>
        <v/>
      </c>
      <c r="J301" s="78">
        <f t="array" ref="J301">'migration'!J46</f>
        <v/>
      </c>
      <c r="K301" s="78">
        <f t="array" ref="K301">'migration'!K46</f>
        <v/>
      </c>
      <c r="L301" s="78" t="n"/>
    </row>
    <row r="302" ht="20.05" customHeight="1" s="215">
      <c r="A302" s="199">
        <f t="array" ref="A302">'migration'!$A47</f>
        <v/>
      </c>
      <c r="B302" s="78" t="n"/>
      <c r="C302" s="78">
        <f t="array" ref="C302">'migration'!C47</f>
        <v/>
      </c>
      <c r="D302" s="78">
        <f t="array" ref="D302">'migration'!D47</f>
        <v/>
      </c>
      <c r="E302" s="78">
        <f t="array" ref="E302">'migration'!E47</f>
        <v/>
      </c>
      <c r="F302" s="78">
        <f t="array" ref="F302">'migration'!F47</f>
        <v/>
      </c>
      <c r="G302" s="78">
        <f t="array" ref="G302">'migration'!G47</f>
        <v/>
      </c>
      <c r="H302" s="78">
        <f t="array" ref="H302">'migration'!H47</f>
        <v/>
      </c>
      <c r="I302" s="78">
        <f t="array" ref="I302">'migration'!I47</f>
        <v/>
      </c>
      <c r="J302" s="78">
        <f t="array" ref="J302">'migration'!J47</f>
        <v/>
      </c>
      <c r="K302" s="78">
        <f t="array" ref="K302">'migration'!K47</f>
        <v/>
      </c>
      <c r="L302" s="78" t="n"/>
    </row>
    <row r="303" ht="20.05" customHeight="1" s="215">
      <c r="A303" s="199">
        <f t="array" ref="A303">'migration'!$A48</f>
        <v/>
      </c>
      <c r="B303" s="78" t="n"/>
      <c r="C303" s="78">
        <f t="array" ref="C303">'migration'!C48</f>
        <v/>
      </c>
      <c r="D303" s="78">
        <f t="array" ref="D303">'migration'!D48</f>
        <v/>
      </c>
      <c r="E303" s="78">
        <f t="array" ref="E303">'migration'!E48</f>
        <v/>
      </c>
      <c r="F303" s="78">
        <f t="array" ref="F303">'migration'!F48</f>
        <v/>
      </c>
      <c r="G303" s="78">
        <f t="array" ref="G303">'migration'!G48</f>
        <v/>
      </c>
      <c r="H303" s="78">
        <f t="array" ref="H303">'migration'!H48</f>
        <v/>
      </c>
      <c r="I303" s="78">
        <f t="array" ref="I303">'migration'!I48</f>
        <v/>
      </c>
      <c r="J303" s="78">
        <f t="array" ref="J303">'migration'!J48</f>
        <v/>
      </c>
      <c r="K303" s="78">
        <f t="array" ref="K303">'migration'!K48</f>
        <v/>
      </c>
      <c r="L303" s="78" t="n"/>
    </row>
    <row r="304" ht="20.05" customHeight="1" s="215">
      <c r="A304" s="199">
        <f t="array" ref="A304">'migration'!$A49</f>
        <v/>
      </c>
      <c r="B304" s="78" t="n"/>
      <c r="C304" s="78">
        <f t="array" ref="C304">'migration'!C49</f>
        <v/>
      </c>
      <c r="D304" s="78">
        <f t="array" ref="D304">'migration'!D49</f>
        <v/>
      </c>
      <c r="E304" s="78">
        <f t="array" ref="E304">'migration'!E49</f>
        <v/>
      </c>
      <c r="F304" s="78">
        <f t="array" ref="F304">'migration'!F49</f>
        <v/>
      </c>
      <c r="G304" s="78">
        <f t="array" ref="G304">'migration'!G49</f>
        <v/>
      </c>
      <c r="H304" s="78">
        <f t="array" ref="H304">'migration'!H49</f>
        <v/>
      </c>
      <c r="I304" s="78">
        <f t="array" ref="I304">'migration'!I49</f>
        <v/>
      </c>
      <c r="J304" s="78">
        <f t="array" ref="J304">'migration'!J49</f>
        <v/>
      </c>
      <c r="K304" s="78">
        <f t="array" ref="K304">'migration'!K49</f>
        <v/>
      </c>
      <c r="L304" s="78" t="n"/>
    </row>
    <row r="305" ht="20.05" customHeight="1" s="215">
      <c r="A305" s="199">
        <f t="array" ref="A305">'migration'!$A50</f>
        <v/>
      </c>
      <c r="B305" s="78" t="n"/>
      <c r="C305" s="78">
        <f t="array" ref="C305">'migration'!C50</f>
        <v/>
      </c>
      <c r="D305" s="78">
        <f t="array" ref="D305">'migration'!D50</f>
        <v/>
      </c>
      <c r="E305" s="78">
        <f t="array" ref="E305">'migration'!E50</f>
        <v/>
      </c>
      <c r="F305" s="78">
        <f t="array" ref="F305">'migration'!F50</f>
        <v/>
      </c>
      <c r="G305" s="78">
        <f t="array" ref="G305">'migration'!G50</f>
        <v/>
      </c>
      <c r="H305" s="78">
        <f t="array" ref="H305">'migration'!H50</f>
        <v/>
      </c>
      <c r="I305" s="78">
        <f t="array" ref="I305">'migration'!I50</f>
        <v/>
      </c>
      <c r="J305" s="78">
        <f t="array" ref="J305">'migration'!J50</f>
        <v/>
      </c>
      <c r="K305" s="78">
        <f t="array" ref="K305">'migration'!K50</f>
        <v/>
      </c>
      <c r="L305" s="78" t="n"/>
    </row>
    <row r="306" ht="20.05" customHeight="1" s="215">
      <c r="A306" s="199">
        <f t="array" ref="A306">'migration'!$A51</f>
        <v/>
      </c>
      <c r="B306" s="78" t="n"/>
      <c r="C306" s="78">
        <f t="array" ref="C306">'migration'!C51</f>
        <v/>
      </c>
      <c r="D306" s="78">
        <f t="array" ref="D306">'migration'!D51</f>
        <v/>
      </c>
      <c r="E306" s="78">
        <f t="array" ref="E306">'migration'!E51</f>
        <v/>
      </c>
      <c r="F306" s="78">
        <f t="array" ref="F306">'migration'!F51</f>
        <v/>
      </c>
      <c r="G306" s="78">
        <f t="array" ref="G306">'migration'!G51</f>
        <v/>
      </c>
      <c r="H306" s="78">
        <f t="array" ref="H306">'migration'!H51</f>
        <v/>
      </c>
      <c r="I306" s="78">
        <f t="array" ref="I306">'migration'!I51</f>
        <v/>
      </c>
      <c r="J306" s="78">
        <f t="array" ref="J306">'migration'!J51</f>
        <v/>
      </c>
      <c r="K306" s="78">
        <f t="array" ref="K306">'migration'!K51</f>
        <v/>
      </c>
      <c r="L306" s="78" t="n"/>
    </row>
    <row r="307" ht="20.05" customHeight="1" s="215">
      <c r="A307" s="199">
        <f t="array" ref="A307">'migration'!$A52</f>
        <v/>
      </c>
      <c r="B307" s="78" t="n"/>
      <c r="C307" s="78">
        <f t="array" ref="C307">'migration'!C52</f>
        <v/>
      </c>
      <c r="D307" s="78">
        <f t="array" ref="D307">'migration'!D52</f>
        <v/>
      </c>
      <c r="E307" s="78">
        <f t="array" ref="E307">'migration'!E52</f>
        <v/>
      </c>
      <c r="F307" s="78">
        <f t="array" ref="F307">'migration'!F52</f>
        <v/>
      </c>
      <c r="G307" s="78">
        <f t="array" ref="G307">'migration'!G52</f>
        <v/>
      </c>
      <c r="H307" s="78">
        <f t="array" ref="H307">'migration'!H52</f>
        <v/>
      </c>
      <c r="I307" s="78">
        <f t="array" ref="I307">'migration'!I52</f>
        <v/>
      </c>
      <c r="J307" s="78">
        <f t="array" ref="J307">'migration'!J52</f>
        <v/>
      </c>
      <c r="K307" s="78">
        <f t="array" ref="K307">'migration'!K52</f>
        <v/>
      </c>
      <c r="L307" s="78" t="n"/>
    </row>
    <row r="308" ht="20.05" customHeight="1" s="215">
      <c r="A308" s="199">
        <f t="array" ref="A308">'migration'!$A53</f>
        <v/>
      </c>
      <c r="B308" s="78" t="n"/>
      <c r="C308" s="78">
        <f t="array" ref="C308">'migration'!C53</f>
        <v/>
      </c>
      <c r="D308" s="78">
        <f t="array" ref="D308">'migration'!D53</f>
        <v/>
      </c>
      <c r="E308" s="78">
        <f t="array" ref="E308">'migration'!E53</f>
        <v/>
      </c>
      <c r="F308" s="78">
        <f t="array" ref="F308">'migration'!F53</f>
        <v/>
      </c>
      <c r="G308" s="78">
        <f t="array" ref="G308">'migration'!G53</f>
        <v/>
      </c>
      <c r="H308" s="78">
        <f t="array" ref="H308">'migration'!H53</f>
        <v/>
      </c>
      <c r="I308" s="78">
        <f t="array" ref="I308">'migration'!I53</f>
        <v/>
      </c>
      <c r="J308" s="78">
        <f t="array" ref="J308">'migration'!J53</f>
        <v/>
      </c>
      <c r="K308" s="78">
        <f t="array" ref="K308">'migration'!K53</f>
        <v/>
      </c>
      <c r="L308" s="78" t="n"/>
    </row>
    <row r="309" ht="20.05" customHeight="1" s="215">
      <c r="A309" s="199">
        <f t="array" ref="A309">'migration'!$A54</f>
        <v/>
      </c>
      <c r="B309" s="78" t="n"/>
      <c r="C309" s="78">
        <f t="array" ref="C309">'migration'!C54</f>
        <v/>
      </c>
      <c r="D309" s="78">
        <f t="array" ref="D309">'migration'!D54</f>
        <v/>
      </c>
      <c r="E309" s="78">
        <f t="array" ref="E309">'migration'!E54</f>
        <v/>
      </c>
      <c r="F309" s="78">
        <f t="array" ref="F309">'migration'!F54</f>
        <v/>
      </c>
      <c r="G309" s="78">
        <f t="array" ref="G309">'migration'!G54</f>
        <v/>
      </c>
      <c r="H309" s="78">
        <f t="array" ref="H309">'migration'!H54</f>
        <v/>
      </c>
      <c r="I309" s="78">
        <f t="array" ref="I309">'migration'!I54</f>
        <v/>
      </c>
      <c r="J309" s="78">
        <f t="array" ref="J309">'migration'!J54</f>
        <v/>
      </c>
      <c r="K309" s="78">
        <f t="array" ref="K309">'migration'!K54</f>
        <v/>
      </c>
      <c r="L309" s="78" t="n"/>
    </row>
    <row r="310" ht="20.05" customHeight="1" s="215">
      <c r="A310" s="199">
        <f t="array" ref="A310">'migration'!$A55</f>
        <v/>
      </c>
      <c r="B310" s="78" t="n"/>
      <c r="C310" s="78">
        <f t="array" ref="C310">'migration'!C55</f>
        <v/>
      </c>
      <c r="D310" s="78">
        <f t="array" ref="D310">'migration'!D55</f>
        <v/>
      </c>
      <c r="E310" s="78">
        <f t="array" ref="E310">'migration'!E55</f>
        <v/>
      </c>
      <c r="F310" s="78">
        <f t="array" ref="F310">'migration'!F55</f>
        <v/>
      </c>
      <c r="G310" s="78">
        <f t="array" ref="G310">'migration'!G55</f>
        <v/>
      </c>
      <c r="H310" s="78">
        <f t="array" ref="H310">'migration'!H55</f>
        <v/>
      </c>
      <c r="I310" s="78">
        <f t="array" ref="I310">'migration'!I55</f>
        <v/>
      </c>
      <c r="J310" s="78">
        <f t="array" ref="J310">'migration'!J55</f>
        <v/>
      </c>
      <c r="K310" s="78">
        <f t="array" ref="K310">'migration'!K55</f>
        <v/>
      </c>
      <c r="L310" s="78" t="n"/>
    </row>
    <row r="311" ht="20.05" customHeight="1" s="215">
      <c r="A311" s="199">
        <f t="array" ref="A311">'migration'!$A56</f>
        <v/>
      </c>
      <c r="B311" s="78" t="n"/>
      <c r="C311" s="78">
        <f t="array" ref="C311">'migration'!C56</f>
        <v/>
      </c>
      <c r="D311" s="78">
        <f t="array" ref="D311">'migration'!D56</f>
        <v/>
      </c>
      <c r="E311" s="78">
        <f t="array" ref="E311">'migration'!E56</f>
        <v/>
      </c>
      <c r="F311" s="78">
        <f t="array" ref="F311">'migration'!F56</f>
        <v/>
      </c>
      <c r="G311" s="78">
        <f t="array" ref="G311">'migration'!G56</f>
        <v/>
      </c>
      <c r="H311" s="78">
        <f t="array" ref="H311">'migration'!H56</f>
        <v/>
      </c>
      <c r="I311" s="78">
        <f t="array" ref="I311">'migration'!I56</f>
        <v/>
      </c>
      <c r="J311" s="78">
        <f t="array" ref="J311">'migration'!J56</f>
        <v/>
      </c>
      <c r="K311" s="78">
        <f t="array" ref="K311">'migration'!K56</f>
        <v/>
      </c>
      <c r="L311" s="78" t="n"/>
    </row>
    <row r="312" ht="20.05" customHeight="1" s="215">
      <c r="A312" s="199">
        <f t="array" ref="A312">'migration'!$A57</f>
        <v/>
      </c>
      <c r="B312" s="78" t="n"/>
      <c r="C312" s="78">
        <f t="array" ref="C312">'migration'!C57</f>
        <v/>
      </c>
      <c r="D312" s="78">
        <f t="array" ref="D312">'migration'!D57</f>
        <v/>
      </c>
      <c r="E312" s="78">
        <f t="array" ref="E312">'migration'!E57</f>
        <v/>
      </c>
      <c r="F312" s="78">
        <f t="array" ref="F312">'migration'!F57</f>
        <v/>
      </c>
      <c r="G312" s="78">
        <f t="array" ref="G312">'migration'!G57</f>
        <v/>
      </c>
      <c r="H312" s="78">
        <f t="array" ref="H312">'migration'!H57</f>
        <v/>
      </c>
      <c r="I312" s="78">
        <f t="array" ref="I312">'migration'!I57</f>
        <v/>
      </c>
      <c r="J312" s="78">
        <f t="array" ref="J312">'migration'!J57</f>
        <v/>
      </c>
      <c r="K312" s="78">
        <f t="array" ref="K312">'migration'!K57</f>
        <v/>
      </c>
      <c r="L312" s="78" t="n"/>
    </row>
    <row r="313" ht="20.05" customHeight="1" s="215">
      <c r="A313" s="199">
        <f t="array" ref="A313">'migration'!$A58</f>
        <v/>
      </c>
      <c r="B313" s="78" t="n"/>
      <c r="C313" s="78">
        <f t="array" ref="C313">'migration'!C58</f>
        <v/>
      </c>
      <c r="D313" s="78">
        <f t="array" ref="D313">'migration'!D58</f>
        <v/>
      </c>
      <c r="E313" s="78">
        <f t="array" ref="E313">'migration'!E58</f>
        <v/>
      </c>
      <c r="F313" s="78">
        <f t="array" ref="F313">'migration'!F58</f>
        <v/>
      </c>
      <c r="G313" s="78">
        <f t="array" ref="G313">'migration'!G58</f>
        <v/>
      </c>
      <c r="H313" s="78">
        <f t="array" ref="H313">'migration'!H58</f>
        <v/>
      </c>
      <c r="I313" s="78">
        <f t="array" ref="I313">'migration'!I58</f>
        <v/>
      </c>
      <c r="J313" s="78">
        <f t="array" ref="J313">'migration'!J58</f>
        <v/>
      </c>
      <c r="K313" s="78">
        <f t="array" ref="K313">'migration'!K58</f>
        <v/>
      </c>
      <c r="L313" s="78" t="n"/>
    </row>
    <row r="314" ht="20.05" customHeight="1" s="215">
      <c r="A314" s="199">
        <f t="array" ref="A314">'migration'!$A59</f>
        <v/>
      </c>
      <c r="B314" s="78" t="n"/>
      <c r="C314" s="78">
        <f t="array" ref="C314">'migration'!C59</f>
        <v/>
      </c>
      <c r="D314" s="78">
        <f t="array" ref="D314">'migration'!D59</f>
        <v/>
      </c>
      <c r="E314" s="78">
        <f t="array" ref="E314">'migration'!E59</f>
        <v/>
      </c>
      <c r="F314" s="78">
        <f t="array" ref="F314">'migration'!F59</f>
        <v/>
      </c>
      <c r="G314" s="78">
        <f t="array" ref="G314">'migration'!G59</f>
        <v/>
      </c>
      <c r="H314" s="78">
        <f t="array" ref="H314">'migration'!H59</f>
        <v/>
      </c>
      <c r="I314" s="78">
        <f t="array" ref="I314">'migration'!I59</f>
        <v/>
      </c>
      <c r="J314" s="78">
        <f t="array" ref="J314">'migration'!J59</f>
        <v/>
      </c>
      <c r="K314" s="78">
        <f t="array" ref="K314">'migration'!K59</f>
        <v/>
      </c>
      <c r="L314" s="78" t="n"/>
    </row>
    <row r="315" ht="20.05" customHeight="1" s="215">
      <c r="A315" s="199">
        <f t="array" ref="A315">'migration'!$A60</f>
        <v/>
      </c>
      <c r="B315" s="78" t="n"/>
      <c r="C315" s="78">
        <f t="array" ref="C315">'migration'!C60</f>
        <v/>
      </c>
      <c r="D315" s="78">
        <f t="array" ref="D315">'migration'!D60</f>
        <v/>
      </c>
      <c r="E315" s="78">
        <f t="array" ref="E315">'migration'!E60</f>
        <v/>
      </c>
      <c r="F315" s="78">
        <f t="array" ref="F315">'migration'!F60</f>
        <v/>
      </c>
      <c r="G315" s="78">
        <f t="array" ref="G315">'migration'!G60</f>
        <v/>
      </c>
      <c r="H315" s="78">
        <f t="array" ref="H315">'migration'!H60</f>
        <v/>
      </c>
      <c r="I315" s="78">
        <f t="array" ref="I315">'migration'!I60</f>
        <v/>
      </c>
      <c r="J315" s="78">
        <f t="array" ref="J315">'migration'!J60</f>
        <v/>
      </c>
      <c r="K315" s="78">
        <f t="array" ref="K315">'migration'!K60</f>
        <v/>
      </c>
      <c r="L315" s="78" t="n"/>
    </row>
    <row r="316" ht="20.05" customHeight="1" s="215">
      <c r="A316" s="199">
        <f t="array" ref="A316">'migration'!$A61</f>
        <v/>
      </c>
      <c r="B316" s="78" t="n"/>
      <c r="C316" s="78">
        <f t="array" ref="C316">'migration'!C61</f>
        <v/>
      </c>
      <c r="D316" s="78">
        <f t="array" ref="D316">'migration'!D61</f>
        <v/>
      </c>
      <c r="E316" s="78">
        <f t="array" ref="E316">'migration'!E61</f>
        <v/>
      </c>
      <c r="F316" s="78">
        <f t="array" ref="F316">'migration'!F61</f>
        <v/>
      </c>
      <c r="G316" s="78">
        <f t="array" ref="G316">'migration'!G61</f>
        <v/>
      </c>
      <c r="H316" s="78">
        <f t="array" ref="H316">'migration'!H61</f>
        <v/>
      </c>
      <c r="I316" s="78">
        <f t="array" ref="I316">'migration'!I61</f>
        <v/>
      </c>
      <c r="J316" s="78">
        <f t="array" ref="J316">'migration'!J61</f>
        <v/>
      </c>
      <c r="K316" s="78">
        <f t="array" ref="K316">'migration'!K61</f>
        <v/>
      </c>
      <c r="L316" s="78" t="n"/>
    </row>
    <row r="317" ht="20.05" customHeight="1" s="215">
      <c r="A317" s="199">
        <f t="array" ref="A317">'migration'!$A62</f>
        <v/>
      </c>
      <c r="B317" s="78" t="n"/>
      <c r="C317" s="78">
        <f t="array" ref="C317">'migration'!C62</f>
        <v/>
      </c>
      <c r="D317" s="78">
        <f t="array" ref="D317">'migration'!D62</f>
        <v/>
      </c>
      <c r="E317" s="78">
        <f t="array" ref="E317">'migration'!E62</f>
        <v/>
      </c>
      <c r="F317" s="78">
        <f t="array" ref="F317">'migration'!F62</f>
        <v/>
      </c>
      <c r="G317" s="78">
        <f t="array" ref="G317">'migration'!G62</f>
        <v/>
      </c>
      <c r="H317" s="78">
        <f t="array" ref="H317">'migration'!H62</f>
        <v/>
      </c>
      <c r="I317" s="78">
        <f t="array" ref="I317">'migration'!I62</f>
        <v/>
      </c>
      <c r="J317" s="78">
        <f t="array" ref="J317">'migration'!J62</f>
        <v/>
      </c>
      <c r="K317" s="78">
        <f t="array" ref="K317">'migration'!K62</f>
        <v/>
      </c>
      <c r="L317" s="78" t="n"/>
    </row>
    <row r="318" ht="20.05" customHeight="1" s="215">
      <c r="A318" s="199">
        <f t="array" ref="A318">'migration'!$A63</f>
        <v/>
      </c>
      <c r="B318" s="78" t="n"/>
      <c r="C318" s="78">
        <f t="array" ref="C318">'migration'!C63</f>
        <v/>
      </c>
      <c r="D318" s="78">
        <f t="array" ref="D318">'migration'!D63</f>
        <v/>
      </c>
      <c r="E318" s="78">
        <f t="array" ref="E318">'migration'!E63</f>
        <v/>
      </c>
      <c r="F318" s="78">
        <f t="array" ref="F318">'migration'!F63</f>
        <v/>
      </c>
      <c r="G318" s="78">
        <f t="array" ref="G318">'migration'!G63</f>
        <v/>
      </c>
      <c r="H318" s="78">
        <f t="array" ref="H318">'migration'!H63</f>
        <v/>
      </c>
      <c r="I318" s="78">
        <f t="array" ref="I318">'migration'!I63</f>
        <v/>
      </c>
      <c r="J318" s="78">
        <f t="array" ref="J318">'migration'!J63</f>
        <v/>
      </c>
      <c r="K318" s="78">
        <f t="array" ref="K318">'migration'!K63</f>
        <v/>
      </c>
      <c r="L318" s="78" t="n"/>
    </row>
    <row r="319" ht="20.05" customHeight="1" s="215">
      <c r="A319" s="199">
        <f t="array" ref="A319">'migration'!$A64</f>
        <v/>
      </c>
      <c r="B319" s="78" t="n"/>
      <c r="C319" s="78">
        <f t="array" ref="C319">'migration'!C64</f>
        <v/>
      </c>
      <c r="D319" s="78">
        <f t="array" ref="D319">'migration'!D64</f>
        <v/>
      </c>
      <c r="E319" s="78">
        <f t="array" ref="E319">'migration'!E64</f>
        <v/>
      </c>
      <c r="F319" s="78">
        <f t="array" ref="F319">'migration'!F64</f>
        <v/>
      </c>
      <c r="G319" s="78">
        <f t="array" ref="G319">'migration'!G64</f>
        <v/>
      </c>
      <c r="H319" s="78">
        <f t="array" ref="H319">'migration'!H64</f>
        <v/>
      </c>
      <c r="I319" s="78">
        <f t="array" ref="I319">'migration'!I64</f>
        <v/>
      </c>
      <c r="J319" s="78">
        <f t="array" ref="J319">'migration'!J64</f>
        <v/>
      </c>
      <c r="K319" s="78">
        <f t="array" ref="K319">'migration'!K64</f>
        <v/>
      </c>
      <c r="L319" s="78" t="n"/>
    </row>
    <row r="320" ht="20.05" customHeight="1" s="215">
      <c r="A320" s="199">
        <f t="array" ref="A320">'migration'!$A65</f>
        <v/>
      </c>
      <c r="B320" s="78" t="n"/>
      <c r="C320" s="78">
        <f t="array" ref="C320">'migration'!C65</f>
        <v/>
      </c>
      <c r="D320" s="78">
        <f t="array" ref="D320">'migration'!D65</f>
        <v/>
      </c>
      <c r="E320" s="78">
        <f t="array" ref="E320">'migration'!E65</f>
        <v/>
      </c>
      <c r="F320" s="78">
        <f t="array" ref="F320">'migration'!F65</f>
        <v/>
      </c>
      <c r="G320" s="78">
        <f t="array" ref="G320">'migration'!G65</f>
        <v/>
      </c>
      <c r="H320" s="78">
        <f t="array" ref="H320">'migration'!H65</f>
        <v/>
      </c>
      <c r="I320" s="78">
        <f t="array" ref="I320">'migration'!I65</f>
        <v/>
      </c>
      <c r="J320" s="78">
        <f t="array" ref="J320">'migration'!J65</f>
        <v/>
      </c>
      <c r="K320" s="78">
        <f t="array" ref="K320">'migration'!K65</f>
        <v/>
      </c>
      <c r="L320" s="78" t="n"/>
    </row>
    <row r="321" ht="20.05" customHeight="1" s="215">
      <c r="A321" s="199">
        <f t="array" ref="A321">'migration'!$A66</f>
        <v/>
      </c>
      <c r="B321" s="78" t="n"/>
      <c r="C321" s="78">
        <f t="array" ref="C321">'migration'!C66</f>
        <v/>
      </c>
      <c r="D321" s="78">
        <f t="array" ref="D321">'migration'!D66</f>
        <v/>
      </c>
      <c r="E321" s="78">
        <f t="array" ref="E321">'migration'!E66</f>
        <v/>
      </c>
      <c r="F321" s="78">
        <f t="array" ref="F321">'migration'!F66</f>
        <v/>
      </c>
      <c r="G321" s="78">
        <f t="array" ref="G321">'migration'!G66</f>
        <v/>
      </c>
      <c r="H321" s="78">
        <f t="array" ref="H321">'migration'!H66</f>
        <v/>
      </c>
      <c r="I321" s="78">
        <f t="array" ref="I321">'migration'!I66</f>
        <v/>
      </c>
      <c r="J321" s="78">
        <f t="array" ref="J321">'migration'!J66</f>
        <v/>
      </c>
      <c r="K321" s="78">
        <f t="array" ref="K321">'migration'!K66</f>
        <v/>
      </c>
      <c r="L321" s="78" t="n"/>
    </row>
    <row r="322" ht="20.05" customHeight="1" s="215">
      <c r="A322" s="199">
        <f t="array" ref="A322">'migration'!$A67</f>
        <v/>
      </c>
      <c r="B322" s="78" t="n"/>
      <c r="C322" s="78">
        <f t="array" ref="C322">'migration'!C67</f>
        <v/>
      </c>
      <c r="D322" s="78">
        <f t="array" ref="D322">'migration'!D67</f>
        <v/>
      </c>
      <c r="E322" s="78">
        <f t="array" ref="E322">'migration'!E67</f>
        <v/>
      </c>
      <c r="F322" s="78">
        <f t="array" ref="F322">'migration'!F67</f>
        <v/>
      </c>
      <c r="G322" s="78">
        <f t="array" ref="G322">'migration'!G67</f>
        <v/>
      </c>
      <c r="H322" s="78">
        <f t="array" ref="H322">'migration'!H67</f>
        <v/>
      </c>
      <c r="I322" s="78">
        <f t="array" ref="I322">'migration'!I67</f>
        <v/>
      </c>
      <c r="J322" s="78">
        <f t="array" ref="J322">'migration'!J67</f>
        <v/>
      </c>
      <c r="K322" s="78">
        <f t="array" ref="K322">'migration'!K67</f>
        <v/>
      </c>
      <c r="L322" s="78" t="n"/>
    </row>
    <row r="323" ht="20.05" customHeight="1" s="215">
      <c r="A323" s="199">
        <f t="array" ref="A323">'migration'!$A68</f>
        <v/>
      </c>
      <c r="B323" s="78" t="n"/>
      <c r="C323" s="78">
        <f t="array" ref="C323">'migration'!C68</f>
        <v/>
      </c>
      <c r="D323" s="78">
        <f t="array" ref="D323">'migration'!D68</f>
        <v/>
      </c>
      <c r="E323" s="78">
        <f t="array" ref="E323">'migration'!E68</f>
        <v/>
      </c>
      <c r="F323" s="78">
        <f t="array" ref="F323">'migration'!F68</f>
        <v/>
      </c>
      <c r="G323" s="78">
        <f t="array" ref="G323">'migration'!G68</f>
        <v/>
      </c>
      <c r="H323" s="78">
        <f t="array" ref="H323">'migration'!H68</f>
        <v/>
      </c>
      <c r="I323" s="78">
        <f t="array" ref="I323">'migration'!I68</f>
        <v/>
      </c>
      <c r="J323" s="78">
        <f t="array" ref="J323">'migration'!J68</f>
        <v/>
      </c>
      <c r="K323" s="78">
        <f t="array" ref="K323">'migration'!K68</f>
        <v/>
      </c>
      <c r="L323" s="78" t="n"/>
    </row>
    <row r="324" ht="20.05" customHeight="1" s="215">
      <c r="A324" s="199">
        <f t="array" ref="A324">'migration'!$A69</f>
        <v/>
      </c>
      <c r="B324" s="78" t="n"/>
      <c r="C324" s="78">
        <f t="array" ref="C324">'migration'!C69</f>
        <v/>
      </c>
      <c r="D324" s="78">
        <f t="array" ref="D324">'migration'!D69</f>
        <v/>
      </c>
      <c r="E324" s="78">
        <f t="array" ref="E324">'migration'!E69</f>
        <v/>
      </c>
      <c r="F324" s="78">
        <f t="array" ref="F324">'migration'!F69</f>
        <v/>
      </c>
      <c r="G324" s="78">
        <f t="array" ref="G324">'migration'!G69</f>
        <v/>
      </c>
      <c r="H324" s="78">
        <f t="array" ref="H324">'migration'!H69</f>
        <v/>
      </c>
      <c r="I324" s="78">
        <f t="array" ref="I324">'migration'!I69</f>
        <v/>
      </c>
      <c r="J324" s="78">
        <f t="array" ref="J324">'migration'!J69</f>
        <v/>
      </c>
      <c r="K324" s="78">
        <f t="array" ref="K324">'migration'!K69</f>
        <v/>
      </c>
      <c r="L324" s="78" t="n"/>
    </row>
    <row r="325" ht="20.05" customHeight="1" s="215">
      <c r="A325" s="199">
        <f t="array" ref="A325">'migration'!$A70</f>
        <v/>
      </c>
      <c r="B325" s="78" t="n"/>
      <c r="C325" s="78">
        <f t="array" ref="C325">'migration'!C70</f>
        <v/>
      </c>
      <c r="D325" s="78">
        <f t="array" ref="D325">'migration'!D70</f>
        <v/>
      </c>
      <c r="E325" s="78">
        <f t="array" ref="E325">'migration'!E70</f>
        <v/>
      </c>
      <c r="F325" s="78">
        <f t="array" ref="F325">'migration'!F70</f>
        <v/>
      </c>
      <c r="G325" s="78">
        <f t="array" ref="G325">'migration'!G70</f>
        <v/>
      </c>
      <c r="H325" s="78">
        <f t="array" ref="H325">'migration'!H70</f>
        <v/>
      </c>
      <c r="I325" s="78">
        <f t="array" ref="I325">'migration'!I70</f>
        <v/>
      </c>
      <c r="J325" s="78">
        <f t="array" ref="J325">'migration'!J70</f>
        <v/>
      </c>
      <c r="K325" s="78">
        <f t="array" ref="K325">'migration'!K70</f>
        <v/>
      </c>
      <c r="L325" s="78" t="n"/>
    </row>
    <row r="326" ht="20.05" customHeight="1" s="215">
      <c r="A326" s="199">
        <f t="array" ref="A326">'migration'!$A71</f>
        <v/>
      </c>
      <c r="B326" s="78" t="n"/>
      <c r="C326" s="78">
        <f t="array" ref="C326">'migration'!C71</f>
        <v/>
      </c>
      <c r="D326" s="78">
        <f t="array" ref="D326">'migration'!D71</f>
        <v/>
      </c>
      <c r="E326" s="78">
        <f t="array" ref="E326">'migration'!E71</f>
        <v/>
      </c>
      <c r="F326" s="78">
        <f t="array" ref="F326">'migration'!F71</f>
        <v/>
      </c>
      <c r="G326" s="78">
        <f t="array" ref="G326">'migration'!G71</f>
        <v/>
      </c>
      <c r="H326" s="78">
        <f t="array" ref="H326">'migration'!H71</f>
        <v/>
      </c>
      <c r="I326" s="78">
        <f t="array" ref="I326">'migration'!I71</f>
        <v/>
      </c>
      <c r="J326" s="78">
        <f t="array" ref="J326">'migration'!J71</f>
        <v/>
      </c>
      <c r="K326" s="78">
        <f t="array" ref="K326">'migration'!K71</f>
        <v/>
      </c>
      <c r="L326" s="78" t="n"/>
    </row>
    <row r="327" ht="20.05" customHeight="1" s="215">
      <c r="A327" s="199">
        <f t="array" ref="A327">'migration'!$A72</f>
        <v/>
      </c>
      <c r="B327" s="78" t="n"/>
      <c r="C327" s="78">
        <f t="array" ref="C327">'migration'!C72</f>
        <v/>
      </c>
      <c r="D327" s="78">
        <f t="array" ref="D327">'migration'!D72</f>
        <v/>
      </c>
      <c r="E327" s="78">
        <f t="array" ref="E327">'migration'!E72</f>
        <v/>
      </c>
      <c r="F327" s="78">
        <f t="array" ref="F327">'migration'!F72</f>
        <v/>
      </c>
      <c r="G327" s="78">
        <f t="array" ref="G327">'migration'!G72</f>
        <v/>
      </c>
      <c r="H327" s="78">
        <f t="array" ref="H327">'migration'!H72</f>
        <v/>
      </c>
      <c r="I327" s="78">
        <f t="array" ref="I327">'migration'!I72</f>
        <v/>
      </c>
      <c r="J327" s="78">
        <f t="array" ref="J327">'migration'!J72</f>
        <v/>
      </c>
      <c r="K327" s="78">
        <f t="array" ref="K327">'migration'!K72</f>
        <v/>
      </c>
      <c r="L327" s="78" t="n"/>
    </row>
    <row r="328" ht="20.05" customHeight="1" s="215">
      <c r="A328" s="199">
        <f t="array" ref="A328">'migration'!$A73</f>
        <v/>
      </c>
      <c r="B328" s="78" t="n"/>
      <c r="C328" s="78">
        <f t="array" ref="C328">'migration'!C73</f>
        <v/>
      </c>
      <c r="D328" s="78">
        <f t="array" ref="D328">'migration'!D73</f>
        <v/>
      </c>
      <c r="E328" s="78">
        <f t="array" ref="E328">'migration'!E73</f>
        <v/>
      </c>
      <c r="F328" s="78">
        <f t="array" ref="F328">'migration'!F73</f>
        <v/>
      </c>
      <c r="G328" s="78">
        <f t="array" ref="G328">'migration'!G73</f>
        <v/>
      </c>
      <c r="H328" s="78">
        <f t="array" ref="H328">'migration'!H73</f>
        <v/>
      </c>
      <c r="I328" s="78">
        <f t="array" ref="I328">'migration'!I73</f>
        <v/>
      </c>
      <c r="J328" s="78">
        <f t="array" ref="J328">'migration'!J73</f>
        <v/>
      </c>
      <c r="K328" s="78">
        <f t="array" ref="K328">'migration'!K73</f>
        <v/>
      </c>
      <c r="L328" s="78" t="n"/>
    </row>
    <row r="329" ht="20.05" customHeight="1" s="215">
      <c r="A329" s="199">
        <f t="array" ref="A329">'migration'!$A74</f>
        <v/>
      </c>
      <c r="B329" s="78" t="n"/>
      <c r="C329" s="78">
        <f t="array" ref="C329">'migration'!C74</f>
        <v/>
      </c>
      <c r="D329" s="78">
        <f t="array" ref="D329">'migration'!D74</f>
        <v/>
      </c>
      <c r="E329" s="78">
        <f t="array" ref="E329">'migration'!E74</f>
        <v/>
      </c>
      <c r="F329" s="78">
        <f t="array" ref="F329">'migration'!F74</f>
        <v/>
      </c>
      <c r="G329" s="78">
        <f t="array" ref="G329">'migration'!G74</f>
        <v/>
      </c>
      <c r="H329" s="78">
        <f t="array" ref="H329">'migration'!H74</f>
        <v/>
      </c>
      <c r="I329" s="78">
        <f t="array" ref="I329">'migration'!I74</f>
        <v/>
      </c>
      <c r="J329" s="78">
        <f t="array" ref="J329">'migration'!J74</f>
        <v/>
      </c>
      <c r="K329" s="78">
        <f t="array" ref="K329">'migration'!K74</f>
        <v/>
      </c>
      <c r="L329" s="78" t="n"/>
    </row>
    <row r="330" ht="20.05" customHeight="1" s="215">
      <c r="A330" s="199">
        <f t="array" ref="A330">'migration'!$A75</f>
        <v/>
      </c>
      <c r="B330" s="78" t="n"/>
      <c r="C330" s="78">
        <f t="array" ref="C330">'migration'!C75</f>
        <v/>
      </c>
      <c r="D330" s="78">
        <f t="array" ref="D330">'migration'!D75</f>
        <v/>
      </c>
      <c r="E330" s="78">
        <f t="array" ref="E330">'migration'!E75</f>
        <v/>
      </c>
      <c r="F330" s="78">
        <f t="array" ref="F330">'migration'!F75</f>
        <v/>
      </c>
      <c r="G330" s="78">
        <f t="array" ref="G330">'migration'!G75</f>
        <v/>
      </c>
      <c r="H330" s="78">
        <f t="array" ref="H330">'migration'!H75</f>
        <v/>
      </c>
      <c r="I330" s="78">
        <f t="array" ref="I330">'migration'!I75</f>
        <v/>
      </c>
      <c r="J330" s="78">
        <f t="array" ref="J330">'migration'!J75</f>
        <v/>
      </c>
      <c r="K330" s="78">
        <f t="array" ref="K330">'migration'!K75</f>
        <v/>
      </c>
      <c r="L330" s="78" t="n"/>
    </row>
    <row r="331" ht="20.05" customHeight="1" s="215">
      <c r="A331" s="199">
        <f t="array" ref="A331">'migration'!$A76</f>
        <v/>
      </c>
      <c r="B331" s="78" t="n"/>
      <c r="C331" s="78">
        <f t="array" ref="C331">'migration'!C76</f>
        <v/>
      </c>
      <c r="D331" s="78">
        <f t="array" ref="D331">'migration'!D76</f>
        <v/>
      </c>
      <c r="E331" s="78">
        <f t="array" ref="E331">'migration'!E76</f>
        <v/>
      </c>
      <c r="F331" s="78">
        <f t="array" ref="F331">'migration'!F76</f>
        <v/>
      </c>
      <c r="G331" s="78">
        <f t="array" ref="G331">'migration'!G76</f>
        <v/>
      </c>
      <c r="H331" s="78">
        <f t="array" ref="H331">'migration'!H76</f>
        <v/>
      </c>
      <c r="I331" s="78">
        <f t="array" ref="I331">'migration'!I76</f>
        <v/>
      </c>
      <c r="J331" s="78">
        <f t="array" ref="J331">'migration'!J76</f>
        <v/>
      </c>
      <c r="K331" s="78">
        <f t="array" ref="K331">'migration'!K76</f>
        <v/>
      </c>
      <c r="L331" s="78" t="n"/>
    </row>
    <row r="332" ht="20.05" customHeight="1" s="215">
      <c r="A332" s="199">
        <f t="array" ref="A332">'migration'!$A77</f>
        <v/>
      </c>
      <c r="B332" s="78" t="n"/>
      <c r="C332" s="78">
        <f t="array" ref="C332">'migration'!C77</f>
        <v/>
      </c>
      <c r="D332" s="78">
        <f t="array" ref="D332">'migration'!D77</f>
        <v/>
      </c>
      <c r="E332" s="78">
        <f t="array" ref="E332">'migration'!E77</f>
        <v/>
      </c>
      <c r="F332" s="78">
        <f t="array" ref="F332">'migration'!F77</f>
        <v/>
      </c>
      <c r="G332" s="78">
        <f t="array" ref="G332">'migration'!G77</f>
        <v/>
      </c>
      <c r="H332" s="78">
        <f t="array" ref="H332">'migration'!H77</f>
        <v/>
      </c>
      <c r="I332" s="78">
        <f t="array" ref="I332">'migration'!I77</f>
        <v/>
      </c>
      <c r="J332" s="78">
        <f t="array" ref="J332">'migration'!J77</f>
        <v/>
      </c>
      <c r="K332" s="78">
        <f t="array" ref="K332">'migration'!K77</f>
        <v/>
      </c>
      <c r="L332" s="78" t="n"/>
    </row>
    <row r="333" ht="20.05" customHeight="1" s="215">
      <c r="A333" s="199">
        <f t="array" ref="A333">'migration'!$A78</f>
        <v/>
      </c>
      <c r="B333" s="78" t="n"/>
      <c r="C333" s="78">
        <f t="array" ref="C333">'migration'!C78</f>
        <v/>
      </c>
      <c r="D333" s="78">
        <f t="array" ref="D333">'migration'!D78</f>
        <v/>
      </c>
      <c r="E333" s="78">
        <f t="array" ref="E333">'migration'!E78</f>
        <v/>
      </c>
      <c r="F333" s="78">
        <f t="array" ref="F333">'migration'!F78</f>
        <v/>
      </c>
      <c r="G333" s="78">
        <f t="array" ref="G333">'migration'!G78</f>
        <v/>
      </c>
      <c r="H333" s="78">
        <f t="array" ref="H333">'migration'!H78</f>
        <v/>
      </c>
      <c r="I333" s="78">
        <f t="array" ref="I333">'migration'!I78</f>
        <v/>
      </c>
      <c r="J333" s="78">
        <f t="array" ref="J333">'migration'!J78</f>
        <v/>
      </c>
      <c r="K333" s="78">
        <f t="array" ref="K333">'migration'!K78</f>
        <v/>
      </c>
      <c r="L333" s="78" t="n"/>
    </row>
    <row r="334" ht="20.05" customHeight="1" s="215">
      <c r="A334" s="199">
        <f t="array" ref="A334">'migration'!$A79</f>
        <v/>
      </c>
      <c r="B334" s="78" t="n"/>
      <c r="C334" s="78">
        <f t="array" ref="C334">'migration'!C79</f>
        <v/>
      </c>
      <c r="D334" s="78">
        <f t="array" ref="D334">'migration'!D79</f>
        <v/>
      </c>
      <c r="E334" s="78">
        <f t="array" ref="E334">'migration'!E79</f>
        <v/>
      </c>
      <c r="F334" s="78">
        <f t="array" ref="F334">'migration'!F79</f>
        <v/>
      </c>
      <c r="G334" s="78">
        <f t="array" ref="G334">'migration'!G79</f>
        <v/>
      </c>
      <c r="H334" s="78">
        <f t="array" ref="H334">'migration'!H79</f>
        <v/>
      </c>
      <c r="I334" s="78">
        <f t="array" ref="I334">'migration'!I79</f>
        <v/>
      </c>
      <c r="J334" s="78">
        <f t="array" ref="J334">'migration'!J79</f>
        <v/>
      </c>
      <c r="K334" s="78">
        <f t="array" ref="K334">'migration'!K79</f>
        <v/>
      </c>
      <c r="L334" s="78" t="n"/>
    </row>
    <row r="335" ht="20.05" customHeight="1" s="215">
      <c r="A335" s="199">
        <f t="array" ref="A335">'migration'!$A80</f>
        <v/>
      </c>
      <c r="B335" s="78" t="n"/>
      <c r="C335" s="78">
        <f t="array" ref="C335">'migration'!C80</f>
        <v/>
      </c>
      <c r="D335" s="78">
        <f t="array" ref="D335">'migration'!D80</f>
        <v/>
      </c>
      <c r="E335" s="78">
        <f t="array" ref="E335">'migration'!E80</f>
        <v/>
      </c>
      <c r="F335" s="78">
        <f t="array" ref="F335">'migration'!F80</f>
        <v/>
      </c>
      <c r="G335" s="78">
        <f t="array" ref="G335">'migration'!G80</f>
        <v/>
      </c>
      <c r="H335" s="78">
        <f t="array" ref="H335">'migration'!H80</f>
        <v/>
      </c>
      <c r="I335" s="78">
        <f t="array" ref="I335">'migration'!I80</f>
        <v/>
      </c>
      <c r="J335" s="78">
        <f t="array" ref="J335">'migration'!J80</f>
        <v/>
      </c>
      <c r="K335" s="78">
        <f t="array" ref="K335">'migration'!K80</f>
        <v/>
      </c>
      <c r="L335" s="78" t="n"/>
    </row>
    <row r="336" ht="20.05" customHeight="1" s="215">
      <c r="A336" s="199">
        <f t="array" ref="A336">'migration'!$A81</f>
        <v/>
      </c>
      <c r="B336" s="78" t="n"/>
      <c r="C336" s="78">
        <f t="array" ref="C336">'migration'!C81</f>
        <v/>
      </c>
      <c r="D336" s="78">
        <f t="array" ref="D336">'migration'!D81</f>
        <v/>
      </c>
      <c r="E336" s="78">
        <f t="array" ref="E336">'migration'!E81</f>
        <v/>
      </c>
      <c r="F336" s="78">
        <f t="array" ref="F336">'migration'!F81</f>
        <v/>
      </c>
      <c r="G336" s="78">
        <f t="array" ref="G336">'migration'!G81</f>
        <v/>
      </c>
      <c r="H336" s="78">
        <f t="array" ref="H336">'migration'!H81</f>
        <v/>
      </c>
      <c r="I336" s="78">
        <f t="array" ref="I336">'migration'!I81</f>
        <v/>
      </c>
      <c r="J336" s="78">
        <f t="array" ref="J336">'migration'!J81</f>
        <v/>
      </c>
      <c r="K336" s="78">
        <f t="array" ref="K336">'migration'!K81</f>
        <v/>
      </c>
      <c r="L336" s="78" t="n"/>
    </row>
    <row r="337" ht="20.05" customHeight="1" s="215">
      <c r="A337" s="199">
        <f t="array" ref="A337">'migration'!$A82</f>
        <v/>
      </c>
      <c r="B337" s="78" t="n"/>
      <c r="C337" s="78">
        <f t="array" ref="C337">'migration'!C82</f>
        <v/>
      </c>
      <c r="D337" s="78">
        <f t="array" ref="D337">'migration'!D82</f>
        <v/>
      </c>
      <c r="E337" s="78">
        <f t="array" ref="E337">'migration'!E82</f>
        <v/>
      </c>
      <c r="F337" s="78">
        <f t="array" ref="F337">'migration'!F82</f>
        <v/>
      </c>
      <c r="G337" s="78">
        <f t="array" ref="G337">'migration'!G82</f>
        <v/>
      </c>
      <c r="H337" s="78">
        <f t="array" ref="H337">'migration'!H82</f>
        <v/>
      </c>
      <c r="I337" s="78">
        <f t="array" ref="I337">'migration'!I82</f>
        <v/>
      </c>
      <c r="J337" s="78">
        <f t="array" ref="J337">'migration'!J82</f>
        <v/>
      </c>
      <c r="K337" s="78">
        <f t="array" ref="K337">'migration'!K82</f>
        <v/>
      </c>
      <c r="L337" s="78" t="n"/>
    </row>
    <row r="338" ht="20.05" customHeight="1" s="215">
      <c r="A338" s="199">
        <f t="array" ref="A338">'migration'!$A83</f>
        <v/>
      </c>
      <c r="B338" s="78" t="n"/>
      <c r="C338" s="78">
        <f t="array" ref="C338">'migration'!C83</f>
        <v/>
      </c>
      <c r="D338" s="78">
        <f t="array" ref="D338">'migration'!D83</f>
        <v/>
      </c>
      <c r="E338" s="78">
        <f t="array" ref="E338">'migration'!E83</f>
        <v/>
      </c>
      <c r="F338" s="78">
        <f t="array" ref="F338">'migration'!F83</f>
        <v/>
      </c>
      <c r="G338" s="78">
        <f t="array" ref="G338">'migration'!G83</f>
        <v/>
      </c>
      <c r="H338" s="78">
        <f t="array" ref="H338">'migration'!H83</f>
        <v/>
      </c>
      <c r="I338" s="78">
        <f t="array" ref="I338">'migration'!I83</f>
        <v/>
      </c>
      <c r="J338" s="78">
        <f t="array" ref="J338">'migration'!J83</f>
        <v/>
      </c>
      <c r="K338" s="78">
        <f t="array" ref="K338">'migration'!K83</f>
        <v/>
      </c>
      <c r="L338" s="78" t="n"/>
    </row>
    <row r="339" ht="20.05" customHeight="1" s="215">
      <c r="A339" s="199">
        <f t="array" ref="A339">'migration'!$A84</f>
        <v/>
      </c>
      <c r="B339" s="78" t="n"/>
      <c r="C339" s="78">
        <f t="array" ref="C339">'migration'!C84</f>
        <v/>
      </c>
      <c r="D339" s="78">
        <f t="array" ref="D339">'migration'!D84</f>
        <v/>
      </c>
      <c r="E339" s="78">
        <f t="array" ref="E339">'migration'!E84</f>
        <v/>
      </c>
      <c r="F339" s="78">
        <f t="array" ref="F339">'migration'!F84</f>
        <v/>
      </c>
      <c r="G339" s="78">
        <f t="array" ref="G339">'migration'!G84</f>
        <v/>
      </c>
      <c r="H339" s="78">
        <f t="array" ref="H339">'migration'!H84</f>
        <v/>
      </c>
      <c r="I339" s="78">
        <f t="array" ref="I339">'migration'!I84</f>
        <v/>
      </c>
      <c r="J339" s="78">
        <f t="array" ref="J339">'migration'!J84</f>
        <v/>
      </c>
      <c r="K339" s="78">
        <f t="array" ref="K339">'migration'!K84</f>
        <v/>
      </c>
      <c r="L339" s="78" t="n"/>
    </row>
    <row r="340" ht="20.05" customHeight="1" s="215">
      <c r="A340" s="199">
        <f t="array" ref="A340">'migration'!$A85</f>
        <v/>
      </c>
      <c r="B340" s="78" t="n"/>
      <c r="C340" s="78">
        <f t="array" ref="C340">'migration'!C85</f>
        <v/>
      </c>
      <c r="D340" s="78">
        <f t="array" ref="D340">'migration'!D85</f>
        <v/>
      </c>
      <c r="E340" s="78">
        <f t="array" ref="E340">'migration'!E85</f>
        <v/>
      </c>
      <c r="F340" s="78">
        <f t="array" ref="F340">'migration'!F85</f>
        <v/>
      </c>
      <c r="G340" s="78">
        <f t="array" ref="G340">'migration'!G85</f>
        <v/>
      </c>
      <c r="H340" s="78">
        <f t="array" ref="H340">'migration'!H85</f>
        <v/>
      </c>
      <c r="I340" s="78">
        <f t="array" ref="I340">'migration'!I85</f>
        <v/>
      </c>
      <c r="J340" s="78">
        <f t="array" ref="J340">'migration'!J85</f>
        <v/>
      </c>
      <c r="K340" s="78">
        <f t="array" ref="K340">'migration'!K85</f>
        <v/>
      </c>
      <c r="L340" s="78" t="n"/>
    </row>
    <row r="341" ht="20.05" customHeight="1" s="215">
      <c r="A341" s="199">
        <f t="array" ref="A341">'migration'!$A86</f>
        <v/>
      </c>
      <c r="B341" s="78" t="n"/>
      <c r="C341" s="78">
        <f t="array" ref="C341">'migration'!C86</f>
        <v/>
      </c>
      <c r="D341" s="78">
        <f t="array" ref="D341">'migration'!D86</f>
        <v/>
      </c>
      <c r="E341" s="78">
        <f t="array" ref="E341">'migration'!E86</f>
        <v/>
      </c>
      <c r="F341" s="78">
        <f t="array" ref="F341">'migration'!F86</f>
        <v/>
      </c>
      <c r="G341" s="78">
        <f t="array" ref="G341">'migration'!G86</f>
        <v/>
      </c>
      <c r="H341" s="78">
        <f t="array" ref="H341">'migration'!H86</f>
        <v/>
      </c>
      <c r="I341" s="78">
        <f t="array" ref="I341">'migration'!I86</f>
        <v/>
      </c>
      <c r="J341" s="78">
        <f t="array" ref="J341">'migration'!J86</f>
        <v/>
      </c>
      <c r="K341" s="78">
        <f t="array" ref="K341">'migration'!K86</f>
        <v/>
      </c>
      <c r="L341" s="78" t="n"/>
    </row>
    <row r="342" ht="20.05" customHeight="1" s="215">
      <c r="A342" s="199">
        <f t="array" ref="A342">'migration'!$A87</f>
        <v/>
      </c>
      <c r="B342" s="78" t="n"/>
      <c r="C342" s="78">
        <f t="array" ref="C342">'migration'!C87</f>
        <v/>
      </c>
      <c r="D342" s="78">
        <f t="array" ref="D342">'migration'!D87</f>
        <v/>
      </c>
      <c r="E342" s="78">
        <f t="array" ref="E342">'migration'!E87</f>
        <v/>
      </c>
      <c r="F342" s="78">
        <f t="array" ref="F342">'migration'!F87</f>
        <v/>
      </c>
      <c r="G342" s="78">
        <f t="array" ref="G342">'migration'!G87</f>
        <v/>
      </c>
      <c r="H342" s="78">
        <f t="array" ref="H342">'migration'!H87</f>
        <v/>
      </c>
      <c r="I342" s="78">
        <f t="array" ref="I342">'migration'!I87</f>
        <v/>
      </c>
      <c r="J342" s="78">
        <f t="array" ref="J342">'migration'!J87</f>
        <v/>
      </c>
      <c r="K342" s="78">
        <f t="array" ref="K342">'migration'!K87</f>
        <v/>
      </c>
      <c r="L342" s="78" t="n"/>
    </row>
    <row r="343" ht="20.05" customHeight="1" s="215">
      <c r="A343" s="199">
        <f t="array" ref="A343">'migration'!$A88</f>
        <v/>
      </c>
      <c r="B343" s="78" t="n"/>
      <c r="C343" s="78">
        <f t="array" ref="C343">'migration'!C88</f>
        <v/>
      </c>
      <c r="D343" s="78">
        <f t="array" ref="D343">'migration'!D88</f>
        <v/>
      </c>
      <c r="E343" s="78">
        <f t="array" ref="E343">'migration'!E88</f>
        <v/>
      </c>
      <c r="F343" s="78">
        <f t="array" ref="F343">'migration'!F88</f>
        <v/>
      </c>
      <c r="G343" s="78">
        <f t="array" ref="G343">'migration'!G88</f>
        <v/>
      </c>
      <c r="H343" s="78">
        <f t="array" ref="H343">'migration'!H88</f>
        <v/>
      </c>
      <c r="I343" s="78">
        <f t="array" ref="I343">'migration'!I88</f>
        <v/>
      </c>
      <c r="J343" s="78">
        <f t="array" ref="J343">'migration'!J88</f>
        <v/>
      </c>
      <c r="K343" s="78">
        <f t="array" ref="K343">'migration'!K88</f>
        <v/>
      </c>
      <c r="L343" s="78" t="n"/>
    </row>
    <row r="344" ht="20.05" customHeight="1" s="215">
      <c r="A344" s="199">
        <f t="array" ref="A344">'migration'!$A89</f>
        <v/>
      </c>
      <c r="B344" s="78" t="n"/>
      <c r="C344" s="78">
        <f t="array" ref="C344">'migration'!C89</f>
        <v/>
      </c>
      <c r="D344" s="78">
        <f t="array" ref="D344">'migration'!D89</f>
        <v/>
      </c>
      <c r="E344" s="78">
        <f t="array" ref="E344">'migration'!E89</f>
        <v/>
      </c>
      <c r="F344" s="78">
        <f t="array" ref="F344">'migration'!F89</f>
        <v/>
      </c>
      <c r="G344" s="78">
        <f t="array" ref="G344">'migration'!G89</f>
        <v/>
      </c>
      <c r="H344" s="78">
        <f t="array" ref="H344">'migration'!H89</f>
        <v/>
      </c>
      <c r="I344" s="78">
        <f t="array" ref="I344">'migration'!I89</f>
        <v/>
      </c>
      <c r="J344" s="78">
        <f t="array" ref="J344">'migration'!J89</f>
        <v/>
      </c>
      <c r="K344" s="78">
        <f t="array" ref="K344">'migration'!K89</f>
        <v/>
      </c>
      <c r="L344" s="78" t="n"/>
    </row>
    <row r="345" ht="20.05" customHeight="1" s="215">
      <c r="A345" s="199">
        <f t="array" ref="A345">'migration'!$A90</f>
        <v/>
      </c>
      <c r="B345" s="78" t="n"/>
      <c r="C345" s="78">
        <f t="array" ref="C345">'migration'!C90</f>
        <v/>
      </c>
      <c r="D345" s="78">
        <f t="array" ref="D345">'migration'!D90</f>
        <v/>
      </c>
      <c r="E345" s="78">
        <f t="array" ref="E345">'migration'!E90</f>
        <v/>
      </c>
      <c r="F345" s="78">
        <f t="array" ref="F345">'migration'!F90</f>
        <v/>
      </c>
      <c r="G345" s="78">
        <f t="array" ref="G345">'migration'!G90</f>
        <v/>
      </c>
      <c r="H345" s="78">
        <f t="array" ref="H345">'migration'!H90</f>
        <v/>
      </c>
      <c r="I345" s="78">
        <f t="array" ref="I345">'migration'!I90</f>
        <v/>
      </c>
      <c r="J345" s="78">
        <f t="array" ref="J345">'migration'!J90</f>
        <v/>
      </c>
      <c r="K345" s="78">
        <f t="array" ref="K345">'migration'!K90</f>
        <v/>
      </c>
      <c r="L345" s="78" t="n"/>
    </row>
    <row r="346" ht="20.05" customHeight="1" s="215">
      <c r="A346" s="199">
        <f t="array" ref="A346">'migration'!$A91</f>
        <v/>
      </c>
      <c r="B346" s="78" t="n"/>
      <c r="C346" s="78">
        <f t="array" ref="C346">'migration'!C91</f>
        <v/>
      </c>
      <c r="D346" s="78">
        <f t="array" ref="D346">'migration'!D91</f>
        <v/>
      </c>
      <c r="E346" s="78">
        <f t="array" ref="E346">'migration'!E91</f>
        <v/>
      </c>
      <c r="F346" s="78">
        <f t="array" ref="F346">'migration'!F91</f>
        <v/>
      </c>
      <c r="G346" s="78">
        <f t="array" ref="G346">'migration'!G91</f>
        <v/>
      </c>
      <c r="H346" s="78">
        <f t="array" ref="H346">'migration'!H91</f>
        <v/>
      </c>
      <c r="I346" s="78">
        <f t="array" ref="I346">'migration'!I91</f>
        <v/>
      </c>
      <c r="J346" s="78">
        <f t="array" ref="J346">'migration'!J91</f>
        <v/>
      </c>
      <c r="K346" s="78">
        <f t="array" ref="K346">'migration'!K91</f>
        <v/>
      </c>
      <c r="L346" s="78" t="n"/>
    </row>
    <row r="347" ht="20.05" customHeight="1" s="215">
      <c r="A347" s="199">
        <f t="array" ref="A347">'migration'!$A92</f>
        <v/>
      </c>
      <c r="B347" s="78" t="n"/>
      <c r="C347" s="78">
        <f t="array" ref="C347">'migration'!C92</f>
        <v/>
      </c>
      <c r="D347" s="78">
        <f t="array" ref="D347">'migration'!D92</f>
        <v/>
      </c>
      <c r="E347" s="78">
        <f t="array" ref="E347">'migration'!E92</f>
        <v/>
      </c>
      <c r="F347" s="78">
        <f t="array" ref="F347">'migration'!F92</f>
        <v/>
      </c>
      <c r="G347" s="78">
        <f t="array" ref="G347">'migration'!G92</f>
        <v/>
      </c>
      <c r="H347" s="78">
        <f t="array" ref="H347">'migration'!H92</f>
        <v/>
      </c>
      <c r="I347" s="78">
        <f t="array" ref="I347">'migration'!I92</f>
        <v/>
      </c>
      <c r="J347" s="78">
        <f t="array" ref="J347">'migration'!J92</f>
        <v/>
      </c>
      <c r="K347" s="78">
        <f t="array" ref="K347">'migration'!K92</f>
        <v/>
      </c>
      <c r="L347" s="78" t="n"/>
    </row>
    <row r="348" ht="20.05" customHeight="1" s="215">
      <c r="A348" s="199">
        <f t="array" ref="A348">'migration'!$A93</f>
        <v/>
      </c>
      <c r="B348" s="78" t="n"/>
      <c r="C348" s="78">
        <f t="array" ref="C348">'migration'!C93</f>
        <v/>
      </c>
      <c r="D348" s="78">
        <f t="array" ref="D348">'migration'!D93</f>
        <v/>
      </c>
      <c r="E348" s="78">
        <f t="array" ref="E348">'migration'!E93</f>
        <v/>
      </c>
      <c r="F348" s="78">
        <f t="array" ref="F348">'migration'!F93</f>
        <v/>
      </c>
      <c r="G348" s="78">
        <f t="array" ref="G348">'migration'!G93</f>
        <v/>
      </c>
      <c r="H348" s="78">
        <f t="array" ref="H348">'migration'!H93</f>
        <v/>
      </c>
      <c r="I348" s="78">
        <f t="array" ref="I348">'migration'!I93</f>
        <v/>
      </c>
      <c r="J348" s="78">
        <f t="array" ref="J348">'migration'!J93</f>
        <v/>
      </c>
      <c r="K348" s="78">
        <f t="array" ref="K348">'migration'!K93</f>
        <v/>
      </c>
      <c r="L348" s="78" t="n"/>
    </row>
    <row r="349" ht="20.05" customHeight="1" s="215">
      <c r="A349" s="199">
        <f t="array" ref="A349">'migration'!$A94</f>
        <v/>
      </c>
      <c r="B349" s="78" t="n"/>
      <c r="C349" s="78">
        <f t="array" ref="C349">'migration'!C94</f>
        <v/>
      </c>
      <c r="D349" s="78">
        <f t="array" ref="D349">'migration'!D94</f>
        <v/>
      </c>
      <c r="E349" s="78">
        <f t="array" ref="E349">'migration'!E94</f>
        <v/>
      </c>
      <c r="F349" s="78">
        <f t="array" ref="F349">'migration'!F94</f>
        <v/>
      </c>
      <c r="G349" s="78">
        <f t="array" ref="G349">'migration'!G94</f>
        <v/>
      </c>
      <c r="H349" s="78">
        <f t="array" ref="H349">'migration'!H94</f>
        <v/>
      </c>
      <c r="I349" s="78">
        <f t="array" ref="I349">'migration'!I94</f>
        <v/>
      </c>
      <c r="J349" s="78">
        <f t="array" ref="J349">'migration'!J94</f>
        <v/>
      </c>
      <c r="K349" s="78">
        <f t="array" ref="K349">'migration'!K94</f>
        <v/>
      </c>
      <c r="L349" s="78" t="n"/>
    </row>
    <row r="350" ht="20.05" customHeight="1" s="215">
      <c r="A350" s="199">
        <f t="array" ref="A350">'migration'!$A95</f>
        <v/>
      </c>
      <c r="B350" s="78" t="n"/>
      <c r="C350" s="78">
        <f t="array" ref="C350">'migration'!C95</f>
        <v/>
      </c>
      <c r="D350" s="78">
        <f t="array" ref="D350">'migration'!D95</f>
        <v/>
      </c>
      <c r="E350" s="78">
        <f t="array" ref="E350">'migration'!E95</f>
        <v/>
      </c>
      <c r="F350" s="78">
        <f t="array" ref="F350">'migration'!F95</f>
        <v/>
      </c>
      <c r="G350" s="78">
        <f t="array" ref="G350">'migration'!G95</f>
        <v/>
      </c>
      <c r="H350" s="78">
        <f t="array" ref="H350">'migration'!H95</f>
        <v/>
      </c>
      <c r="I350" s="78">
        <f t="array" ref="I350">'migration'!I95</f>
        <v/>
      </c>
      <c r="J350" s="78">
        <f t="array" ref="J350">'migration'!J95</f>
        <v/>
      </c>
      <c r="K350" s="78">
        <f t="array" ref="K350">'migration'!K95</f>
        <v/>
      </c>
      <c r="L350" s="78" t="n"/>
    </row>
    <row r="351" ht="20.05" customHeight="1" s="215">
      <c r="A351" s="199">
        <f t="array" ref="A351">'migration'!$A96</f>
        <v/>
      </c>
      <c r="B351" s="78" t="n"/>
      <c r="C351" s="78">
        <f t="array" ref="C351">'migration'!C96</f>
        <v/>
      </c>
      <c r="D351" s="78">
        <f t="array" ref="D351">'migration'!D96</f>
        <v/>
      </c>
      <c r="E351" s="78">
        <f t="array" ref="E351">'migration'!E96</f>
        <v/>
      </c>
      <c r="F351" s="78">
        <f t="array" ref="F351">'migration'!F96</f>
        <v/>
      </c>
      <c r="G351" s="78">
        <f t="array" ref="G351">'migration'!G96</f>
        <v/>
      </c>
      <c r="H351" s="78">
        <f t="array" ref="H351">'migration'!H96</f>
        <v/>
      </c>
      <c r="I351" s="78">
        <f t="array" ref="I351">'migration'!I96</f>
        <v/>
      </c>
      <c r="J351" s="78">
        <f t="array" ref="J351">'migration'!J96</f>
        <v/>
      </c>
      <c r="K351" s="78">
        <f t="array" ref="K351">'migration'!K96</f>
        <v/>
      </c>
      <c r="L351" s="78" t="n"/>
    </row>
    <row r="352" ht="20.05" customHeight="1" s="215">
      <c r="A352" s="199">
        <f t="array" ref="A352">'migration'!$A97</f>
        <v/>
      </c>
      <c r="B352" s="78" t="n"/>
      <c r="C352" s="78">
        <f t="array" ref="C352">'migration'!C97</f>
        <v/>
      </c>
      <c r="D352" s="78">
        <f t="array" ref="D352">'migration'!D97</f>
        <v/>
      </c>
      <c r="E352" s="78">
        <f t="array" ref="E352">'migration'!E97</f>
        <v/>
      </c>
      <c r="F352" s="78">
        <f t="array" ref="F352">'migration'!F97</f>
        <v/>
      </c>
      <c r="G352" s="78">
        <f t="array" ref="G352">'migration'!G97</f>
        <v/>
      </c>
      <c r="H352" s="78">
        <f t="array" ref="H352">'migration'!H97</f>
        <v/>
      </c>
      <c r="I352" s="78">
        <f t="array" ref="I352">'migration'!I97</f>
        <v/>
      </c>
      <c r="J352" s="78">
        <f t="array" ref="J352">'migration'!J97</f>
        <v/>
      </c>
      <c r="K352" s="78">
        <f t="array" ref="K352">'migration'!K97</f>
        <v/>
      </c>
      <c r="L352" s="78" t="n"/>
    </row>
    <row r="353" ht="20.05" customHeight="1" s="215">
      <c r="A353" s="199">
        <f t="array" ref="A353">'migration'!$A98</f>
        <v/>
      </c>
      <c r="B353" s="78" t="n"/>
      <c r="C353" s="78">
        <f t="array" ref="C353">'migration'!C98</f>
        <v/>
      </c>
      <c r="D353" s="78">
        <f t="array" ref="D353">'migration'!D98</f>
        <v/>
      </c>
      <c r="E353" s="78">
        <f t="array" ref="E353">'migration'!E98</f>
        <v/>
      </c>
      <c r="F353" s="78">
        <f t="array" ref="F353">'migration'!F98</f>
        <v/>
      </c>
      <c r="G353" s="78">
        <f t="array" ref="G353">'migration'!G98</f>
        <v/>
      </c>
      <c r="H353" s="78">
        <f t="array" ref="H353">'migration'!H98</f>
        <v/>
      </c>
      <c r="I353" s="78">
        <f t="array" ref="I353">'migration'!I98</f>
        <v/>
      </c>
      <c r="J353" s="78">
        <f t="array" ref="J353">'migration'!J98</f>
        <v/>
      </c>
      <c r="K353" s="78">
        <f t="array" ref="K353">'migration'!K98</f>
        <v/>
      </c>
      <c r="L353" s="78" t="n"/>
    </row>
    <row r="354" ht="20.05" customHeight="1" s="215">
      <c r="A354" s="199">
        <f t="array" ref="A354">'migration'!$A99</f>
        <v/>
      </c>
      <c r="B354" s="78" t="n"/>
      <c r="C354" s="78">
        <f t="array" ref="C354">'migration'!C99</f>
        <v/>
      </c>
      <c r="D354" s="78">
        <f t="array" ref="D354">'migration'!D99</f>
        <v/>
      </c>
      <c r="E354" s="78">
        <f t="array" ref="E354">'migration'!E99</f>
        <v/>
      </c>
      <c r="F354" s="78">
        <f t="array" ref="F354">'migration'!F99</f>
        <v/>
      </c>
      <c r="G354" s="78">
        <f t="array" ref="G354">'migration'!G99</f>
        <v/>
      </c>
      <c r="H354" s="78">
        <f t="array" ref="H354">'migration'!H99</f>
        <v/>
      </c>
      <c r="I354" s="78">
        <f t="array" ref="I354">'migration'!I99</f>
        <v/>
      </c>
      <c r="J354" s="78">
        <f t="array" ref="J354">'migration'!J99</f>
        <v/>
      </c>
      <c r="K354" s="78">
        <f t="array" ref="K354">'migration'!K99</f>
        <v/>
      </c>
      <c r="L354" s="78" t="n"/>
    </row>
    <row r="355" ht="20.05" customHeight="1" s="215">
      <c r="A355" s="199">
        <f t="array" ref="A355">'migration'!$A100</f>
        <v/>
      </c>
      <c r="B355" s="78" t="n"/>
      <c r="C355" s="78">
        <f t="array" ref="C355">'migration'!C100</f>
        <v/>
      </c>
      <c r="D355" s="78">
        <f t="array" ref="D355">'migration'!D100</f>
        <v/>
      </c>
      <c r="E355" s="78">
        <f t="array" ref="E355">'migration'!E100</f>
        <v/>
      </c>
      <c r="F355" s="78">
        <f t="array" ref="F355">'migration'!F100</f>
        <v/>
      </c>
      <c r="G355" s="78">
        <f t="array" ref="G355">'migration'!G100</f>
        <v/>
      </c>
      <c r="H355" s="78">
        <f t="array" ref="H355">'migration'!H100</f>
        <v/>
      </c>
      <c r="I355" s="78">
        <f t="array" ref="I355">'migration'!I100</f>
        <v/>
      </c>
      <c r="J355" s="78">
        <f t="array" ref="J355">'migration'!J100</f>
        <v/>
      </c>
      <c r="K355" s="78">
        <f t="array" ref="K355">'migration'!K100</f>
        <v/>
      </c>
      <c r="L355" s="78" t="n"/>
    </row>
    <row r="356" ht="20.05" customHeight="1" s="215">
      <c r="A356" s="199">
        <f t="array" ref="A356">'migration'!$A101</f>
        <v/>
      </c>
      <c r="B356" s="78" t="n"/>
      <c r="C356" s="78">
        <f t="array" ref="C356">'migration'!C101</f>
        <v/>
      </c>
      <c r="D356" s="78">
        <f t="array" ref="D356">'migration'!D101</f>
        <v/>
      </c>
      <c r="E356" s="78">
        <f t="array" ref="E356">'migration'!E101</f>
        <v/>
      </c>
      <c r="F356" s="78">
        <f t="array" ref="F356">'migration'!F101</f>
        <v/>
      </c>
      <c r="G356" s="78">
        <f t="array" ref="G356">'migration'!G101</f>
        <v/>
      </c>
      <c r="H356" s="78">
        <f t="array" ref="H356">'migration'!H101</f>
        <v/>
      </c>
      <c r="I356" s="78">
        <f t="array" ref="I356">'migration'!I101</f>
        <v/>
      </c>
      <c r="J356" s="78">
        <f t="array" ref="J356">'migration'!J101</f>
        <v/>
      </c>
      <c r="K356" s="78">
        <f t="array" ref="K356">'migration'!K101</f>
        <v/>
      </c>
      <c r="L356" s="78" t="n"/>
    </row>
    <row r="357" ht="20.05" customHeight="1" s="215">
      <c r="A357" s="199">
        <f t="array" ref="A357">'migration'!$A102</f>
        <v/>
      </c>
      <c r="B357" s="78" t="n"/>
      <c r="C357" s="78">
        <f t="array" ref="C357">'migration'!C102</f>
        <v/>
      </c>
      <c r="D357" s="78">
        <f t="array" ref="D357">'migration'!D102</f>
        <v/>
      </c>
      <c r="E357" s="78">
        <f t="array" ref="E357">'migration'!E102</f>
        <v/>
      </c>
      <c r="F357" s="78">
        <f t="array" ref="F357">'migration'!F102</f>
        <v/>
      </c>
      <c r="G357" s="78">
        <f t="array" ref="G357">'migration'!G102</f>
        <v/>
      </c>
      <c r="H357" s="78">
        <f t="array" ref="H357">'migration'!H102</f>
        <v/>
      </c>
      <c r="I357" s="78">
        <f t="array" ref="I357">'migration'!I102</f>
        <v/>
      </c>
      <c r="J357" s="78">
        <f t="array" ref="J357">'migration'!J102</f>
        <v/>
      </c>
      <c r="K357" s="78">
        <f t="array" ref="K357">'migration'!K102</f>
        <v/>
      </c>
      <c r="L357" s="78" t="n"/>
    </row>
    <row r="358" ht="20.05" customHeight="1" s="215">
      <c r="A358" s="199">
        <f t="array" ref="A358">'migration'!$A103</f>
        <v/>
      </c>
      <c r="B358" s="78" t="n"/>
      <c r="C358" s="78">
        <f t="array" ref="C358">'migration'!C103</f>
        <v/>
      </c>
      <c r="D358" s="78">
        <f t="array" ref="D358">'migration'!D103</f>
        <v/>
      </c>
      <c r="E358" s="78">
        <f t="array" ref="E358">'migration'!E103</f>
        <v/>
      </c>
      <c r="F358" s="78">
        <f t="array" ref="F358">'migration'!F103</f>
        <v/>
      </c>
      <c r="G358" s="78">
        <f t="array" ref="G358">'migration'!G103</f>
        <v/>
      </c>
      <c r="H358" s="78">
        <f t="array" ref="H358">'migration'!H103</f>
        <v/>
      </c>
      <c r="I358" s="78">
        <f t="array" ref="I358">'migration'!I103</f>
        <v/>
      </c>
      <c r="J358" s="78">
        <f t="array" ref="J358">'migration'!J103</f>
        <v/>
      </c>
      <c r="K358" s="78">
        <f t="array" ref="K358">'migration'!K103</f>
        <v/>
      </c>
      <c r="L358" s="78" t="n"/>
    </row>
    <row r="359" ht="20.05" customHeight="1" s="215">
      <c r="A359" s="199">
        <f t="array" ref="A359">'migration'!$A104</f>
        <v/>
      </c>
      <c r="B359" s="78" t="n"/>
      <c r="C359" s="78">
        <f t="array" ref="C359">'migration'!C104</f>
        <v/>
      </c>
      <c r="D359" s="78">
        <f t="array" ref="D359">'migration'!D104</f>
        <v/>
      </c>
      <c r="E359" s="78">
        <f t="array" ref="E359">'migration'!E104</f>
        <v/>
      </c>
      <c r="F359" s="78">
        <f t="array" ref="F359">'migration'!F104</f>
        <v/>
      </c>
      <c r="G359" s="78">
        <f t="array" ref="G359">'migration'!G104</f>
        <v/>
      </c>
      <c r="H359" s="78">
        <f t="array" ref="H359">'migration'!H104</f>
        <v/>
      </c>
      <c r="I359" s="78">
        <f t="array" ref="I359">'migration'!I104</f>
        <v/>
      </c>
      <c r="J359" s="78">
        <f t="array" ref="J359">'migration'!J104</f>
        <v/>
      </c>
      <c r="K359" s="78">
        <f t="array" ref="K359">'migration'!K104</f>
        <v/>
      </c>
      <c r="L359" s="78" t="n"/>
    </row>
    <row r="360" ht="20.05" customHeight="1" s="215">
      <c r="A360" s="199">
        <f t="array" ref="A360">'migration'!$A105</f>
        <v/>
      </c>
      <c r="B360" s="78" t="n"/>
      <c r="C360" s="78">
        <f t="array" ref="C360">'migration'!C105</f>
        <v/>
      </c>
      <c r="D360" s="78">
        <f t="array" ref="D360">'migration'!D105</f>
        <v/>
      </c>
      <c r="E360" s="78">
        <f t="array" ref="E360">'migration'!E105</f>
        <v/>
      </c>
      <c r="F360" s="78">
        <f t="array" ref="F360">'migration'!F105</f>
        <v/>
      </c>
      <c r="G360" s="78">
        <f t="array" ref="G360">'migration'!G105</f>
        <v/>
      </c>
      <c r="H360" s="78">
        <f t="array" ref="H360">'migration'!H105</f>
        <v/>
      </c>
      <c r="I360" s="78">
        <f t="array" ref="I360">'migration'!I105</f>
        <v/>
      </c>
      <c r="J360" s="78">
        <f t="array" ref="J360">'migration'!J105</f>
        <v/>
      </c>
      <c r="K360" s="78">
        <f t="array" ref="K360">'migration'!K105</f>
        <v/>
      </c>
      <c r="L360" s="78" t="n"/>
    </row>
    <row r="361" ht="20.05" customHeight="1" s="215">
      <c r="A361" s="199">
        <f t="array" ref="A361">'migration'!$A106</f>
        <v/>
      </c>
      <c r="B361" s="78" t="n"/>
      <c r="C361" s="78">
        <f t="array" ref="C361">'migration'!C106</f>
        <v/>
      </c>
      <c r="D361" s="78">
        <f t="array" ref="D361">'migration'!D106</f>
        <v/>
      </c>
      <c r="E361" s="78">
        <f t="array" ref="E361">'migration'!E106</f>
        <v/>
      </c>
      <c r="F361" s="78">
        <f t="array" ref="F361">'migration'!F106</f>
        <v/>
      </c>
      <c r="G361" s="78">
        <f t="array" ref="G361">'migration'!G106</f>
        <v/>
      </c>
      <c r="H361" s="78">
        <f t="array" ref="H361">'migration'!H106</f>
        <v/>
      </c>
      <c r="I361" s="78">
        <f t="array" ref="I361">'migration'!I106</f>
        <v/>
      </c>
      <c r="J361" s="78">
        <f t="array" ref="J361">'migration'!J106</f>
        <v/>
      </c>
      <c r="K361" s="78">
        <f t="array" ref="K361">'migration'!K106</f>
        <v/>
      </c>
      <c r="L361" s="78" t="n"/>
    </row>
    <row r="362" ht="20.05" customHeight="1" s="215">
      <c r="A362" s="199">
        <f t="array" ref="A362">'migration'!$A107</f>
        <v/>
      </c>
      <c r="B362" s="78" t="n"/>
      <c r="C362" s="78">
        <f t="array" ref="C362">'migration'!C107</f>
        <v/>
      </c>
      <c r="D362" s="78">
        <f t="array" ref="D362">'migration'!D107</f>
        <v/>
      </c>
      <c r="E362" s="78">
        <f t="array" ref="E362">'migration'!E107</f>
        <v/>
      </c>
      <c r="F362" s="78">
        <f t="array" ref="F362">'migration'!F107</f>
        <v/>
      </c>
      <c r="G362" s="78">
        <f t="array" ref="G362">'migration'!G107</f>
        <v/>
      </c>
      <c r="H362" s="78">
        <f t="array" ref="H362">'migration'!H107</f>
        <v/>
      </c>
      <c r="I362" s="78">
        <f t="array" ref="I362">'migration'!I107</f>
        <v/>
      </c>
      <c r="J362" s="78">
        <f t="array" ref="J362">'migration'!J107</f>
        <v/>
      </c>
      <c r="K362" s="78">
        <f t="array" ref="K362">'migration'!K107</f>
        <v/>
      </c>
      <c r="L362" s="78" t="n"/>
    </row>
    <row r="363" ht="20.05" customHeight="1" s="215">
      <c r="A363" s="199">
        <f t="array" ref="A363">'migration'!$A108</f>
        <v/>
      </c>
      <c r="B363" s="78" t="n"/>
      <c r="C363" s="78">
        <f t="array" ref="C363">'migration'!C108</f>
        <v/>
      </c>
      <c r="D363" s="78">
        <f t="array" ref="D363">'migration'!D108</f>
        <v/>
      </c>
      <c r="E363" s="78">
        <f t="array" ref="E363">'migration'!E108</f>
        <v/>
      </c>
      <c r="F363" s="78">
        <f t="array" ref="F363">'migration'!F108</f>
        <v/>
      </c>
      <c r="G363" s="78">
        <f t="array" ref="G363">'migration'!G108</f>
        <v/>
      </c>
      <c r="H363" s="78">
        <f t="array" ref="H363">'migration'!H108</f>
        <v/>
      </c>
      <c r="I363" s="78">
        <f t="array" ref="I363">'migration'!I108</f>
        <v/>
      </c>
      <c r="J363" s="78">
        <f t="array" ref="J363">'migration'!J108</f>
        <v/>
      </c>
      <c r="K363" s="78">
        <f t="array" ref="K363">'migration'!K108</f>
        <v/>
      </c>
      <c r="L363" s="78" t="n"/>
    </row>
    <row r="364" ht="20.05" customHeight="1" s="215">
      <c r="A364" s="199">
        <f t="array" ref="A364">'migration'!$A109</f>
        <v/>
      </c>
      <c r="B364" s="78" t="n"/>
      <c r="C364" s="78">
        <f t="array" ref="C364">'migration'!C109</f>
        <v/>
      </c>
      <c r="D364" s="78">
        <f t="array" ref="D364">'migration'!D109</f>
        <v/>
      </c>
      <c r="E364" s="78">
        <f t="array" ref="E364">'migration'!E109</f>
        <v/>
      </c>
      <c r="F364" s="78">
        <f t="array" ref="F364">'migration'!F109</f>
        <v/>
      </c>
      <c r="G364" s="78">
        <f t="array" ref="G364">'migration'!G109</f>
        <v/>
      </c>
      <c r="H364" s="78">
        <f t="array" ref="H364">'migration'!H109</f>
        <v/>
      </c>
      <c r="I364" s="78">
        <f t="array" ref="I364">'migration'!I109</f>
        <v/>
      </c>
      <c r="J364" s="78">
        <f t="array" ref="J364">'migration'!J109</f>
        <v/>
      </c>
      <c r="K364" s="78">
        <f t="array" ref="K364">'migration'!K109</f>
        <v/>
      </c>
      <c r="L364" s="78" t="n"/>
    </row>
    <row r="365" ht="20.05" customHeight="1" s="215">
      <c r="A365" s="199">
        <f t="array" ref="A365">'migration'!$A110</f>
        <v/>
      </c>
      <c r="B365" s="78" t="n"/>
      <c r="C365" s="78">
        <f t="array" ref="C365">'migration'!C110</f>
        <v/>
      </c>
      <c r="D365" s="78">
        <f t="array" ref="D365">'migration'!D110</f>
        <v/>
      </c>
      <c r="E365" s="78">
        <f t="array" ref="E365">'migration'!E110</f>
        <v/>
      </c>
      <c r="F365" s="78">
        <f t="array" ref="F365">'migration'!F110</f>
        <v/>
      </c>
      <c r="G365" s="78">
        <f t="array" ref="G365">'migration'!G110</f>
        <v/>
      </c>
      <c r="H365" s="78">
        <f t="array" ref="H365">'migration'!H110</f>
        <v/>
      </c>
      <c r="I365" s="78">
        <f t="array" ref="I365">'migration'!I110</f>
        <v/>
      </c>
      <c r="J365" s="78">
        <f t="array" ref="J365">'migration'!J110</f>
        <v/>
      </c>
      <c r="K365" s="78">
        <f t="array" ref="K365">'migration'!K110</f>
        <v/>
      </c>
      <c r="L365" s="78" t="n"/>
    </row>
    <row r="366" ht="20.05" customHeight="1" s="215">
      <c r="A366" s="204">
        <f t="array" ref="A366">'migration'!$A111</f>
        <v/>
      </c>
      <c r="B366" s="150" t="n"/>
      <c r="C366" s="150">
        <f t="array" ref="C366">'migration'!C111</f>
        <v/>
      </c>
      <c r="D366" s="78">
        <f t="array" ref="D366">'migration'!D111</f>
        <v/>
      </c>
      <c r="E366" s="78">
        <f t="array" ref="E366">'migration'!E111</f>
        <v/>
      </c>
      <c r="F366" s="78">
        <f t="array" ref="F366">'migration'!F111</f>
        <v/>
      </c>
      <c r="G366" s="78">
        <f t="array" ref="G366">'migration'!G111</f>
        <v/>
      </c>
      <c r="H366" s="78">
        <f t="array" ref="H366">'migration'!H111</f>
        <v/>
      </c>
      <c r="I366" s="78">
        <f t="array" ref="I366">'migration'!I111</f>
        <v/>
      </c>
      <c r="J366" s="78">
        <f t="array" ref="J366">'migration'!J111</f>
        <v/>
      </c>
      <c r="K366" s="78">
        <f t="array" ref="K366">'migration'!K111</f>
        <v/>
      </c>
      <c r="L366" s="78" t="n"/>
    </row>
    <row r="367" ht="92.05" customHeight="1" s="215">
      <c r="A367" s="205">
        <f t="array" ref="A367">'migration'!$A113</f>
        <v/>
      </c>
      <c r="B367" s="206" t="n"/>
      <c r="C367" s="183">
        <f t="array" ref="C367">'migration'!C113</f>
        <v/>
      </c>
      <c r="D367" s="211" t="n"/>
      <c r="E367" s="212" t="n"/>
      <c r="F367" s="212" t="n"/>
      <c r="G367" s="212" t="n"/>
      <c r="H367" s="212" t="n"/>
      <c r="I367" s="212" t="n"/>
      <c r="J367" s="212" t="n"/>
      <c r="K367" s="212" t="n"/>
      <c r="L367" s="212" t="n"/>
    </row>
    <row r="368" ht="20.05" customHeight="1" s="215">
      <c r="A368" s="213" t="n"/>
      <c r="B368" s="214" t="n"/>
      <c r="C368" s="214" t="n"/>
      <c r="D368" s="212" t="n"/>
      <c r="E368" s="212" t="n"/>
      <c r="F368" s="212" t="n"/>
      <c r="G368" s="212" t="n"/>
      <c r="H368" s="212" t="n"/>
      <c r="I368" s="212" t="n"/>
      <c r="J368" s="212" t="n"/>
      <c r="K368" s="212" t="n"/>
      <c r="L368" s="212" t="n"/>
    </row>
  </sheetData>
  <mergeCells count="7">
    <mergeCell ref="A1:L1"/>
    <mergeCell ref="C5:K5"/>
    <mergeCell ref="C13:K13"/>
    <mergeCell ref="C118:K118"/>
    <mergeCell ref="C160:K160"/>
    <mergeCell ref="C264:K264"/>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2026-05-26T13:38:52Z</dcterms:created>
  <dcterms:modified xsi:type="dcterms:W3CDTF">2026-05-26T13:38:52Z</dcterms:modified>
</cp:coreProperties>
</file>