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git\20260905-ifr\20260524-sheet-analysis\data\"/>
    </mc:Choice>
  </mc:AlternateContent>
  <xr:revisionPtr revIDLastSave="0" documentId="11_9B8850497BCB8FBD2BE811262935153C5F0C48BB" xr6:coauthVersionLast="47" xr6:coauthVersionMax="47" xr10:uidLastSave="{00000000-0000-0000-0000-000000000000}"/>
  <bookViews>
    <workbookView xWindow="1515" yWindow="1515" windowWidth="19695" windowHeight="13740" activeTab="6" xr2:uid="{00000000-000D-0000-FFFF-FFFF00000000}"/>
  </bookViews>
  <sheets>
    <sheet name="overview" sheetId="1" r:id="rId1"/>
    <sheet name="population" sheetId="2" r:id="rId2"/>
    <sheet name="births" sheetId="3" r:id="rId3"/>
    <sheet name="deaths" sheetId="4" r:id="rId4"/>
    <sheet name="migration" sheetId="5" r:id="rId5"/>
    <sheet name="origin" sheetId="6" r:id="rId6"/>
    <sheet name="patria" sheetId="7" r:id="rId7"/>
    <sheet name="export"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2" roundtripDataChecksum="E00frjX6gXOu2lZ8qfTeMqYxbBeIxpET+pqcjD2t+Tw="/>
    </ext>
  </extLst>
</workbook>
</file>

<file path=xl/calcChain.xml><?xml version="1.0" encoding="utf-8"?>
<calcChain xmlns="http://schemas.openxmlformats.org/spreadsheetml/2006/main">
  <c r="A367" i="8" l="1" a="1"/>
  <c r="A367" i="8"/>
  <c r="A366" i="8" a="1"/>
  <c r="A366" i="8"/>
  <c r="A365" i="8" a="1"/>
  <c r="A365" i="8"/>
  <c r="A364" i="8" a="1"/>
  <c r="A364" i="8"/>
  <c r="A363" i="8" a="1"/>
  <c r="A363" i="8"/>
  <c r="A362" i="8" a="1"/>
  <c r="A362" i="8"/>
  <c r="A361" i="8" a="1"/>
  <c r="A361" i="8"/>
  <c r="A360" i="8" a="1"/>
  <c r="A360" i="8"/>
  <c r="A359" i="8" a="1"/>
  <c r="A359" i="8"/>
  <c r="A358" i="8" a="1"/>
  <c r="A358" i="8"/>
  <c r="A357" i="8" a="1"/>
  <c r="A357" i="8"/>
  <c r="A356" i="8" a="1"/>
  <c r="A356" i="8"/>
  <c r="A355" i="8" a="1"/>
  <c r="A355" i="8"/>
  <c r="A354" i="8" a="1"/>
  <c r="A354" i="8"/>
  <c r="A353" i="8" a="1"/>
  <c r="A353" i="8"/>
  <c r="A352" i="8" a="1"/>
  <c r="A352" i="8"/>
  <c r="A351" i="8" a="1"/>
  <c r="A351" i="8"/>
  <c r="A350" i="8" a="1"/>
  <c r="A350" i="8"/>
  <c r="A349" i="8" a="1"/>
  <c r="A349" i="8"/>
  <c r="A348" i="8" a="1"/>
  <c r="A348" i="8"/>
  <c r="A347" i="8" a="1"/>
  <c r="A347" i="8"/>
  <c r="A346" i="8" a="1"/>
  <c r="A346" i="8"/>
  <c r="A345" i="8" a="1"/>
  <c r="A345" i="8"/>
  <c r="A344" i="8" a="1"/>
  <c r="A344" i="8"/>
  <c r="A343" i="8" a="1"/>
  <c r="A343" i="8"/>
  <c r="A342" i="8" a="1"/>
  <c r="A342" i="8"/>
  <c r="A341" i="8" a="1"/>
  <c r="A341" i="8"/>
  <c r="A340" i="8" a="1"/>
  <c r="A340" i="8"/>
  <c r="A339" i="8" a="1"/>
  <c r="A339" i="8"/>
  <c r="A338" i="8" a="1"/>
  <c r="A338" i="8"/>
  <c r="A337" i="8" a="1"/>
  <c r="A337" i="8"/>
  <c r="A336" i="8" a="1"/>
  <c r="A336" i="8"/>
  <c r="A335" i="8" a="1"/>
  <c r="A335" i="8"/>
  <c r="A334" i="8" a="1"/>
  <c r="A334" i="8"/>
  <c r="A333" i="8" a="1"/>
  <c r="A333" i="8"/>
  <c r="A332" i="8" a="1"/>
  <c r="A332" i="8"/>
  <c r="A331" i="8" a="1"/>
  <c r="A331" i="8"/>
  <c r="A330" i="8" a="1"/>
  <c r="A330" i="8"/>
  <c r="A329" i="8" a="1"/>
  <c r="A329" i="8"/>
  <c r="A328" i="8" a="1"/>
  <c r="A328" i="8"/>
  <c r="A327" i="8" a="1"/>
  <c r="A327" i="8"/>
  <c r="A326" i="8" a="1"/>
  <c r="A326" i="8"/>
  <c r="A325" i="8" a="1"/>
  <c r="A325" i="8"/>
  <c r="A324" i="8" a="1"/>
  <c r="A324" i="8"/>
  <c r="A323" i="8" a="1"/>
  <c r="A323" i="8"/>
  <c r="A322" i="8" a="1"/>
  <c r="A322" i="8"/>
  <c r="A321" i="8" a="1"/>
  <c r="A321" i="8"/>
  <c r="A320" i="8" a="1"/>
  <c r="A320" i="8"/>
  <c r="A319" i="8" a="1"/>
  <c r="A319" i="8"/>
  <c r="A318" i="8" a="1"/>
  <c r="A318" i="8"/>
  <c r="A317" i="8" a="1"/>
  <c r="A317" i="8"/>
  <c r="A316" i="8" a="1"/>
  <c r="A316" i="8"/>
  <c r="A315" i="8" a="1"/>
  <c r="A315" i="8"/>
  <c r="A314" i="8" a="1"/>
  <c r="A314" i="8"/>
  <c r="A313" i="8" a="1"/>
  <c r="A313" i="8"/>
  <c r="A312" i="8" a="1"/>
  <c r="A312" i="8"/>
  <c r="A311" i="8" a="1"/>
  <c r="A311" i="8"/>
  <c r="A310" i="8" a="1"/>
  <c r="A310" i="8"/>
  <c r="A309" i="8" a="1"/>
  <c r="A309" i="8"/>
  <c r="A308" i="8" a="1"/>
  <c r="A308" i="8"/>
  <c r="A307" i="8" a="1"/>
  <c r="A307" i="8"/>
  <c r="A306" i="8" a="1"/>
  <c r="A306" i="8"/>
  <c r="A305" i="8" a="1"/>
  <c r="A305" i="8"/>
  <c r="A304" i="8" a="1"/>
  <c r="A304" i="8"/>
  <c r="A303" i="8" a="1"/>
  <c r="A303" i="8"/>
  <c r="A302" i="8" a="1"/>
  <c r="A302" i="8"/>
  <c r="A301" i="8" a="1"/>
  <c r="A301" i="8"/>
  <c r="A300" i="8" a="1"/>
  <c r="A300" i="8"/>
  <c r="A299" i="8" a="1"/>
  <c r="A299" i="8"/>
  <c r="A298" i="8" a="1"/>
  <c r="A298" i="8"/>
  <c r="A297" i="8" a="1"/>
  <c r="A297" i="8"/>
  <c r="A296" i="8" a="1"/>
  <c r="A296" i="8"/>
  <c r="A295" i="8" a="1"/>
  <c r="A295" i="8"/>
  <c r="A294" i="8" a="1"/>
  <c r="A294" i="8"/>
  <c r="A293" i="8" a="1"/>
  <c r="A293" i="8"/>
  <c r="A292" i="8" a="1"/>
  <c r="A292" i="8"/>
  <c r="A291" i="8" a="1"/>
  <c r="A291" i="8"/>
  <c r="A290" i="8" a="1"/>
  <c r="A290" i="8"/>
  <c r="A289" i="8" a="1"/>
  <c r="A289" i="8"/>
  <c r="A288" i="8" a="1"/>
  <c r="A288" i="8"/>
  <c r="A287" i="8" a="1"/>
  <c r="A287" i="8"/>
  <c r="A286" i="8" a="1"/>
  <c r="A286" i="8"/>
  <c r="A285" i="8" a="1"/>
  <c r="A285" i="8"/>
  <c r="A284" i="8" a="1"/>
  <c r="A284" i="8"/>
  <c r="A283" i="8" a="1"/>
  <c r="A283" i="8"/>
  <c r="A282" i="8" a="1"/>
  <c r="A282" i="8"/>
  <c r="A281" i="8" a="1"/>
  <c r="A281" i="8"/>
  <c r="A280" i="8" a="1"/>
  <c r="A280" i="8"/>
  <c r="A279" i="8" a="1"/>
  <c r="A279" i="8"/>
  <c r="A278" i="8" a="1"/>
  <c r="A278" i="8"/>
  <c r="A277" i="8" a="1"/>
  <c r="A277" i="8"/>
  <c r="A276" i="8" a="1"/>
  <c r="A276" i="8"/>
  <c r="A275" i="8" a="1"/>
  <c r="A275" i="8"/>
  <c r="A274" i="8" a="1"/>
  <c r="A274" i="8"/>
  <c r="A273" i="8" a="1"/>
  <c r="A273" i="8"/>
  <c r="A272" i="8" a="1"/>
  <c r="A272" i="8"/>
  <c r="A271" i="8" a="1"/>
  <c r="A271" i="8"/>
  <c r="A270" i="8" a="1"/>
  <c r="A270" i="8"/>
  <c r="A269" i="8" a="1"/>
  <c r="A269" i="8"/>
  <c r="A268" i="8" a="1"/>
  <c r="A268" i="8"/>
  <c r="A267" i="8" a="1"/>
  <c r="A267" i="8"/>
  <c r="A266" i="8" a="1"/>
  <c r="A266" i="8"/>
  <c r="A265" i="8" a="1"/>
  <c r="A265" i="8"/>
  <c r="C262" i="8" a="1"/>
  <c r="C262" i="8"/>
  <c r="A262" i="8" a="1"/>
  <c r="A262" i="8"/>
  <c r="A261" i="8" a="1"/>
  <c r="A261" i="8"/>
  <c r="A260" i="8" a="1"/>
  <c r="A260" i="8"/>
  <c r="A259" i="8" a="1"/>
  <c r="A259" i="8"/>
  <c r="A258" i="8" a="1"/>
  <c r="A258" i="8"/>
  <c r="A257" i="8" a="1"/>
  <c r="A257" i="8"/>
  <c r="A256" i="8" a="1"/>
  <c r="A256" i="8"/>
  <c r="A255" i="8" a="1"/>
  <c r="A255" i="8"/>
  <c r="A254" i="8" a="1"/>
  <c r="A254" i="8"/>
  <c r="A253" i="8" a="1"/>
  <c r="A253" i="8"/>
  <c r="A252" i="8" a="1"/>
  <c r="A252" i="8"/>
  <c r="A251" i="8" a="1"/>
  <c r="A251" i="8"/>
  <c r="A250" i="8" a="1"/>
  <c r="A250" i="8"/>
  <c r="A249" i="8" a="1"/>
  <c r="A249" i="8"/>
  <c r="A248" i="8" a="1"/>
  <c r="A248" i="8"/>
  <c r="A247" i="8" a="1"/>
  <c r="A247" i="8"/>
  <c r="A246" i="8" a="1"/>
  <c r="A246" i="8"/>
  <c r="A245" i="8" a="1"/>
  <c r="A245" i="8"/>
  <c r="A244" i="8" a="1"/>
  <c r="A244" i="8"/>
  <c r="A243" i="8" a="1"/>
  <c r="A243" i="8"/>
  <c r="A242" i="8" a="1"/>
  <c r="A242" i="8"/>
  <c r="G241" i="8" a="1"/>
  <c r="G241" i="8"/>
  <c r="F241" i="8" a="1"/>
  <c r="F241" i="8"/>
  <c r="E241" i="8" a="1"/>
  <c r="E241" i="8"/>
  <c r="D241" i="8" a="1"/>
  <c r="D241" i="8"/>
  <c r="A241" i="8" a="1"/>
  <c r="A241" i="8"/>
  <c r="G240" i="8" a="1"/>
  <c r="G240" i="8"/>
  <c r="F240" i="8" a="1"/>
  <c r="F240" i="8"/>
  <c r="E240" i="8" a="1"/>
  <c r="E240" i="8"/>
  <c r="D240" i="8" a="1"/>
  <c r="D240" i="8"/>
  <c r="A240" i="8" a="1"/>
  <c r="A240" i="8"/>
  <c r="G239" i="8" a="1"/>
  <c r="G239" i="8"/>
  <c r="F239" i="8" a="1"/>
  <c r="F239" i="8"/>
  <c r="E239" i="8" a="1"/>
  <c r="E239" i="8"/>
  <c r="D239" i="8" a="1"/>
  <c r="D239" i="8"/>
  <c r="A239" i="8" a="1"/>
  <c r="A239" i="8"/>
  <c r="G238" i="8" a="1"/>
  <c r="G238" i="8"/>
  <c r="F238" i="8" a="1"/>
  <c r="F238" i="8"/>
  <c r="E238" i="8" a="1"/>
  <c r="E238" i="8"/>
  <c r="D238" i="8" a="1"/>
  <c r="D238" i="8"/>
  <c r="A238" i="8" a="1"/>
  <c r="A238" i="8"/>
  <c r="G237" i="8" a="1"/>
  <c r="G237" i="8"/>
  <c r="F237" i="8" a="1"/>
  <c r="F237" i="8"/>
  <c r="E237" i="8" a="1"/>
  <c r="E237" i="8"/>
  <c r="D237" i="8" a="1"/>
  <c r="D237" i="8"/>
  <c r="A237" i="8" a="1"/>
  <c r="A237" i="8"/>
  <c r="G236" i="8" a="1"/>
  <c r="G236" i="8"/>
  <c r="F236" i="8" a="1"/>
  <c r="F236" i="8"/>
  <c r="E236" i="8" a="1"/>
  <c r="E236" i="8"/>
  <c r="D236" i="8" a="1"/>
  <c r="D236" i="8"/>
  <c r="A236" i="8" a="1"/>
  <c r="A236" i="8"/>
  <c r="G235" i="8" a="1"/>
  <c r="G235" i="8"/>
  <c r="F235" i="8" a="1"/>
  <c r="F235" i="8"/>
  <c r="E235" i="8" a="1"/>
  <c r="E235" i="8"/>
  <c r="D235" i="8" a="1"/>
  <c r="D235" i="8"/>
  <c r="A235" i="8" a="1"/>
  <c r="A235" i="8"/>
  <c r="G234" i="8" a="1"/>
  <c r="G234" i="8"/>
  <c r="F234" i="8" a="1"/>
  <c r="F234" i="8"/>
  <c r="E234" i="8" a="1"/>
  <c r="E234" i="8"/>
  <c r="D234" i="8" a="1"/>
  <c r="D234" i="8"/>
  <c r="A234" i="8" a="1"/>
  <c r="A234" i="8"/>
  <c r="G233" i="8" a="1"/>
  <c r="G233" i="8"/>
  <c r="F233" i="8" a="1"/>
  <c r="F233" i="8"/>
  <c r="E233" i="8" a="1"/>
  <c r="E233" i="8"/>
  <c r="D233" i="8" a="1"/>
  <c r="D233" i="8"/>
  <c r="A233" i="8" a="1"/>
  <c r="A233" i="8"/>
  <c r="G232" i="8" a="1"/>
  <c r="G232" i="8"/>
  <c r="F232" i="8" a="1"/>
  <c r="F232" i="8"/>
  <c r="E232" i="8" a="1"/>
  <c r="E232" i="8"/>
  <c r="D232" i="8" a="1"/>
  <c r="D232" i="8"/>
  <c r="A232" i="8" a="1"/>
  <c r="A232" i="8"/>
  <c r="G231" i="8" a="1"/>
  <c r="G231" i="8"/>
  <c r="F231" i="8" a="1"/>
  <c r="F231" i="8"/>
  <c r="E231" i="8" a="1"/>
  <c r="E231" i="8"/>
  <c r="D231" i="8" a="1"/>
  <c r="D231" i="8"/>
  <c r="A231" i="8" a="1"/>
  <c r="A231" i="8"/>
  <c r="G230" i="8" a="1"/>
  <c r="G230" i="8"/>
  <c r="F230" i="8" a="1"/>
  <c r="F230" i="8"/>
  <c r="E230" i="8" a="1"/>
  <c r="E230" i="8"/>
  <c r="D230" i="8" a="1"/>
  <c r="D230" i="8"/>
  <c r="A230" i="8" a="1"/>
  <c r="A230" i="8"/>
  <c r="G229" i="8" a="1"/>
  <c r="G229" i="8"/>
  <c r="F229" i="8" a="1"/>
  <c r="F229" i="8"/>
  <c r="E229" i="8" a="1"/>
  <c r="E229" i="8"/>
  <c r="D229" i="8" a="1"/>
  <c r="D229" i="8"/>
  <c r="A229" i="8" a="1"/>
  <c r="A229" i="8"/>
  <c r="G228" i="8" a="1"/>
  <c r="G228" i="8"/>
  <c r="F228" i="8" a="1"/>
  <c r="F228" i="8"/>
  <c r="E228" i="8" a="1"/>
  <c r="E228" i="8"/>
  <c r="D228" i="8" a="1"/>
  <c r="D228" i="8"/>
  <c r="A228" i="8" a="1"/>
  <c r="A228" i="8"/>
  <c r="G227" i="8" a="1"/>
  <c r="G227" i="8"/>
  <c r="F227" i="8" a="1"/>
  <c r="F227" i="8"/>
  <c r="E227" i="8" a="1"/>
  <c r="E227" i="8"/>
  <c r="D227" i="8" a="1"/>
  <c r="D227" i="8"/>
  <c r="A227" i="8" a="1"/>
  <c r="A227" i="8"/>
  <c r="G226" i="8" a="1"/>
  <c r="G226" i="8"/>
  <c r="F226" i="8" a="1"/>
  <c r="F226" i="8"/>
  <c r="E226" i="8" a="1"/>
  <c r="E226" i="8"/>
  <c r="D226" i="8" a="1"/>
  <c r="D226" i="8"/>
  <c r="A226" i="8" a="1"/>
  <c r="A226" i="8"/>
  <c r="G225" i="8" a="1"/>
  <c r="G225" i="8"/>
  <c r="F225" i="8" a="1"/>
  <c r="F225" i="8"/>
  <c r="E225" i="8" a="1"/>
  <c r="E225" i="8"/>
  <c r="D225" i="8" a="1"/>
  <c r="D225" i="8"/>
  <c r="A225" i="8" a="1"/>
  <c r="A225" i="8"/>
  <c r="G224" i="8" a="1"/>
  <c r="G224" i="8"/>
  <c r="F224" i="8" a="1"/>
  <c r="F224" i="8"/>
  <c r="E224" i="8" a="1"/>
  <c r="E224" i="8"/>
  <c r="D224" i="8" a="1"/>
  <c r="D224" i="8"/>
  <c r="A224" i="8" a="1"/>
  <c r="A224" i="8"/>
  <c r="G223" i="8" a="1"/>
  <c r="G223" i="8"/>
  <c r="F223" i="8" a="1"/>
  <c r="F223" i="8"/>
  <c r="E223" i="8" a="1"/>
  <c r="E223" i="8"/>
  <c r="A223" i="8" a="1"/>
  <c r="A223" i="8"/>
  <c r="G222" i="8" a="1"/>
  <c r="G222" i="8"/>
  <c r="F222" i="8" a="1"/>
  <c r="F222" i="8"/>
  <c r="A222" i="8" a="1"/>
  <c r="A222" i="8"/>
  <c r="A221" i="8" a="1"/>
  <c r="A221" i="8"/>
  <c r="A220" i="8" a="1"/>
  <c r="A220" i="8"/>
  <c r="A219" i="8" a="1"/>
  <c r="A219" i="8"/>
  <c r="A218" i="8" a="1"/>
  <c r="A218" i="8"/>
  <c r="A217" i="8" a="1"/>
  <c r="A217" i="8"/>
  <c r="A216" i="8" a="1"/>
  <c r="A216" i="8"/>
  <c r="A215" i="8" a="1"/>
  <c r="A215" i="8"/>
  <c r="A214" i="8" a="1"/>
  <c r="A214" i="8"/>
  <c r="A213" i="8" a="1"/>
  <c r="A213" i="8"/>
  <c r="A212" i="8" a="1"/>
  <c r="A212" i="8"/>
  <c r="A211" i="8" a="1"/>
  <c r="A211" i="8"/>
  <c r="A210" i="8" a="1"/>
  <c r="A210" i="8"/>
  <c r="A209" i="8" a="1"/>
  <c r="A209" i="8"/>
  <c r="A208" i="8" a="1"/>
  <c r="A208" i="8"/>
  <c r="A207" i="8" a="1"/>
  <c r="A207" i="8"/>
  <c r="A206" i="8" a="1"/>
  <c r="A206" i="8"/>
  <c r="A205" i="8" a="1"/>
  <c r="A205" i="8"/>
  <c r="A204" i="8" a="1"/>
  <c r="A204" i="8"/>
  <c r="G203" i="8" a="1"/>
  <c r="G203" i="8"/>
  <c r="F203" i="8" a="1"/>
  <c r="F203" i="8"/>
  <c r="E203" i="8" a="1"/>
  <c r="E203" i="8"/>
  <c r="D203" i="8" a="1"/>
  <c r="D203" i="8"/>
  <c r="A203" i="8" a="1"/>
  <c r="A203" i="8"/>
  <c r="G202" i="8" a="1"/>
  <c r="G202" i="8"/>
  <c r="F202" i="8" a="1"/>
  <c r="F202" i="8"/>
  <c r="E202" i="8" a="1"/>
  <c r="E202" i="8"/>
  <c r="D202" i="8" a="1"/>
  <c r="D202" i="8"/>
  <c r="A202" i="8" a="1"/>
  <c r="A202" i="8"/>
  <c r="G201" i="8" a="1"/>
  <c r="G201" i="8"/>
  <c r="F201" i="8" a="1"/>
  <c r="F201" i="8"/>
  <c r="E201" i="8" a="1"/>
  <c r="E201" i="8"/>
  <c r="D201" i="8" a="1"/>
  <c r="D201" i="8"/>
  <c r="A201" i="8" a="1"/>
  <c r="A201" i="8"/>
  <c r="G200" i="8" a="1"/>
  <c r="G200" i="8"/>
  <c r="F200" i="8" a="1"/>
  <c r="F200" i="8"/>
  <c r="E200" i="8" a="1"/>
  <c r="E200" i="8"/>
  <c r="D200" i="8" a="1"/>
  <c r="D200" i="8"/>
  <c r="A200" i="8" a="1"/>
  <c r="A200" i="8"/>
  <c r="G199" i="8" a="1"/>
  <c r="G199" i="8"/>
  <c r="F199" i="8" a="1"/>
  <c r="F199" i="8"/>
  <c r="E199" i="8" a="1"/>
  <c r="E199" i="8"/>
  <c r="D199" i="8" a="1"/>
  <c r="D199" i="8"/>
  <c r="A199" i="8" a="1"/>
  <c r="A199" i="8"/>
  <c r="G198" i="8" a="1"/>
  <c r="G198" i="8"/>
  <c r="F198" i="8" a="1"/>
  <c r="F198" i="8"/>
  <c r="E198" i="8" a="1"/>
  <c r="E198" i="8"/>
  <c r="D198" i="8" a="1"/>
  <c r="D198" i="8"/>
  <c r="A198" i="8" a="1"/>
  <c r="A198" i="8"/>
  <c r="G197" i="8" a="1"/>
  <c r="G197" i="8"/>
  <c r="F197" i="8" a="1"/>
  <c r="F197" i="8"/>
  <c r="E197" i="8" a="1"/>
  <c r="E197" i="8"/>
  <c r="D197" i="8" a="1"/>
  <c r="D197" i="8"/>
  <c r="A197" i="8" a="1"/>
  <c r="A197" i="8"/>
  <c r="G196" i="8" a="1"/>
  <c r="G196" i="8"/>
  <c r="F196" i="8" a="1"/>
  <c r="F196" i="8"/>
  <c r="E196" i="8" a="1"/>
  <c r="E196" i="8"/>
  <c r="D196" i="8" a="1"/>
  <c r="D196" i="8"/>
  <c r="A196" i="8" a="1"/>
  <c r="A196" i="8"/>
  <c r="G195" i="8" a="1"/>
  <c r="G195" i="8"/>
  <c r="F195" i="8" a="1"/>
  <c r="F195" i="8"/>
  <c r="E195" i="8" a="1"/>
  <c r="E195" i="8"/>
  <c r="D195" i="8" a="1"/>
  <c r="D195" i="8"/>
  <c r="A195" i="8" a="1"/>
  <c r="A195" i="8"/>
  <c r="G194" i="8" a="1"/>
  <c r="G194" i="8"/>
  <c r="F194" i="8" a="1"/>
  <c r="F194" i="8"/>
  <c r="E194" i="8" a="1"/>
  <c r="E194" i="8"/>
  <c r="D194" i="8" a="1"/>
  <c r="D194" i="8"/>
  <c r="A194" i="8" a="1"/>
  <c r="A194" i="8"/>
  <c r="G193" i="8" a="1"/>
  <c r="G193" i="8"/>
  <c r="F193" i="8" a="1"/>
  <c r="F193" i="8"/>
  <c r="E193" i="8" a="1"/>
  <c r="E193" i="8"/>
  <c r="D193" i="8" a="1"/>
  <c r="D193" i="8"/>
  <c r="A193" i="8" a="1"/>
  <c r="A193" i="8"/>
  <c r="G192" i="8" a="1"/>
  <c r="G192" i="8"/>
  <c r="F192" i="8" a="1"/>
  <c r="F192" i="8"/>
  <c r="E192" i="8" a="1"/>
  <c r="E192" i="8"/>
  <c r="D192" i="8" a="1"/>
  <c r="D192" i="8"/>
  <c r="A192" i="8" a="1"/>
  <c r="A192" i="8"/>
  <c r="G191" i="8" a="1"/>
  <c r="G191" i="8"/>
  <c r="F191" i="8" a="1"/>
  <c r="F191" i="8"/>
  <c r="E191" i="8" a="1"/>
  <c r="E191" i="8"/>
  <c r="D191" i="8" a="1"/>
  <c r="D191" i="8"/>
  <c r="A191" i="8" a="1"/>
  <c r="A191" i="8"/>
  <c r="G190" i="8" a="1"/>
  <c r="G190" i="8"/>
  <c r="F190" i="8" a="1"/>
  <c r="F190" i="8"/>
  <c r="E190" i="8" a="1"/>
  <c r="E190" i="8"/>
  <c r="D190" i="8" a="1"/>
  <c r="D190" i="8"/>
  <c r="A190" i="8" a="1"/>
  <c r="A190" i="8"/>
  <c r="G189" i="8" a="1"/>
  <c r="G189" i="8"/>
  <c r="F189" i="8" a="1"/>
  <c r="F189" i="8"/>
  <c r="E189" i="8" a="1"/>
  <c r="E189" i="8"/>
  <c r="D189" i="8" a="1"/>
  <c r="D189" i="8"/>
  <c r="A189" i="8" a="1"/>
  <c r="A189" i="8"/>
  <c r="G188" i="8" a="1"/>
  <c r="G188" i="8"/>
  <c r="F188" i="8" a="1"/>
  <c r="F188" i="8"/>
  <c r="E188" i="8" a="1"/>
  <c r="E188" i="8"/>
  <c r="D188" i="8" a="1"/>
  <c r="D188" i="8"/>
  <c r="A188" i="8" a="1"/>
  <c r="A188" i="8"/>
  <c r="G187" i="8" a="1"/>
  <c r="G187" i="8"/>
  <c r="F187" i="8" a="1"/>
  <c r="F187" i="8"/>
  <c r="E187" i="8" a="1"/>
  <c r="E187" i="8"/>
  <c r="D187" i="8" a="1"/>
  <c r="D187" i="8"/>
  <c r="A187" i="8" a="1"/>
  <c r="A187" i="8"/>
  <c r="G186" i="8" a="1"/>
  <c r="G186" i="8"/>
  <c r="F186" i="8" a="1"/>
  <c r="F186" i="8"/>
  <c r="E186" i="8" a="1"/>
  <c r="E186" i="8"/>
  <c r="D186" i="8" a="1"/>
  <c r="D186" i="8"/>
  <c r="A186" i="8" a="1"/>
  <c r="A186" i="8"/>
  <c r="G185" i="8" a="1"/>
  <c r="G185" i="8"/>
  <c r="F185" i="8" a="1"/>
  <c r="F185" i="8"/>
  <c r="E185" i="8" a="1"/>
  <c r="E185" i="8"/>
  <c r="D185" i="8" a="1"/>
  <c r="D185" i="8"/>
  <c r="A185" i="8" a="1"/>
  <c r="A185" i="8"/>
  <c r="G184" i="8" a="1"/>
  <c r="G184" i="8"/>
  <c r="F184" i="8" a="1"/>
  <c r="F184" i="8"/>
  <c r="E184" i="8" a="1"/>
  <c r="E184" i="8"/>
  <c r="D184" i="8" a="1"/>
  <c r="D184" i="8"/>
  <c r="A184" i="8" a="1"/>
  <c r="A184" i="8"/>
  <c r="G183" i="8" a="1"/>
  <c r="G183" i="8"/>
  <c r="F183" i="8" a="1"/>
  <c r="F183" i="8"/>
  <c r="E183" i="8" a="1"/>
  <c r="E183" i="8"/>
  <c r="D183" i="8" a="1"/>
  <c r="D183" i="8"/>
  <c r="A183" i="8" a="1"/>
  <c r="A183" i="8"/>
  <c r="G182" i="8" a="1"/>
  <c r="G182" i="8"/>
  <c r="F182" i="8" a="1"/>
  <c r="F182" i="8"/>
  <c r="E182" i="8" a="1"/>
  <c r="E182" i="8"/>
  <c r="D182" i="8" a="1"/>
  <c r="D182" i="8"/>
  <c r="A182" i="8" a="1"/>
  <c r="A182" i="8"/>
  <c r="G181" i="8" a="1"/>
  <c r="G181" i="8"/>
  <c r="F181" i="8" a="1"/>
  <c r="F181" i="8"/>
  <c r="E181" i="8" a="1"/>
  <c r="E181" i="8"/>
  <c r="A181" i="8" a="1"/>
  <c r="A181" i="8"/>
  <c r="A180" i="8" a="1"/>
  <c r="A180" i="8"/>
  <c r="F179" i="8" a="1"/>
  <c r="F179" i="8"/>
  <c r="D179" i="8" a="1"/>
  <c r="D179" i="8"/>
  <c r="A179" i="8" a="1"/>
  <c r="A179" i="8"/>
  <c r="F178" i="8" a="1"/>
  <c r="F178" i="8"/>
  <c r="A178" i="8" a="1"/>
  <c r="A178" i="8"/>
  <c r="F177" i="8" a="1"/>
  <c r="F177" i="8"/>
  <c r="D177" i="8" a="1"/>
  <c r="D177" i="8"/>
  <c r="A177" i="8" a="1"/>
  <c r="A177" i="8"/>
  <c r="A176" i="8" a="1"/>
  <c r="A176" i="8"/>
  <c r="F175" i="8" a="1"/>
  <c r="F175" i="8"/>
  <c r="D175" i="8" a="1"/>
  <c r="D175" i="8"/>
  <c r="A175" i="8" a="1"/>
  <c r="A175" i="8"/>
  <c r="A174" i="8" a="1"/>
  <c r="A174" i="8"/>
  <c r="F173" i="8" a="1"/>
  <c r="F173" i="8"/>
  <c r="D173" i="8" a="1"/>
  <c r="D173" i="8"/>
  <c r="A173" i="8" a="1"/>
  <c r="A173" i="8"/>
  <c r="A172" i="8" a="1"/>
  <c r="A172" i="8"/>
  <c r="G171" i="8" a="1"/>
  <c r="G171" i="8"/>
  <c r="F171" i="8" a="1"/>
  <c r="F171" i="8"/>
  <c r="E171" i="8" a="1"/>
  <c r="E171" i="8"/>
  <c r="D171" i="8" a="1"/>
  <c r="D171" i="8"/>
  <c r="A171" i="8" a="1"/>
  <c r="A171" i="8"/>
  <c r="G170" i="8" a="1"/>
  <c r="G170" i="8"/>
  <c r="F170" i="8" a="1"/>
  <c r="F170" i="8"/>
  <c r="E170" i="8" a="1"/>
  <c r="E170" i="8"/>
  <c r="D170" i="8" a="1"/>
  <c r="D170" i="8"/>
  <c r="A170" i="8" a="1"/>
  <c r="A170" i="8"/>
  <c r="G169" i="8" a="1"/>
  <c r="G169" i="8"/>
  <c r="F169" i="8" a="1"/>
  <c r="F169" i="8"/>
  <c r="E169" i="8" a="1"/>
  <c r="E169" i="8"/>
  <c r="D169" i="8" a="1"/>
  <c r="D169" i="8"/>
  <c r="A169" i="8" a="1"/>
  <c r="A169" i="8"/>
  <c r="G168" i="8" a="1"/>
  <c r="G168" i="8"/>
  <c r="F168" i="8" a="1"/>
  <c r="F168" i="8"/>
  <c r="E168" i="8" a="1"/>
  <c r="E168" i="8"/>
  <c r="D168" i="8" a="1"/>
  <c r="D168" i="8"/>
  <c r="A168" i="8" a="1"/>
  <c r="A168" i="8"/>
  <c r="G167" i="8" a="1"/>
  <c r="G167" i="8"/>
  <c r="F167" i="8" a="1"/>
  <c r="F167" i="8"/>
  <c r="E167" i="8" a="1"/>
  <c r="E167" i="8"/>
  <c r="D167" i="8" a="1"/>
  <c r="D167" i="8"/>
  <c r="A167" i="8" a="1"/>
  <c r="A167" i="8"/>
  <c r="G166" i="8" a="1"/>
  <c r="G166" i="8"/>
  <c r="F166" i="8" a="1"/>
  <c r="F166" i="8"/>
  <c r="E166" i="8" a="1"/>
  <c r="E166" i="8"/>
  <c r="D166" i="8" a="1"/>
  <c r="D166" i="8"/>
  <c r="A166" i="8" a="1"/>
  <c r="A166" i="8"/>
  <c r="G165" i="8" a="1"/>
  <c r="G165" i="8"/>
  <c r="F165" i="8" a="1"/>
  <c r="F165" i="8"/>
  <c r="E165" i="8" a="1"/>
  <c r="E165" i="8"/>
  <c r="D165" i="8" a="1"/>
  <c r="D165" i="8"/>
  <c r="A165" i="8" a="1"/>
  <c r="A165" i="8"/>
  <c r="G164" i="8" a="1"/>
  <c r="G164" i="8"/>
  <c r="F164" i="8" a="1"/>
  <c r="F164" i="8"/>
  <c r="E164" i="8" a="1"/>
  <c r="E164" i="8"/>
  <c r="D164" i="8" a="1"/>
  <c r="D164" i="8"/>
  <c r="A164" i="8" a="1"/>
  <c r="A164" i="8"/>
  <c r="G163" i="8" a="1"/>
  <c r="G163" i="8"/>
  <c r="A163" i="8" a="1"/>
  <c r="A163" i="8"/>
  <c r="G162" i="8" a="1"/>
  <c r="G162" i="8"/>
  <c r="A162" i="8" a="1"/>
  <c r="A162" i="8"/>
  <c r="F161" i="8" a="1"/>
  <c r="F161" i="8"/>
  <c r="C161" i="8" a="1"/>
  <c r="C161" i="8"/>
  <c r="A161" i="8" a="1"/>
  <c r="A161" i="8"/>
  <c r="A158" i="8" a="1"/>
  <c r="A158" i="8"/>
  <c r="A157" i="8" a="1"/>
  <c r="A157" i="8"/>
  <c r="I156" i="8" a="1"/>
  <c r="I156" i="8"/>
  <c r="A156" i="8" a="1"/>
  <c r="A156" i="8"/>
  <c r="A155" i="8" a="1"/>
  <c r="A155" i="8"/>
  <c r="A154" i="8" a="1"/>
  <c r="A154" i="8"/>
  <c r="A153" i="8" a="1"/>
  <c r="A153" i="8"/>
  <c r="A152" i="8" a="1"/>
  <c r="A152" i="8"/>
  <c r="A151" i="8" a="1"/>
  <c r="A151" i="8"/>
  <c r="A150" i="8" a="1"/>
  <c r="A150" i="8"/>
  <c r="A149" i="8" a="1"/>
  <c r="A149" i="8"/>
  <c r="A148" i="8" a="1"/>
  <c r="A148" i="8"/>
  <c r="A147" i="8" a="1"/>
  <c r="A147" i="8"/>
  <c r="A146" i="8" a="1"/>
  <c r="A146" i="8"/>
  <c r="A145" i="8" a="1"/>
  <c r="A145" i="8"/>
  <c r="A144" i="8" a="1"/>
  <c r="A144" i="8"/>
  <c r="A143" i="8" a="1"/>
  <c r="A143" i="8"/>
  <c r="A142" i="8" a="1"/>
  <c r="A142" i="8"/>
  <c r="A141" i="8" a="1"/>
  <c r="A141" i="8"/>
  <c r="A140" i="8" a="1"/>
  <c r="A140" i="8"/>
  <c r="A139" i="8" a="1"/>
  <c r="A139" i="8"/>
  <c r="A138" i="8" a="1"/>
  <c r="A138" i="8"/>
  <c r="A137" i="8" a="1"/>
  <c r="A137" i="8"/>
  <c r="A136" i="8" a="1"/>
  <c r="A136" i="8"/>
  <c r="A135" i="8" a="1"/>
  <c r="A135" i="8"/>
  <c r="A134" i="8" a="1"/>
  <c r="A134" i="8"/>
  <c r="A133" i="8" a="1"/>
  <c r="A133" i="8"/>
  <c r="A132" i="8" a="1"/>
  <c r="A132" i="8"/>
  <c r="A131" i="8" a="1"/>
  <c r="A131" i="8"/>
  <c r="A130" i="8" a="1"/>
  <c r="A130" i="8"/>
  <c r="A129" i="8" a="1"/>
  <c r="A129" i="8"/>
  <c r="A128" i="8" a="1"/>
  <c r="A128" i="8"/>
  <c r="A127" i="8" a="1"/>
  <c r="A127" i="8"/>
  <c r="A126" i="8" a="1"/>
  <c r="A126" i="8"/>
  <c r="A125" i="8" a="1"/>
  <c r="A125" i="8"/>
  <c r="A124" i="8" a="1"/>
  <c r="A124" i="8"/>
  <c r="A123" i="8" a="1"/>
  <c r="A123" i="8"/>
  <c r="A122" i="8" a="1"/>
  <c r="A122" i="8"/>
  <c r="A121" i="8" a="1"/>
  <c r="A121" i="8"/>
  <c r="A120" i="8" a="1"/>
  <c r="A120" i="8"/>
  <c r="I119" i="8" a="1"/>
  <c r="I119" i="8"/>
  <c r="H119" i="8" a="1"/>
  <c r="H119" i="8"/>
  <c r="A119" i="8" a="1"/>
  <c r="A119" i="8"/>
  <c r="A116" i="8" a="1"/>
  <c r="A116" i="8"/>
  <c r="A115" i="8" a="1"/>
  <c r="A115" i="8"/>
  <c r="A114" i="8" a="1"/>
  <c r="A114" i="8"/>
  <c r="D113" i="8" a="1"/>
  <c r="D113" i="8" s="1"/>
  <c r="A113" i="8" a="1"/>
  <c r="A113" i="8"/>
  <c r="A112" i="8" a="1"/>
  <c r="A112" i="8"/>
  <c r="A111" i="8" a="1"/>
  <c r="A111" i="8"/>
  <c r="A110" i="8" a="1"/>
  <c r="A110" i="8"/>
  <c r="A109" i="8" a="1"/>
  <c r="A109" i="8"/>
  <c r="A108" i="8" a="1"/>
  <c r="A108" i="8"/>
  <c r="A107" i="8" a="1"/>
  <c r="A107" i="8" s="1"/>
  <c r="A106" i="8" a="1"/>
  <c r="A106" i="8" s="1"/>
  <c r="D105" i="8" a="1"/>
  <c r="D105" i="8"/>
  <c r="A105" i="8" a="1"/>
  <c r="A105" i="8"/>
  <c r="D104" i="8" a="1"/>
  <c r="D104" i="8"/>
  <c r="A104" i="8" a="1"/>
  <c r="A104" i="8"/>
  <c r="A103" i="8" a="1"/>
  <c r="A103" i="8"/>
  <c r="F102" i="8" a="1"/>
  <c r="F102" i="8"/>
  <c r="D102" i="8" a="1"/>
  <c r="D102" i="8"/>
  <c r="A102" i="8" a="1"/>
  <c r="A102" i="8"/>
  <c r="F101" i="8" a="1"/>
  <c r="F101" i="8"/>
  <c r="D101" i="8" a="1"/>
  <c r="D101" i="8"/>
  <c r="A101" i="8" a="1"/>
  <c r="A101" i="8"/>
  <c r="A100" i="8" a="1"/>
  <c r="A100" i="8" s="1"/>
  <c r="F99" i="8" a="1"/>
  <c r="F99" i="8" s="1"/>
  <c r="D99" i="8" a="1"/>
  <c r="D99" i="8" s="1"/>
  <c r="A99" i="8" a="1"/>
  <c r="A99" i="8"/>
  <c r="F98" i="8" a="1"/>
  <c r="F98" i="8" s="1"/>
  <c r="A98" i="8" a="1"/>
  <c r="A98" i="8" s="1"/>
  <c r="A97" i="8" a="1"/>
  <c r="A97" i="8" s="1"/>
  <c r="F96" i="8" a="1"/>
  <c r="F96" i="8" s="1"/>
  <c r="D96" i="8" a="1"/>
  <c r="D96" i="8" s="1"/>
  <c r="A96" i="8" a="1"/>
  <c r="A96" i="8" s="1"/>
  <c r="A95" i="8" a="1"/>
  <c r="A95" i="8" s="1"/>
  <c r="F94" i="8" a="1"/>
  <c r="F94" i="8" s="1"/>
  <c r="A94" i="8" a="1"/>
  <c r="A94" i="8" s="1"/>
  <c r="F93" i="8" a="1"/>
  <c r="F93" i="8" s="1"/>
  <c r="D93" i="8" a="1"/>
  <c r="D93" i="8" s="1"/>
  <c r="A93" i="8" a="1"/>
  <c r="A93" i="8" s="1"/>
  <c r="F92" i="8" a="1"/>
  <c r="F92" i="8" s="1"/>
  <c r="A92" i="8" a="1"/>
  <c r="A92" i="8" s="1"/>
  <c r="F91" i="8" a="1"/>
  <c r="F91" i="8" s="1"/>
  <c r="A91" i="8" a="1"/>
  <c r="A91" i="8" s="1"/>
  <c r="F90" i="8" a="1"/>
  <c r="F90" i="8" s="1"/>
  <c r="A90" i="8" a="1"/>
  <c r="A90" i="8" s="1"/>
  <c r="F89" i="8" a="1"/>
  <c r="F89" i="8" s="1"/>
  <c r="E89" i="8" a="1"/>
  <c r="E89" i="8"/>
  <c r="D89" i="8" a="1"/>
  <c r="D89" i="8" s="1"/>
  <c r="A89" i="8" a="1"/>
  <c r="A89" i="8"/>
  <c r="G88" i="8" a="1"/>
  <c r="G88" i="8" s="1"/>
  <c r="F88" i="8" a="1"/>
  <c r="F88" i="8" s="1"/>
  <c r="E88" i="8" a="1"/>
  <c r="E88" i="8"/>
  <c r="D88" i="8" a="1"/>
  <c r="D88" i="8" s="1"/>
  <c r="A88" i="8" a="1"/>
  <c r="A88" i="8" s="1"/>
  <c r="G87" i="8" a="1"/>
  <c r="G87" i="8" s="1"/>
  <c r="F87" i="8" a="1"/>
  <c r="F87" i="8"/>
  <c r="E87" i="8" a="1"/>
  <c r="E87" i="8" s="1"/>
  <c r="D87" i="8" a="1"/>
  <c r="D87" i="8" s="1"/>
  <c r="A87" i="8" a="1"/>
  <c r="A87" i="8" s="1"/>
  <c r="G86" i="8" a="1"/>
  <c r="G86" i="8" s="1"/>
  <c r="F86" i="8" a="1"/>
  <c r="F86" i="8"/>
  <c r="E86" i="8" a="1"/>
  <c r="E86" i="8" s="1"/>
  <c r="D86" i="8" a="1"/>
  <c r="D86" i="8"/>
  <c r="A86" i="8" a="1"/>
  <c r="A86" i="8" s="1"/>
  <c r="G85" i="8" a="1"/>
  <c r="G85" i="8" s="1"/>
  <c r="F85" i="8" a="1"/>
  <c r="F85" i="8" s="1"/>
  <c r="E85" i="8" a="1"/>
  <c r="E85" i="8" s="1"/>
  <c r="D85" i="8" a="1"/>
  <c r="D85" i="8" s="1"/>
  <c r="A85" i="8" a="1"/>
  <c r="A85" i="8" s="1"/>
  <c r="G84" i="8" a="1"/>
  <c r="G84" i="8" s="1"/>
  <c r="F84" i="8" a="1"/>
  <c r="F84" i="8" s="1"/>
  <c r="E84" i="8" a="1"/>
  <c r="E84" i="8" s="1"/>
  <c r="D84" i="8" a="1"/>
  <c r="D84" i="8" s="1"/>
  <c r="A84" i="8" a="1"/>
  <c r="A84" i="8"/>
  <c r="G83" i="8" a="1"/>
  <c r="G83" i="8"/>
  <c r="F83" i="8" a="1"/>
  <c r="F83" i="8"/>
  <c r="E83" i="8" a="1"/>
  <c r="E83" i="8"/>
  <c r="D83" i="8" a="1"/>
  <c r="D83" i="8"/>
  <c r="A83" i="8" a="1"/>
  <c r="A83" i="8"/>
  <c r="G82" i="8" a="1"/>
  <c r="G82" i="8" s="1"/>
  <c r="F82" i="8" a="1"/>
  <c r="F82" i="8" s="1"/>
  <c r="E82" i="8" a="1"/>
  <c r="E82" i="8"/>
  <c r="D82" i="8" a="1"/>
  <c r="D82" i="8"/>
  <c r="A82" i="8" a="1"/>
  <c r="A82" i="8" s="1"/>
  <c r="G81" i="8" a="1"/>
  <c r="G81" i="8" s="1"/>
  <c r="F81" i="8" a="1"/>
  <c r="F81" i="8" s="1"/>
  <c r="E81" i="8" a="1"/>
  <c r="E81" i="8" s="1"/>
  <c r="D81" i="8" a="1"/>
  <c r="D81" i="8" s="1"/>
  <c r="A81" i="8" a="1"/>
  <c r="A81" i="8" s="1"/>
  <c r="G80" i="8" a="1"/>
  <c r="G80" i="8"/>
  <c r="F80" i="8" a="1"/>
  <c r="F80" i="8" s="1"/>
  <c r="E80" i="8" a="1"/>
  <c r="E80" i="8" s="1"/>
  <c r="D80" i="8" a="1"/>
  <c r="D80" i="8"/>
  <c r="A80" i="8" a="1"/>
  <c r="A80" i="8" s="1"/>
  <c r="G79" i="8" a="1"/>
  <c r="G79" i="8" s="1"/>
  <c r="F79" i="8" a="1"/>
  <c r="F79" i="8"/>
  <c r="E79" i="8" a="1"/>
  <c r="E79" i="8" s="1"/>
  <c r="D79" i="8" a="1"/>
  <c r="D79" i="8"/>
  <c r="A79" i="8" a="1"/>
  <c r="A79" i="8" s="1"/>
  <c r="G78" i="8" a="1"/>
  <c r="G78" i="8" s="1"/>
  <c r="F78" i="8" a="1"/>
  <c r="F78" i="8" s="1"/>
  <c r="E78" i="8" a="1"/>
  <c r="E78" i="8" s="1"/>
  <c r="D78" i="8" a="1"/>
  <c r="D78" i="8" s="1"/>
  <c r="A78" i="8" a="1"/>
  <c r="A78" i="8" s="1"/>
  <c r="G77" i="8" a="1"/>
  <c r="G77" i="8" s="1"/>
  <c r="F77" i="8" a="1"/>
  <c r="F77" i="8" s="1"/>
  <c r="E77" i="8" a="1"/>
  <c r="E77" i="8" s="1"/>
  <c r="D77" i="8" a="1"/>
  <c r="D77" i="8" s="1"/>
  <c r="A77" i="8" a="1"/>
  <c r="A77" i="8" s="1"/>
  <c r="G76" i="8" a="1"/>
  <c r="G76" i="8" s="1"/>
  <c r="F76" i="8" a="1"/>
  <c r="F76" i="8"/>
  <c r="E76" i="8" a="1"/>
  <c r="E76" i="8" s="1"/>
  <c r="D76" i="8" a="1"/>
  <c r="D76" i="8"/>
  <c r="A76" i="8" a="1"/>
  <c r="A76" i="8" s="1"/>
  <c r="G75" i="8" a="1"/>
  <c r="G75" i="8" s="1"/>
  <c r="F75" i="8" a="1"/>
  <c r="F75" i="8" s="1"/>
  <c r="E75" i="8" a="1"/>
  <c r="E75" i="8" s="1"/>
  <c r="D75" i="8" a="1"/>
  <c r="D75" i="8" s="1"/>
  <c r="A75" i="8" a="1"/>
  <c r="A75" i="8" s="1"/>
  <c r="E74" i="8" a="1"/>
  <c r="E74" i="8"/>
  <c r="A74" i="8" a="1"/>
  <c r="A74" i="8"/>
  <c r="A73" i="8" a="1"/>
  <c r="A73" i="8" s="1"/>
  <c r="A72" i="8" a="1"/>
  <c r="A72" i="8" s="1"/>
  <c r="A71" i="8" a="1"/>
  <c r="A71" i="8" s="1"/>
  <c r="F70" i="8" a="1"/>
  <c r="F70" i="8" s="1"/>
  <c r="D70" i="8" a="1"/>
  <c r="D70" i="8" s="1"/>
  <c r="A70" i="8" a="1"/>
  <c r="A70" i="8"/>
  <c r="F69" i="8" a="1"/>
  <c r="F69" i="8"/>
  <c r="A69" i="8" a="1"/>
  <c r="A69" i="8" s="1"/>
  <c r="F68" i="8" a="1"/>
  <c r="F68" i="8" s="1"/>
  <c r="A68" i="8" a="1"/>
  <c r="A68" i="8" s="1"/>
  <c r="A67" i="8" a="1"/>
  <c r="A67" i="8" s="1"/>
  <c r="F66" i="8" a="1"/>
  <c r="F66" i="8" s="1"/>
  <c r="D66" i="8" a="1"/>
  <c r="D66" i="8" s="1"/>
  <c r="A66" i="8" a="1"/>
  <c r="A66" i="8" s="1"/>
  <c r="F65" i="8" a="1"/>
  <c r="F65" i="8" s="1"/>
  <c r="A65" i="8" a="1"/>
  <c r="A65" i="8" s="1"/>
  <c r="F64" i="8" a="1"/>
  <c r="F64" i="8" s="1"/>
  <c r="A64" i="8" a="1"/>
  <c r="A64" i="8" s="1"/>
  <c r="F63" i="8" a="1"/>
  <c r="F63" i="8" s="1"/>
  <c r="A63" i="8" a="1"/>
  <c r="A63" i="8" s="1"/>
  <c r="F62" i="8" a="1"/>
  <c r="F62" i="8" s="1"/>
  <c r="E62" i="8" a="1"/>
  <c r="E62" i="8"/>
  <c r="A62" i="8" a="1"/>
  <c r="A62" i="8" s="1"/>
  <c r="D61" i="8" a="1"/>
  <c r="D61" i="8" s="1"/>
  <c r="A61" i="8" a="1"/>
  <c r="A61" i="8" s="1"/>
  <c r="A60" i="8" a="1"/>
  <c r="A60" i="8" s="1"/>
  <c r="F59" i="8" a="1"/>
  <c r="F59" i="8"/>
  <c r="A59" i="8" a="1"/>
  <c r="A59" i="8" s="1"/>
  <c r="A58" i="8" a="1"/>
  <c r="A58" i="8" s="1"/>
  <c r="F57" i="8" a="1"/>
  <c r="F57" i="8" s="1"/>
  <c r="D57" i="8" a="1"/>
  <c r="D57" i="8" s="1"/>
  <c r="A57" i="8" a="1"/>
  <c r="A57" i="8" s="1"/>
  <c r="F56" i="8" a="1"/>
  <c r="F56" i="8" s="1"/>
  <c r="A56" i="8" a="1"/>
  <c r="A56" i="8" s="1"/>
  <c r="A55" i="8" a="1"/>
  <c r="A55" i="8" s="1"/>
  <c r="F54" i="8" a="1"/>
  <c r="F54" i="8" s="1"/>
  <c r="A54" i="8" a="1"/>
  <c r="A54" i="8" s="1"/>
  <c r="F53" i="8" a="1"/>
  <c r="F53" i="8" s="1"/>
  <c r="A53" i="8" a="1"/>
  <c r="A53" i="8" s="1"/>
  <c r="F52" i="8" a="1"/>
  <c r="F52" i="8" s="1"/>
  <c r="A52" i="8" a="1"/>
  <c r="A52" i="8"/>
  <c r="F51" i="8" a="1"/>
  <c r="F51" i="8" s="1"/>
  <c r="D51" i="8" a="1"/>
  <c r="D51" i="8"/>
  <c r="A51" i="8" a="1"/>
  <c r="A51" i="8" s="1"/>
  <c r="F50" i="8" a="1"/>
  <c r="F50" i="8" s="1"/>
  <c r="A50" i="8" a="1"/>
  <c r="A50" i="8" s="1"/>
  <c r="F49" i="8" a="1"/>
  <c r="F49" i="8" s="1"/>
  <c r="E49" i="8" a="1"/>
  <c r="E49" i="8"/>
  <c r="D49" i="8" a="1"/>
  <c r="D49" i="8" s="1"/>
  <c r="A49" i="8" a="1"/>
  <c r="A49" i="8" s="1"/>
  <c r="A48" i="8" a="1"/>
  <c r="A48" i="8"/>
  <c r="A47" i="8" a="1"/>
  <c r="A47" i="8"/>
  <c r="A46" i="8" a="1"/>
  <c r="A46" i="8"/>
  <c r="A45" i="8" a="1"/>
  <c r="A45" i="8"/>
  <c r="A44" i="8" a="1"/>
  <c r="A44" i="8"/>
  <c r="A43" i="8" a="1"/>
  <c r="A43" i="8"/>
  <c r="A42" i="8" a="1"/>
  <c r="A42" i="8"/>
  <c r="A41" i="8" a="1"/>
  <c r="A41" i="8"/>
  <c r="A40" i="8" a="1"/>
  <c r="A40" i="8"/>
  <c r="A39" i="8" a="1"/>
  <c r="A39" i="8"/>
  <c r="A38" i="8" a="1"/>
  <c r="A38" i="8"/>
  <c r="A37" i="8" a="1"/>
  <c r="A37" i="8"/>
  <c r="A36" i="8" a="1"/>
  <c r="A36" i="8"/>
  <c r="A35" i="8" a="1"/>
  <c r="A35" i="8"/>
  <c r="A34" i="8" a="1"/>
  <c r="A34" i="8"/>
  <c r="A33" i="8" a="1"/>
  <c r="A33" i="8"/>
  <c r="A32" i="8" a="1"/>
  <c r="A32" i="8"/>
  <c r="A31" i="8" a="1"/>
  <c r="A31" i="8"/>
  <c r="A30" i="8" a="1"/>
  <c r="A30" i="8"/>
  <c r="A29" i="8" a="1"/>
  <c r="A29" i="8"/>
  <c r="A28" i="8" a="1"/>
  <c r="A28" i="8"/>
  <c r="A27" i="8" a="1"/>
  <c r="A27" i="8"/>
  <c r="A26" i="8" a="1"/>
  <c r="A26" i="8"/>
  <c r="A25" i="8" a="1"/>
  <c r="A25" i="8"/>
  <c r="A24" i="8" a="1"/>
  <c r="A24" i="8"/>
  <c r="A23" i="8" a="1"/>
  <c r="A23" i="8"/>
  <c r="A22" i="8" a="1"/>
  <c r="A22" i="8"/>
  <c r="A21" i="8" a="1"/>
  <c r="A21" i="8"/>
  <c r="A20" i="8" a="1"/>
  <c r="A20" i="8"/>
  <c r="A19" i="8" a="1"/>
  <c r="A19" i="8"/>
  <c r="A18" i="8" a="1"/>
  <c r="A18" i="8"/>
  <c r="A17" i="8" a="1"/>
  <c r="A17" i="8"/>
  <c r="A16" i="8" a="1"/>
  <c r="A16" i="8"/>
  <c r="A15" i="8" a="1"/>
  <c r="A15" i="8"/>
  <c r="C14" i="8" a="1"/>
  <c r="C14" i="8"/>
  <c r="A14" i="8" a="1"/>
  <c r="A14" i="8"/>
  <c r="A11" i="8" a="1"/>
  <c r="A11" i="8"/>
  <c r="G10" i="8" a="1"/>
  <c r="G10" i="8"/>
  <c r="F10" i="8" a="1"/>
  <c r="F10" i="8"/>
  <c r="E10" i="8" a="1"/>
  <c r="E10" i="8"/>
  <c r="D10" i="8" a="1"/>
  <c r="D10" i="8"/>
  <c r="A10" i="8" a="1"/>
  <c r="A10" i="8"/>
  <c r="A9" i="8" a="1"/>
  <c r="A9" i="8"/>
  <c r="C8" i="8" a="1"/>
  <c r="C8" i="8"/>
  <c r="A8" i="8" a="1"/>
  <c r="A8" i="8"/>
  <c r="C7" i="8" a="1"/>
  <c r="C7" i="8"/>
  <c r="A7" i="8" a="1"/>
  <c r="A7" i="8"/>
  <c r="C6" i="8" a="1"/>
  <c r="C6" i="8"/>
  <c r="A6" i="8" a="1"/>
  <c r="A6" i="8"/>
  <c r="B3" i="8" a="1"/>
  <c r="B3" i="8"/>
  <c r="C174" i="7" a="1"/>
  <c r="C174" i="7"/>
  <c r="E172" i="7" a="1"/>
  <c r="E172" i="7"/>
  <c r="D172" i="7" a="1"/>
  <c r="D172" i="7"/>
  <c r="H171" i="7" a="1"/>
  <c r="H171" i="7"/>
  <c r="C171" i="7" a="1"/>
  <c r="C171" i="7"/>
  <c r="B171" i="7" a="1"/>
  <c r="B171" i="7"/>
  <c r="H170" i="7" a="1"/>
  <c r="H170" i="7"/>
  <c r="C170" i="7" a="1"/>
  <c r="C170" i="7"/>
  <c r="B170" i="7" a="1"/>
  <c r="B170" i="7"/>
  <c r="H169" i="7" a="1"/>
  <c r="H169" i="7"/>
  <c r="C169" i="7" a="1"/>
  <c r="C169" i="7"/>
  <c r="B169" i="7" a="1"/>
  <c r="B169" i="7"/>
  <c r="H168" i="7" a="1"/>
  <c r="H168" i="7"/>
  <c r="C168" i="7" a="1"/>
  <c r="C168" i="7"/>
  <c r="B168" i="7" a="1"/>
  <c r="B168" i="7"/>
  <c r="H167" i="7" a="1"/>
  <c r="H167" i="7"/>
  <c r="C167" i="7" a="1"/>
  <c r="C167" i="7"/>
  <c r="B167" i="7" a="1"/>
  <c r="B167" i="7"/>
  <c r="H166" i="7" a="1"/>
  <c r="H166" i="7"/>
  <c r="C166" i="7" a="1"/>
  <c r="C166" i="7"/>
  <c r="B166" i="7" a="1"/>
  <c r="B166" i="7"/>
  <c r="H165" i="7" a="1"/>
  <c r="H165" i="7"/>
  <c r="C165" i="7" a="1"/>
  <c r="C165" i="7"/>
  <c r="B165" i="7" a="1"/>
  <c r="B165" i="7"/>
  <c r="H164" i="7" a="1"/>
  <c r="H164" i="7"/>
  <c r="C164" i="7" a="1"/>
  <c r="C164" i="7"/>
  <c r="B164" i="7" a="1"/>
  <c r="B164" i="7"/>
  <c r="H163" i="7" a="1"/>
  <c r="H163" i="7"/>
  <c r="C163" i="7" a="1"/>
  <c r="C163" i="7"/>
  <c r="B163" i="7" a="1"/>
  <c r="B163" i="7"/>
  <c r="H162" i="7" a="1"/>
  <c r="H162" i="7"/>
  <c r="C162" i="7" a="1"/>
  <c r="C162" i="7"/>
  <c r="B162" i="7" a="1"/>
  <c r="B162" i="7"/>
  <c r="H161" i="7" a="1"/>
  <c r="H161" i="7"/>
  <c r="C161" i="7" a="1"/>
  <c r="C161" i="7"/>
  <c r="B161" i="7" a="1"/>
  <c r="B161" i="7"/>
  <c r="H160" i="7" a="1"/>
  <c r="H160" i="7"/>
  <c r="C160" i="7" a="1"/>
  <c r="C160" i="7"/>
  <c r="B160" i="7" a="1"/>
  <c r="B160" i="7"/>
  <c r="H159" i="7" a="1"/>
  <c r="H159" i="7"/>
  <c r="C159" i="7" a="1"/>
  <c r="C159" i="7"/>
  <c r="B159" i="7" a="1"/>
  <c r="B159" i="7"/>
  <c r="H158" i="7" a="1"/>
  <c r="H158" i="7"/>
  <c r="C158" i="7" a="1"/>
  <c r="C158" i="7"/>
  <c r="B158" i="7" a="1"/>
  <c r="B158" i="7"/>
  <c r="H157" i="7" a="1"/>
  <c r="H157" i="7"/>
  <c r="C157" i="7" a="1"/>
  <c r="C157" i="7"/>
  <c r="B157" i="7" a="1"/>
  <c r="B157" i="7"/>
  <c r="H156" i="7" a="1"/>
  <c r="H156" i="7"/>
  <c r="C156" i="7" a="1"/>
  <c r="C156" i="7"/>
  <c r="B156" i="7" a="1"/>
  <c r="B156" i="7"/>
  <c r="H155" i="7" a="1"/>
  <c r="H155" i="7"/>
  <c r="C155" i="7" a="1"/>
  <c r="C155" i="7"/>
  <c r="B155" i="7" a="1"/>
  <c r="B155" i="7"/>
  <c r="H154" i="7" a="1"/>
  <c r="H154" i="7"/>
  <c r="C154" i="7" a="1"/>
  <c r="C154" i="7"/>
  <c r="B154" i="7" a="1"/>
  <c r="B154" i="7"/>
  <c r="H153" i="7" a="1"/>
  <c r="H153" i="7"/>
  <c r="C153" i="7" a="1"/>
  <c r="C153" i="7"/>
  <c r="B153" i="7" a="1"/>
  <c r="B153" i="7"/>
  <c r="H152" i="7" a="1"/>
  <c r="H152" i="7"/>
  <c r="C152" i="7" a="1"/>
  <c r="C152" i="7"/>
  <c r="B152" i="7" a="1"/>
  <c r="B152" i="7"/>
  <c r="H151" i="7" a="1"/>
  <c r="H151" i="7"/>
  <c r="C151" i="7" a="1"/>
  <c r="C151" i="7"/>
  <c r="B151" i="7" a="1"/>
  <c r="B151" i="7"/>
  <c r="H150" i="7" a="1"/>
  <c r="H150" i="7"/>
  <c r="C150" i="7" a="1"/>
  <c r="C150" i="7"/>
  <c r="B150" i="7" a="1"/>
  <c r="B150" i="7"/>
  <c r="H149" i="7" a="1"/>
  <c r="H149" i="7"/>
  <c r="C149" i="7" a="1"/>
  <c r="C149" i="7"/>
  <c r="B149" i="7" a="1"/>
  <c r="B149" i="7"/>
  <c r="H148" i="7" a="1"/>
  <c r="H148" i="7"/>
  <c r="C148" i="7" a="1"/>
  <c r="C148" i="7"/>
  <c r="B148" i="7" a="1"/>
  <c r="B148" i="7"/>
  <c r="H147" i="7" a="1"/>
  <c r="H147" i="7"/>
  <c r="C147" i="7" a="1"/>
  <c r="C147" i="7"/>
  <c r="B147" i="7" a="1"/>
  <c r="B147" i="7"/>
  <c r="H146" i="7" a="1"/>
  <c r="H146" i="7"/>
  <c r="C146" i="7" a="1"/>
  <c r="C146" i="7"/>
  <c r="B146" i="7" a="1"/>
  <c r="B146" i="7"/>
  <c r="H145" i="7" a="1"/>
  <c r="H145" i="7"/>
  <c r="C145" i="7" a="1"/>
  <c r="C145" i="7"/>
  <c r="B145" i="7" a="1"/>
  <c r="B145" i="7"/>
  <c r="H144" i="7" a="1"/>
  <c r="H144" i="7"/>
  <c r="C144" i="7" a="1"/>
  <c r="C144" i="7"/>
  <c r="B144" i="7" a="1"/>
  <c r="B144" i="7"/>
  <c r="H143" i="7" a="1"/>
  <c r="H143" i="7"/>
  <c r="C143" i="7" a="1"/>
  <c r="C143" i="7"/>
  <c r="B143" i="7" a="1"/>
  <c r="B143" i="7"/>
  <c r="H142" i="7" a="1"/>
  <c r="H142" i="7"/>
  <c r="C142" i="7" a="1"/>
  <c r="C142" i="7"/>
  <c r="B142" i="7" a="1"/>
  <c r="B142" i="7"/>
  <c r="H141" i="7" a="1"/>
  <c r="H141" i="7"/>
  <c r="C141" i="7" a="1"/>
  <c r="C141" i="7"/>
  <c r="B141" i="7" a="1"/>
  <c r="B141" i="7"/>
  <c r="H140" i="7" a="1"/>
  <c r="H140" i="7"/>
  <c r="C140" i="7" a="1"/>
  <c r="C140" i="7"/>
  <c r="B140" i="7" a="1"/>
  <c r="B140" i="7"/>
  <c r="H139" i="7" a="1"/>
  <c r="H139" i="7"/>
  <c r="C139" i="7" a="1"/>
  <c r="C139" i="7"/>
  <c r="B139" i="7" a="1"/>
  <c r="B139" i="7"/>
  <c r="H138" i="7" a="1"/>
  <c r="H138" i="7"/>
  <c r="C138" i="7" a="1"/>
  <c r="C138" i="7"/>
  <c r="B138" i="7" a="1"/>
  <c r="B138" i="7"/>
  <c r="H137" i="7" a="1"/>
  <c r="H137" i="7"/>
  <c r="C137" i="7" a="1"/>
  <c r="C137" i="7"/>
  <c r="B137" i="7" a="1"/>
  <c r="B137" i="7"/>
  <c r="H136" i="7" a="1"/>
  <c r="H136" i="7"/>
  <c r="C136" i="7" a="1"/>
  <c r="C136" i="7"/>
  <c r="B136" i="7" a="1"/>
  <c r="B136" i="7"/>
  <c r="H135" i="7" a="1"/>
  <c r="H135" i="7"/>
  <c r="C135" i="7" a="1"/>
  <c r="C135" i="7"/>
  <c r="B135" i="7" a="1"/>
  <c r="B135" i="7"/>
  <c r="H134" i="7" a="1"/>
  <c r="H134" i="7"/>
  <c r="C134" i="7" a="1"/>
  <c r="C134" i="7"/>
  <c r="B134" i="7" a="1"/>
  <c r="B134" i="7"/>
  <c r="H133" i="7" a="1"/>
  <c r="H133" i="7"/>
  <c r="C133" i="7" a="1"/>
  <c r="C133" i="7"/>
  <c r="B133" i="7" a="1"/>
  <c r="B133" i="7"/>
  <c r="H132" i="7" a="1"/>
  <c r="H132" i="7"/>
  <c r="C132" i="7" a="1"/>
  <c r="C132" i="7"/>
  <c r="B132" i="7" a="1"/>
  <c r="B132" i="7"/>
  <c r="H131" i="7" a="1"/>
  <c r="H131" i="7"/>
  <c r="C131" i="7" a="1"/>
  <c r="C131" i="7"/>
  <c r="B131" i="7" a="1"/>
  <c r="B131" i="7"/>
  <c r="H130" i="7" a="1"/>
  <c r="H130" i="7"/>
  <c r="C130" i="7" a="1"/>
  <c r="C130" i="7"/>
  <c r="B130" i="7" a="1"/>
  <c r="B130" i="7"/>
  <c r="H129" i="7" a="1"/>
  <c r="H129" i="7"/>
  <c r="C129" i="7" a="1"/>
  <c r="C129" i="7"/>
  <c r="B129" i="7" a="1"/>
  <c r="B129" i="7"/>
  <c r="H128" i="7" a="1"/>
  <c r="H128" i="7"/>
  <c r="C128" i="7" a="1"/>
  <c r="C128" i="7"/>
  <c r="B128" i="7" a="1"/>
  <c r="B128" i="7"/>
  <c r="H127" i="7" a="1"/>
  <c r="H127" i="7"/>
  <c r="C127" i="7" a="1"/>
  <c r="C127" i="7"/>
  <c r="B127" i="7" a="1"/>
  <c r="B127" i="7"/>
  <c r="H126" i="7" a="1"/>
  <c r="H126" i="7"/>
  <c r="C126" i="7" a="1"/>
  <c r="C126" i="7"/>
  <c r="B126" i="7" a="1"/>
  <c r="B126" i="7"/>
  <c r="H125" i="7" a="1"/>
  <c r="H125" i="7"/>
  <c r="C125" i="7" a="1"/>
  <c r="C125" i="7"/>
  <c r="B125" i="7" a="1"/>
  <c r="B125" i="7"/>
  <c r="H124" i="7" a="1"/>
  <c r="H124" i="7"/>
  <c r="C124" i="7" a="1"/>
  <c r="C124" i="7"/>
  <c r="B124" i="7" a="1"/>
  <c r="B124" i="7"/>
  <c r="H123" i="7" a="1"/>
  <c r="H123" i="7"/>
  <c r="C123" i="7" a="1"/>
  <c r="C123" i="7"/>
  <c r="B123" i="7" a="1"/>
  <c r="B123" i="7"/>
  <c r="H122" i="7" a="1"/>
  <c r="H122" i="7"/>
  <c r="C122" i="7" a="1"/>
  <c r="C122" i="7"/>
  <c r="B122" i="7" a="1"/>
  <c r="B122" i="7"/>
  <c r="H121" i="7" a="1"/>
  <c r="H121" i="7"/>
  <c r="C121" i="7" a="1"/>
  <c r="C121" i="7"/>
  <c r="B121" i="7" a="1"/>
  <c r="B121" i="7"/>
  <c r="H120" i="7" a="1"/>
  <c r="H120" i="7"/>
  <c r="C120" i="7" a="1"/>
  <c r="C120" i="7"/>
  <c r="B120" i="7" a="1"/>
  <c r="B120" i="7"/>
  <c r="H119" i="7" a="1"/>
  <c r="H119" i="7"/>
  <c r="C119" i="7" a="1"/>
  <c r="C119" i="7"/>
  <c r="B119" i="7" a="1"/>
  <c r="B119" i="7"/>
  <c r="H118" i="7" a="1"/>
  <c r="H118" i="7"/>
  <c r="C118" i="7" a="1"/>
  <c r="C118" i="7"/>
  <c r="B118" i="7" a="1"/>
  <c r="B118" i="7"/>
  <c r="H117" i="7" a="1"/>
  <c r="H117" i="7"/>
  <c r="C117" i="7" a="1"/>
  <c r="C117" i="7"/>
  <c r="B117" i="7" a="1"/>
  <c r="B117" i="7"/>
  <c r="H116" i="7" a="1"/>
  <c r="H116" i="7"/>
  <c r="C116" i="7" a="1"/>
  <c r="C116" i="7"/>
  <c r="B116" i="7" a="1"/>
  <c r="B116" i="7"/>
  <c r="H115" i="7" a="1"/>
  <c r="H115" i="7"/>
  <c r="C115" i="7" a="1"/>
  <c r="C115" i="7"/>
  <c r="B115" i="7" a="1"/>
  <c r="B115" i="7"/>
  <c r="H114" i="7" a="1"/>
  <c r="H114" i="7"/>
  <c r="C114" i="7" a="1"/>
  <c r="C114" i="7"/>
  <c r="B114" i="7" a="1"/>
  <c r="B114" i="7"/>
  <c r="H113" i="7" a="1"/>
  <c r="H113" i="7"/>
  <c r="C113" i="7" a="1"/>
  <c r="C113" i="7"/>
  <c r="B113" i="7" a="1"/>
  <c r="B113" i="7"/>
  <c r="H112" i="7" a="1"/>
  <c r="H112" i="7"/>
  <c r="C112" i="7" a="1"/>
  <c r="C112" i="7"/>
  <c r="B112" i="7" a="1"/>
  <c r="B112" i="7"/>
  <c r="H111" i="7" a="1"/>
  <c r="H111" i="7"/>
  <c r="C111" i="7" a="1"/>
  <c r="C111" i="7"/>
  <c r="B111" i="7" a="1"/>
  <c r="B111" i="7"/>
  <c r="H110" i="7" a="1"/>
  <c r="H110" i="7"/>
  <c r="C110" i="7" a="1"/>
  <c r="C110" i="7"/>
  <c r="B110" i="7" a="1"/>
  <c r="B110" i="7"/>
  <c r="H109" i="7" a="1"/>
  <c r="H109" i="7"/>
  <c r="C109" i="7" a="1"/>
  <c r="C109" i="7"/>
  <c r="B109" i="7" a="1"/>
  <c r="B109" i="7"/>
  <c r="H108" i="7" a="1"/>
  <c r="H108" i="7"/>
  <c r="C108" i="7" a="1"/>
  <c r="C108" i="7"/>
  <c r="B108" i="7" a="1"/>
  <c r="B108" i="7"/>
  <c r="H107" i="7" a="1"/>
  <c r="H107" i="7"/>
  <c r="C107" i="7" a="1"/>
  <c r="C107" i="7"/>
  <c r="B107" i="7" a="1"/>
  <c r="B107" i="7"/>
  <c r="H106" i="7" a="1"/>
  <c r="H106" i="7"/>
  <c r="C106" i="7" a="1"/>
  <c r="C106" i="7"/>
  <c r="B106" i="7" a="1"/>
  <c r="B106" i="7"/>
  <c r="H105" i="7" a="1"/>
  <c r="H105" i="7"/>
  <c r="C105" i="7" a="1"/>
  <c r="C105" i="7"/>
  <c r="B105" i="7" a="1"/>
  <c r="B105" i="7"/>
  <c r="H104" i="7" a="1"/>
  <c r="H104" i="7"/>
  <c r="C104" i="7" a="1"/>
  <c r="C104" i="7"/>
  <c r="B104" i="7" a="1"/>
  <c r="B104" i="7"/>
  <c r="H103" i="7" a="1"/>
  <c r="H103" i="7"/>
  <c r="C103" i="7" a="1"/>
  <c r="C103" i="7"/>
  <c r="B103" i="7" a="1"/>
  <c r="B103" i="7"/>
  <c r="H102" i="7" a="1"/>
  <c r="H102" i="7"/>
  <c r="C102" i="7" a="1"/>
  <c r="C102" i="7"/>
  <c r="B102" i="7" a="1"/>
  <c r="B102" i="7"/>
  <c r="H101" i="7" a="1"/>
  <c r="H101" i="7"/>
  <c r="C101" i="7" a="1"/>
  <c r="C101" i="7"/>
  <c r="B101" i="7" a="1"/>
  <c r="B101" i="7"/>
  <c r="H100" i="7" a="1"/>
  <c r="H100" i="7"/>
  <c r="C100" i="7" a="1"/>
  <c r="C100" i="7"/>
  <c r="B100" i="7" a="1"/>
  <c r="B100" i="7"/>
  <c r="H99" i="7" a="1"/>
  <c r="H99" i="7"/>
  <c r="C99" i="7" a="1"/>
  <c r="C99" i="7"/>
  <c r="B99" i="7" a="1"/>
  <c r="B99" i="7"/>
  <c r="H98" i="7" a="1"/>
  <c r="H98" i="7"/>
  <c r="C98" i="7" a="1"/>
  <c r="C98" i="7"/>
  <c r="B98" i="7" a="1"/>
  <c r="B98" i="7"/>
  <c r="H97" i="7" a="1"/>
  <c r="H97" i="7"/>
  <c r="C97" i="7" a="1"/>
  <c r="C97" i="7"/>
  <c r="B97" i="7" a="1"/>
  <c r="B97" i="7"/>
  <c r="H96" i="7" a="1"/>
  <c r="H96" i="7"/>
  <c r="B96" i="7" a="1"/>
  <c r="B96" i="7" s="1"/>
  <c r="C87" i="7" a="1"/>
  <c r="C87" i="7" s="1"/>
  <c r="G85" i="7" a="1"/>
  <c r="G85" i="7" s="1"/>
  <c r="F85" i="7" a="1"/>
  <c r="F85" i="7" s="1"/>
  <c r="I84" i="7" a="1"/>
  <c r="I84" i="7" s="1"/>
  <c r="C84" i="7" s="1" a="1"/>
  <c r="C84" i="7" s="1"/>
  <c r="B84" i="7" a="1"/>
  <c r="B84" i="7" s="1"/>
  <c r="B83" i="7" s="1" a="1"/>
  <c r="B83" i="7" s="1"/>
  <c r="B82" i="7" s="1" a="1"/>
  <c r="B82" i="7" s="1"/>
  <c r="B81" i="7" s="1" a="1"/>
  <c r="B81" i="7" s="1"/>
  <c r="B80" i="7" s="1" a="1"/>
  <c r="B80" i="7" s="1"/>
  <c r="B79" i="7" s="1" a="1"/>
  <c r="B79" i="7" s="1"/>
  <c r="B78" i="7" s="1" a="1"/>
  <c r="B78" i="7" s="1"/>
  <c r="B77" i="7" s="1" a="1"/>
  <c r="B77" i="7" s="1"/>
  <c r="B76" i="7" s="1" a="1"/>
  <c r="B76" i="7" s="1"/>
  <c r="B75" i="7" s="1" a="1"/>
  <c r="B75" i="7" s="1"/>
  <c r="B74" i="7" s="1" a="1"/>
  <c r="B74" i="7" s="1"/>
  <c r="B73" i="7" s="1" a="1"/>
  <c r="B73" i="7" s="1"/>
  <c r="B72" i="7" s="1" a="1"/>
  <c r="B72" i="7" s="1"/>
  <c r="B71" i="7" s="1" a="1"/>
  <c r="B71" i="7" s="1"/>
  <c r="B70" i="7" s="1" a="1"/>
  <c r="B70" i="7" s="1"/>
  <c r="B69" i="7" s="1" a="1"/>
  <c r="B69" i="7" s="1"/>
  <c r="B68" i="7" s="1" a="1"/>
  <c r="B68" i="7" s="1"/>
  <c r="B67" i="7" s="1" a="1"/>
  <c r="B67" i="7" s="1"/>
  <c r="B66" i="7" s="1" a="1"/>
  <c r="B66" i="7" s="1"/>
  <c r="B65" i="7" s="1" a="1"/>
  <c r="B65" i="7" s="1"/>
  <c r="B64" i="7" s="1" a="1"/>
  <c r="B64" i="7" s="1"/>
  <c r="B63" i="7" s="1" a="1"/>
  <c r="B63" i="7" s="1"/>
  <c r="B62" i="7" s="1" a="1"/>
  <c r="B62" i="7" s="1"/>
  <c r="B61" i="7" s="1" a="1"/>
  <c r="B61" i="7" s="1"/>
  <c r="B60" i="7" s="1" a="1"/>
  <c r="B60" i="7" s="1"/>
  <c r="B59" i="7" s="1" a="1"/>
  <c r="B59" i="7" s="1"/>
  <c r="B58" i="7" s="1" a="1"/>
  <c r="B58" i="7" s="1"/>
  <c r="B57" i="7" s="1" a="1"/>
  <c r="B57" i="7" s="1"/>
  <c r="B56" i="7" s="1" a="1"/>
  <c r="B56" i="7" s="1"/>
  <c r="B55" i="7" s="1" a="1"/>
  <c r="B55" i="7" s="1"/>
  <c r="B54" i="7" s="1" a="1"/>
  <c r="B54" i="7" s="1"/>
  <c r="B53" i="7" s="1" a="1"/>
  <c r="B53" i="7" s="1"/>
  <c r="B52" i="7" s="1" a="1"/>
  <c r="B52" i="7" s="1"/>
  <c r="B51" i="7" s="1" a="1"/>
  <c r="B51" i="7" s="1"/>
  <c r="B50" i="7" s="1" a="1"/>
  <c r="B50" i="7" s="1"/>
  <c r="B49" i="7" s="1" a="1"/>
  <c r="B49" i="7" s="1"/>
  <c r="B48" i="7" s="1" a="1"/>
  <c r="B48" i="7" s="1"/>
  <c r="B47" i="7" s="1" a="1"/>
  <c r="B47" i="7" s="1"/>
  <c r="B46" i="7" s="1" a="1"/>
  <c r="B46" i="7" s="1"/>
  <c r="B45" i="7" s="1" a="1"/>
  <c r="B45" i="7" s="1"/>
  <c r="B44" i="7" s="1" a="1"/>
  <c r="B44" i="7" s="1"/>
  <c r="B43" i="7" s="1" a="1"/>
  <c r="B43" i="7" s="1"/>
  <c r="B42" i="7" s="1" a="1"/>
  <c r="B42" i="7" s="1"/>
  <c r="B41" i="7" s="1" a="1"/>
  <c r="B41" i="7" s="1"/>
  <c r="B40" i="7" s="1" a="1"/>
  <c r="B40" i="7" s="1"/>
  <c r="B39" i="7" s="1" a="1"/>
  <c r="B39" i="7" s="1"/>
  <c r="B38" i="7" s="1" a="1"/>
  <c r="B38" i="7" s="1"/>
  <c r="B37" i="7" s="1" a="1"/>
  <c r="B37" i="7" s="1"/>
  <c r="B36" i="7" s="1" a="1"/>
  <c r="B36" i="7" s="1"/>
  <c r="B35" i="7" s="1" a="1"/>
  <c r="B35" i="7" s="1"/>
  <c r="B34" i="7" s="1" a="1"/>
  <c r="B34" i="7" s="1"/>
  <c r="B33" i="7" s="1" a="1"/>
  <c r="B33" i="7" s="1"/>
  <c r="B32" i="7" s="1" a="1"/>
  <c r="B32" i="7" s="1"/>
  <c r="B31" i="7" s="1" a="1"/>
  <c r="B31" i="7" s="1"/>
  <c r="B30" i="7" s="1" a="1"/>
  <c r="B30" i="7" s="1"/>
  <c r="B29" i="7" s="1" a="1"/>
  <c r="B29" i="7" s="1"/>
  <c r="B28" i="7" s="1" a="1"/>
  <c r="B28" i="7" s="1"/>
  <c r="B27" i="7" s="1" a="1"/>
  <c r="B27" i="7" s="1"/>
  <c r="B26" i="7" s="1" a="1"/>
  <c r="B26" i="7" s="1"/>
  <c r="B25" i="7" s="1" a="1"/>
  <c r="B25" i="7" s="1"/>
  <c r="B24" i="7" s="1" a="1"/>
  <c r="B24" i="7" s="1"/>
  <c r="B23" i="7" s="1" a="1"/>
  <c r="B23" i="7" s="1"/>
  <c r="B22" i="7" s="1" a="1"/>
  <c r="B22" i="7" s="1"/>
  <c r="B21" i="7" s="1" a="1"/>
  <c r="B21" i="7" s="1"/>
  <c r="B20" i="7" s="1" a="1"/>
  <c r="B20" i="7" s="1"/>
  <c r="B19" i="7" s="1" a="1"/>
  <c r="B19" i="7" s="1"/>
  <c r="B18" i="7" s="1" a="1"/>
  <c r="B18" i="7" s="1"/>
  <c r="B17" i="7" s="1" a="1"/>
  <c r="B17" i="7" s="1"/>
  <c r="B16" i="7" s="1" a="1"/>
  <c r="B16" i="7" s="1"/>
  <c r="B15" i="7" s="1" a="1"/>
  <c r="B15" i="7" s="1"/>
  <c r="B14" i="7" s="1" a="1"/>
  <c r="B14" i="7" s="1"/>
  <c r="B13" i="7" s="1" a="1"/>
  <c r="B13" i="7" s="1"/>
  <c r="B12" i="7" s="1" a="1"/>
  <c r="B12" i="7" s="1"/>
  <c r="B11" i="7" s="1" a="1"/>
  <c r="B11" i="7" s="1"/>
  <c r="B10" i="7" s="1" a="1"/>
  <c r="B10" i="7" s="1"/>
  <c r="B9" i="7" s="1" a="1"/>
  <c r="B9" i="7" s="1"/>
  <c r="I83" i="7" a="1"/>
  <c r="I83" i="7" s="1"/>
  <c r="C83" i="7" s="1" a="1"/>
  <c r="C83" i="7" s="1"/>
  <c r="I82" i="7" a="1"/>
  <c r="I82" i="7" s="1"/>
  <c r="C82" i="7" s="1" a="1"/>
  <c r="C82" i="7" s="1"/>
  <c r="I81" i="7" a="1"/>
  <c r="I81" i="7" s="1"/>
  <c r="C81" i="7" s="1" a="1"/>
  <c r="C81" i="7" s="1"/>
  <c r="I80" i="7" a="1"/>
  <c r="I80" i="7" s="1"/>
  <c r="C80" i="7" s="1" a="1"/>
  <c r="C80" i="7" s="1"/>
  <c r="I79" i="7" a="1"/>
  <c r="I79" i="7" s="1"/>
  <c r="C79" i="7" s="1" a="1"/>
  <c r="C79" i="7" s="1"/>
  <c r="I78" i="7" a="1"/>
  <c r="I78" i="7" s="1"/>
  <c r="C78" i="7" s="1" a="1"/>
  <c r="C78" i="7" s="1"/>
  <c r="I77" i="7" a="1"/>
  <c r="I77" i="7" s="1"/>
  <c r="C77" i="7" s="1" a="1"/>
  <c r="C77" i="7" s="1"/>
  <c r="I76" i="7" a="1"/>
  <c r="I76" i="7" s="1"/>
  <c r="C76" i="7" s="1" a="1"/>
  <c r="C76" i="7" s="1"/>
  <c r="I75" i="7" a="1"/>
  <c r="I75" i="7" s="1"/>
  <c r="C75" i="7" s="1" a="1"/>
  <c r="C75" i="7" s="1"/>
  <c r="I74" i="7" a="1"/>
  <c r="I74" i="7" s="1"/>
  <c r="C74" i="7" s="1" a="1"/>
  <c r="C74" i="7" s="1"/>
  <c r="I73" i="7" a="1"/>
  <c r="I73" i="7" s="1"/>
  <c r="C73" i="7" s="1" a="1"/>
  <c r="C73" i="7" s="1"/>
  <c r="I72" i="7" a="1"/>
  <c r="I72" i="7" s="1"/>
  <c r="C72" i="7" s="1" a="1"/>
  <c r="C72" i="7" s="1"/>
  <c r="I71" i="7" a="1"/>
  <c r="I71" i="7" s="1"/>
  <c r="C71" i="7" s="1" a="1"/>
  <c r="C71" i="7" s="1"/>
  <c r="I70" i="7" a="1"/>
  <c r="I70" i="7" s="1"/>
  <c r="C70" i="7" s="1" a="1"/>
  <c r="C70" i="7" s="1"/>
  <c r="I69" i="7" a="1"/>
  <c r="I69" i="7" s="1"/>
  <c r="C69" i="7" s="1" a="1"/>
  <c r="C69" i="7" s="1"/>
  <c r="I68" i="7" a="1"/>
  <c r="I68" i="7" s="1"/>
  <c r="C68" i="7" s="1" a="1"/>
  <c r="C68" i="7" s="1"/>
  <c r="I67" i="7" a="1"/>
  <c r="I67" i="7" s="1"/>
  <c r="C67" i="7" s="1" a="1"/>
  <c r="C67" i="7" s="1"/>
  <c r="I66" i="7" a="1"/>
  <c r="I66" i="7" s="1"/>
  <c r="C66" i="7" s="1" a="1"/>
  <c r="C66" i="7" s="1"/>
  <c r="I65" i="7" a="1"/>
  <c r="I65" i="7" s="1"/>
  <c r="C65" i="7" s="1" a="1"/>
  <c r="C65" i="7" s="1"/>
  <c r="I64" i="7" a="1"/>
  <c r="I64" i="7" s="1"/>
  <c r="C64" i="7" s="1" a="1"/>
  <c r="C64" i="7" s="1"/>
  <c r="I63" i="7" a="1"/>
  <c r="I63" i="7" s="1"/>
  <c r="C63" i="7" s="1" a="1"/>
  <c r="C63" i="7" s="1"/>
  <c r="I62" i="7" a="1"/>
  <c r="I62" i="7" s="1"/>
  <c r="C62" i="7" s="1" a="1"/>
  <c r="C62" i="7" s="1"/>
  <c r="I61" i="7" a="1"/>
  <c r="I61" i="7" s="1"/>
  <c r="C61" i="7" s="1" a="1"/>
  <c r="C61" i="7" s="1"/>
  <c r="I60" i="7" a="1"/>
  <c r="I60" i="7" s="1"/>
  <c r="C60" i="7" s="1" a="1"/>
  <c r="C60" i="7" s="1"/>
  <c r="I59" i="7" a="1"/>
  <c r="I59" i="7" s="1"/>
  <c r="C59" i="7" s="1" a="1"/>
  <c r="C59" i="7" s="1"/>
  <c r="I58" i="7" a="1"/>
  <c r="I58" i="7" s="1"/>
  <c r="C58" i="7" s="1" a="1"/>
  <c r="C58" i="7" s="1"/>
  <c r="I57" i="7" a="1"/>
  <c r="I57" i="7" s="1"/>
  <c r="C56" i="7" a="1"/>
  <c r="C56" i="7" s="1"/>
  <c r="C55" i="7" a="1"/>
  <c r="C55" i="7" s="1"/>
  <c r="C54" i="7" a="1"/>
  <c r="C54" i="7" s="1"/>
  <c r="C53" i="7" a="1"/>
  <c r="C53" i="7"/>
  <c r="C52" i="7" a="1"/>
  <c r="C52" i="7" s="1"/>
  <c r="C51" i="7" a="1"/>
  <c r="C51" i="7" s="1"/>
  <c r="C50" i="7" a="1"/>
  <c r="C50" i="7" s="1"/>
  <c r="C49" i="7" a="1"/>
  <c r="C49" i="7" s="1"/>
  <c r="C48" i="7" a="1"/>
  <c r="C48" i="7" s="1"/>
  <c r="C47" i="7" a="1"/>
  <c r="C47" i="7" s="1"/>
  <c r="C46" i="7" a="1"/>
  <c r="C46" i="7" s="1"/>
  <c r="C45" i="7" a="1"/>
  <c r="C45" i="7" s="1"/>
  <c r="C44" i="7" a="1"/>
  <c r="C44" i="7" s="1"/>
  <c r="C43" i="7" a="1"/>
  <c r="C43" i="7" s="1"/>
  <c r="C42" i="7" a="1"/>
  <c r="C42" i="7" s="1"/>
  <c r="C41" i="7" a="1"/>
  <c r="C41" i="7" s="1"/>
  <c r="C40" i="7" a="1"/>
  <c r="C40" i="7" s="1"/>
  <c r="C39" i="7" a="1"/>
  <c r="C39" i="7" s="1"/>
  <c r="C38" i="7" a="1"/>
  <c r="C38" i="7" s="1"/>
  <c r="C37" i="7" a="1"/>
  <c r="C37" i="7" s="1"/>
  <c r="C36" i="7" a="1"/>
  <c r="C36" i="7" s="1"/>
  <c r="C35" i="7" a="1"/>
  <c r="C35" i="7" s="1"/>
  <c r="C34" i="7" a="1"/>
  <c r="C34" i="7" s="1"/>
  <c r="C33" i="7" a="1"/>
  <c r="C33" i="7" s="1"/>
  <c r="C32" i="7" a="1"/>
  <c r="C32" i="7" s="1"/>
  <c r="C31" i="7" a="1"/>
  <c r="C31" i="7" s="1"/>
  <c r="C30" i="7" a="1"/>
  <c r="C30" i="7" s="1"/>
  <c r="C29" i="7" a="1"/>
  <c r="C29" i="7" s="1"/>
  <c r="C28" i="7" a="1"/>
  <c r="C28" i="7" s="1"/>
  <c r="C27" i="7" a="1"/>
  <c r="C27" i="7" s="1"/>
  <c r="C26" i="7" a="1"/>
  <c r="C26" i="7" s="1"/>
  <c r="C25" i="7" a="1"/>
  <c r="C25" i="7" s="1"/>
  <c r="C24" i="7" a="1"/>
  <c r="C24" i="7" s="1"/>
  <c r="C23" i="7" a="1"/>
  <c r="C23" i="7" s="1"/>
  <c r="C22" i="7" a="1"/>
  <c r="C22" i="7" s="1"/>
  <c r="C21" i="7" a="1"/>
  <c r="C21" i="7" s="1"/>
  <c r="C20" i="7" a="1"/>
  <c r="C20" i="7" s="1"/>
  <c r="C19" i="7" a="1"/>
  <c r="C19" i="7" s="1"/>
  <c r="C18" i="7" a="1"/>
  <c r="C18" i="7" s="1"/>
  <c r="C17" i="7" a="1"/>
  <c r="C17" i="7" s="1"/>
  <c r="C16" i="7" a="1"/>
  <c r="C16" i="7" s="1"/>
  <c r="C15" i="7" a="1"/>
  <c r="C15" i="7" s="1"/>
  <c r="C14" i="7" a="1"/>
  <c r="C14" i="7" s="1"/>
  <c r="C13" i="7" a="1"/>
  <c r="C13" i="7" s="1"/>
  <c r="C12" i="7" a="1"/>
  <c r="C12" i="7" s="1"/>
  <c r="C11" i="7" a="1"/>
  <c r="C11" i="7" s="1"/>
  <c r="C10" i="7" a="1"/>
  <c r="C10" i="7" s="1"/>
  <c r="C9" i="7" a="1"/>
  <c r="C9" i="7" s="1"/>
  <c r="B3" i="7" a="1"/>
  <c r="B3" i="7" s="1"/>
  <c r="I283" i="6" a="1"/>
  <c r="I283" i="6" s="1"/>
  <c r="G281" i="6" a="1"/>
  <c r="G281" i="6" s="1"/>
  <c r="F281" i="6" a="1"/>
  <c r="F281" i="6" s="1"/>
  <c r="I280" i="6" a="1"/>
  <c r="I280" i="6" s="1"/>
  <c r="I279" i="6" a="1"/>
  <c r="I279" i="6" s="1"/>
  <c r="I278" i="6" a="1"/>
  <c r="I278" i="6" s="1"/>
  <c r="I277" i="6" a="1"/>
  <c r="I277" i="6" s="1"/>
  <c r="I276" i="6" a="1"/>
  <c r="I276" i="6" s="1"/>
  <c r="I281" i="6" s="1" a="1"/>
  <c r="I281" i="6" s="1"/>
  <c r="G273" i="6" a="1"/>
  <c r="G273" i="6" s="1"/>
  <c r="F273" i="6" a="1"/>
  <c r="F273" i="6" s="1"/>
  <c r="I272" i="6" a="1"/>
  <c r="I272" i="6" s="1"/>
  <c r="I271" i="6" a="1"/>
  <c r="I271" i="6" s="1"/>
  <c r="I270" i="6" a="1"/>
  <c r="I270" i="6"/>
  <c r="I269" i="6" a="1"/>
  <c r="I269" i="6" s="1"/>
  <c r="I268" i="6" a="1"/>
  <c r="I268" i="6" s="1"/>
  <c r="I267" i="6" a="1"/>
  <c r="I267" i="6" s="1"/>
  <c r="I266" i="6" a="1"/>
  <c r="I266" i="6" s="1"/>
  <c r="I265" i="6" a="1"/>
  <c r="I265" i="6" s="1"/>
  <c r="I264" i="6" a="1"/>
  <c r="I264" i="6" s="1"/>
  <c r="I263" i="6" a="1"/>
  <c r="I263" i="6" s="1"/>
  <c r="I262" i="6" a="1"/>
  <c r="I262" i="6" s="1"/>
  <c r="I261" i="6" a="1"/>
  <c r="I261" i="6" s="1"/>
  <c r="I260" i="6" a="1"/>
  <c r="I260" i="6" s="1"/>
  <c r="I259" i="6" a="1"/>
  <c r="I259" i="6" s="1"/>
  <c r="I258" i="6" a="1"/>
  <c r="I258" i="6" s="1"/>
  <c r="I257" i="6" a="1"/>
  <c r="I257" i="6" s="1"/>
  <c r="I256" i="6" a="1"/>
  <c r="I256" i="6" s="1"/>
  <c r="I255" i="6" a="1"/>
  <c r="I255" i="6" s="1"/>
  <c r="I254" i="6" a="1"/>
  <c r="I254" i="6" s="1"/>
  <c r="I253" i="6" a="1"/>
  <c r="I253" i="6" s="1"/>
  <c r="I252" i="6" a="1"/>
  <c r="I252" i="6" s="1"/>
  <c r="I251" i="6" a="1"/>
  <c r="I251" i="6" s="1"/>
  <c r="I250" i="6" a="1"/>
  <c r="I250" i="6" s="1"/>
  <c r="I249" i="6" a="1"/>
  <c r="I249" i="6" s="1"/>
  <c r="I248" i="6" a="1"/>
  <c r="I248" i="6" s="1"/>
  <c r="I247" i="6" a="1"/>
  <c r="I247" i="6" s="1"/>
  <c r="I246" i="6" a="1"/>
  <c r="I246" i="6" s="1"/>
  <c r="I273" i="6" s="1" a="1"/>
  <c r="I273" i="6" s="1"/>
  <c r="G243" i="6" a="1"/>
  <c r="G243" i="6" s="1"/>
  <c r="F243" i="6" a="1"/>
  <c r="F243" i="6" s="1"/>
  <c r="I242" i="6" a="1"/>
  <c r="I242" i="6" s="1"/>
  <c r="I241" i="6" a="1"/>
  <c r="I241" i="6" s="1"/>
  <c r="I240" i="6" a="1"/>
  <c r="I240" i="6" s="1"/>
  <c r="I239" i="6" a="1"/>
  <c r="I239" i="6" s="1"/>
  <c r="I238" i="6" a="1"/>
  <c r="I238" i="6" s="1"/>
  <c r="I237" i="6" a="1"/>
  <c r="I237" i="6" s="1"/>
  <c r="I236" i="6" a="1"/>
  <c r="I236" i="6" s="1"/>
  <c r="I235" i="6" a="1"/>
  <c r="I235" i="6" s="1"/>
  <c r="I234" i="6" a="1"/>
  <c r="I234" i="6" s="1"/>
  <c r="I233" i="6" a="1"/>
  <c r="I233" i="6" s="1"/>
  <c r="I232" i="6" a="1"/>
  <c r="I232" i="6" s="1"/>
  <c r="I231" i="6" a="1"/>
  <c r="I231" i="6" s="1"/>
  <c r="I230" i="6" a="1"/>
  <c r="I230" i="6" s="1"/>
  <c r="I229" i="6" a="1"/>
  <c r="I229" i="6" s="1"/>
  <c r="I228" i="6" a="1"/>
  <c r="I228" i="6" s="1"/>
  <c r="I227" i="6" a="1"/>
  <c r="I227" i="6" s="1"/>
  <c r="I226" i="6" a="1"/>
  <c r="I226" i="6" s="1"/>
  <c r="I225" i="6" a="1"/>
  <c r="I225" i="6" s="1"/>
  <c r="I224" i="6" a="1"/>
  <c r="I224" i="6" s="1"/>
  <c r="I223" i="6" a="1"/>
  <c r="I223" i="6" s="1"/>
  <c r="I222" i="6" a="1"/>
  <c r="I222" i="6" s="1"/>
  <c r="I221" i="6" a="1"/>
  <c r="I221" i="6" s="1"/>
  <c r="I220" i="6" a="1"/>
  <c r="I220" i="6" s="1"/>
  <c r="I219" i="6" a="1"/>
  <c r="I219" i="6" s="1"/>
  <c r="I218" i="6" a="1"/>
  <c r="I218" i="6" s="1"/>
  <c r="I217" i="6" a="1"/>
  <c r="I217" i="6" s="1"/>
  <c r="I216" i="6" a="1"/>
  <c r="I216" i="6" s="1"/>
  <c r="I215" i="6" a="1"/>
  <c r="I215" i="6" s="1"/>
  <c r="I214" i="6" a="1"/>
  <c r="I214" i="6" s="1"/>
  <c r="I213" i="6" a="1"/>
  <c r="I213" i="6" s="1"/>
  <c r="I212" i="6" a="1"/>
  <c r="I212" i="6" s="1"/>
  <c r="I211" i="6" a="1"/>
  <c r="I211" i="6" s="1"/>
  <c r="I243" i="6" s="1" a="1"/>
  <c r="I243" i="6" s="1"/>
  <c r="G208" i="6" a="1"/>
  <c r="G208" i="6" s="1"/>
  <c r="F208" i="6" a="1"/>
  <c r="F208" i="6" s="1"/>
  <c r="I207" i="6" a="1"/>
  <c r="I207" i="6" s="1"/>
  <c r="I206" i="6" a="1"/>
  <c r="I206" i="6" s="1"/>
  <c r="I205" i="6" a="1"/>
  <c r="I205" i="6" s="1"/>
  <c r="I204" i="6" a="1"/>
  <c r="I204" i="6" s="1"/>
  <c r="I203" i="6" a="1"/>
  <c r="I203" i="6" s="1"/>
  <c r="I202" i="6" a="1"/>
  <c r="I202" i="6" s="1"/>
  <c r="I201" i="6" a="1"/>
  <c r="I201" i="6" s="1"/>
  <c r="I200" i="6" a="1"/>
  <c r="I200" i="6" s="1"/>
  <c r="I199" i="6" a="1"/>
  <c r="I199" i="6" s="1"/>
  <c r="I198" i="6" a="1"/>
  <c r="I198" i="6" s="1"/>
  <c r="I197" i="6" a="1"/>
  <c r="I197" i="6" s="1"/>
  <c r="I196" i="6" a="1"/>
  <c r="I196" i="6" s="1"/>
  <c r="I195" i="6" a="1"/>
  <c r="I195" i="6" s="1"/>
  <c r="I194" i="6" a="1"/>
  <c r="I194" i="6" s="1"/>
  <c r="I193" i="6" a="1"/>
  <c r="I193" i="6" s="1"/>
  <c r="I192" i="6" a="1"/>
  <c r="I192" i="6" s="1"/>
  <c r="I191" i="6" a="1"/>
  <c r="I191" i="6" s="1"/>
  <c r="I190" i="6" a="1"/>
  <c r="I190" i="6" s="1"/>
  <c r="I189" i="6" a="1"/>
  <c r="I189" i="6" s="1"/>
  <c r="I188" i="6" a="1"/>
  <c r="I188" i="6" s="1"/>
  <c r="I187" i="6" a="1"/>
  <c r="I187" i="6" s="1"/>
  <c r="I208" i="6" s="1" a="1"/>
  <c r="I208" i="6" s="1"/>
  <c r="G184" i="6" a="1"/>
  <c r="G184" i="6" s="1"/>
  <c r="F184" i="6" a="1"/>
  <c r="F184" i="6" s="1"/>
  <c r="I183" i="6" a="1"/>
  <c r="I183" i="6" s="1"/>
  <c r="I182" i="6" a="1"/>
  <c r="I182" i="6" s="1"/>
  <c r="I181" i="6" a="1"/>
  <c r="I181" i="6" s="1"/>
  <c r="I180" i="6" a="1"/>
  <c r="I180" i="6" s="1"/>
  <c r="I179" i="6" a="1"/>
  <c r="I179" i="6" s="1"/>
  <c r="I178" i="6" a="1"/>
  <c r="I178" i="6" s="1"/>
  <c r="I177" i="6" a="1"/>
  <c r="I177" i="6" s="1"/>
  <c r="I176" i="6" a="1"/>
  <c r="I176" i="6" s="1"/>
  <c r="I175" i="6" a="1"/>
  <c r="I175" i="6" s="1"/>
  <c r="I174" i="6" a="1"/>
  <c r="I174" i="6" s="1"/>
  <c r="I173" i="6" a="1"/>
  <c r="I173" i="6" s="1"/>
  <c r="I172" i="6" a="1"/>
  <c r="I172" i="6" s="1"/>
  <c r="I171" i="6" a="1"/>
  <c r="I171" i="6" s="1"/>
  <c r="I170" i="6" a="1"/>
  <c r="I170" i="6" s="1"/>
  <c r="I169" i="6" a="1"/>
  <c r="I169" i="6" s="1"/>
  <c r="I168" i="6" a="1"/>
  <c r="I168" i="6" s="1"/>
  <c r="I167" i="6" a="1"/>
  <c r="I167" i="6" s="1"/>
  <c r="I166" i="6" a="1"/>
  <c r="I166" i="6" s="1"/>
  <c r="I165" i="6" a="1"/>
  <c r="I165" i="6" s="1"/>
  <c r="I164" i="6" a="1"/>
  <c r="I164" i="6" s="1"/>
  <c r="I163" i="6" a="1"/>
  <c r="I163" i="6" s="1"/>
  <c r="I162" i="6" a="1"/>
  <c r="I162" i="6" s="1"/>
  <c r="I161" i="6" a="1"/>
  <c r="I161" i="6" s="1"/>
  <c r="I160" i="6" a="1"/>
  <c r="I160" i="6" s="1"/>
  <c r="I159" i="6" a="1"/>
  <c r="I159" i="6" s="1"/>
  <c r="I158" i="6" a="1"/>
  <c r="I158" i="6" s="1"/>
  <c r="I157" i="6" a="1"/>
  <c r="I157" i="6" s="1"/>
  <c r="I156" i="6" a="1"/>
  <c r="I156" i="6" s="1"/>
  <c r="I155" i="6" a="1"/>
  <c r="I155" i="6" s="1"/>
  <c r="I154" i="6" a="1"/>
  <c r="I154" i="6" s="1"/>
  <c r="I153" i="6" a="1"/>
  <c r="I153" i="6" s="1"/>
  <c r="I152" i="6" a="1"/>
  <c r="I152" i="6" s="1"/>
  <c r="I151" i="6" a="1"/>
  <c r="I151" i="6" s="1"/>
  <c r="I150" i="6" a="1"/>
  <c r="I150" i="6" s="1"/>
  <c r="I149" i="6" a="1"/>
  <c r="I149" i="6" s="1"/>
  <c r="I148" i="6" a="1"/>
  <c r="I148" i="6" s="1"/>
  <c r="I147" i="6" a="1"/>
  <c r="I147" i="6" s="1"/>
  <c r="I146" i="6" a="1"/>
  <c r="I146" i="6" s="1"/>
  <c r="I145" i="6" a="1"/>
  <c r="I145" i="6" s="1"/>
  <c r="I144" i="6" a="1"/>
  <c r="I144" i="6" s="1"/>
  <c r="I143" i="6" a="1"/>
  <c r="I143" i="6" s="1"/>
  <c r="I142" i="6" a="1"/>
  <c r="I142" i="6" s="1"/>
  <c r="I141" i="6" a="1"/>
  <c r="I141" i="6" s="1"/>
  <c r="I140" i="6" a="1"/>
  <c r="I140" i="6" s="1"/>
  <c r="I139" i="6" a="1"/>
  <c r="I139" i="6" s="1"/>
  <c r="I138" i="6" a="1"/>
  <c r="I138" i="6" s="1"/>
  <c r="I137" i="6" a="1"/>
  <c r="I137" i="6" s="1"/>
  <c r="I136" i="6" a="1"/>
  <c r="I136" i="6" s="1"/>
  <c r="I135" i="6" a="1"/>
  <c r="I135" i="6" s="1"/>
  <c r="I134" i="6" a="1"/>
  <c r="I134" i="6" s="1"/>
  <c r="I133" i="6" a="1"/>
  <c r="I133" i="6" s="1"/>
  <c r="I132" i="6" a="1"/>
  <c r="I132" i="6" s="1"/>
  <c r="I131" i="6" a="1"/>
  <c r="I131" i="6" s="1"/>
  <c r="I130" i="6" a="1"/>
  <c r="I130" i="6" s="1"/>
  <c r="I129" i="6" a="1"/>
  <c r="I129" i="6" s="1"/>
  <c r="I128" i="6" a="1"/>
  <c r="I128" i="6" s="1"/>
  <c r="I127" i="6" a="1"/>
  <c r="I127" i="6" s="1"/>
  <c r="I126" i="6" a="1"/>
  <c r="I126" i="6" s="1"/>
  <c r="I184" i="6" s="1" a="1"/>
  <c r="I184" i="6" s="1"/>
  <c r="G123" i="6" a="1"/>
  <c r="G123" i="6" s="1"/>
  <c r="F123" i="6" a="1"/>
  <c r="F123" i="6" s="1"/>
  <c r="I122" i="6" a="1"/>
  <c r="I122" i="6" s="1"/>
  <c r="I121" i="6" a="1"/>
  <c r="I121" i="6" s="1"/>
  <c r="I120" i="6" a="1"/>
  <c r="I120" i="6" s="1"/>
  <c r="I119" i="6" a="1"/>
  <c r="I119" i="6" s="1"/>
  <c r="I118" i="6" a="1"/>
  <c r="I118" i="6" s="1"/>
  <c r="I117" i="6" a="1"/>
  <c r="I117" i="6" s="1"/>
  <c r="I116" i="6" a="1"/>
  <c r="I116" i="6" s="1"/>
  <c r="I115" i="6" a="1"/>
  <c r="I115" i="6" s="1"/>
  <c r="I114" i="6" a="1"/>
  <c r="I114" i="6" s="1"/>
  <c r="I113" i="6" a="1"/>
  <c r="I113" i="6" s="1"/>
  <c r="I112" i="6" a="1"/>
  <c r="I112" i="6" s="1"/>
  <c r="I111" i="6" a="1"/>
  <c r="I111" i="6" s="1"/>
  <c r="I110" i="6" a="1"/>
  <c r="I110" i="6" s="1"/>
  <c r="I123" i="6" s="1" a="1"/>
  <c r="I123" i="6" s="1"/>
  <c r="G107" i="6" a="1"/>
  <c r="G107" i="6" s="1"/>
  <c r="F107" i="6" a="1"/>
  <c r="F107" i="6" s="1"/>
  <c r="I106" i="6" a="1"/>
  <c r="I106" i="6" s="1"/>
  <c r="I105" i="6" a="1"/>
  <c r="I105" i="6" s="1"/>
  <c r="I104" i="6" a="1"/>
  <c r="I104" i="6" s="1"/>
  <c r="I103" i="6" a="1"/>
  <c r="I103" i="6" s="1"/>
  <c r="I102" i="6" a="1"/>
  <c r="I102" i="6" s="1"/>
  <c r="I101" i="6" a="1"/>
  <c r="I101" i="6" s="1"/>
  <c r="I100" i="6" a="1"/>
  <c r="I100" i="6" s="1"/>
  <c r="I99" i="6" a="1"/>
  <c r="I99" i="6" s="1"/>
  <c r="I98" i="6" a="1"/>
  <c r="I98" i="6" s="1"/>
  <c r="I97" i="6" a="1"/>
  <c r="I97" i="6" s="1"/>
  <c r="I96" i="6" a="1"/>
  <c r="I96" i="6" s="1"/>
  <c r="I95" i="6" a="1"/>
  <c r="I95" i="6" s="1"/>
  <c r="I94" i="6" a="1"/>
  <c r="I94" i="6" s="1"/>
  <c r="I93" i="6" a="1"/>
  <c r="I93" i="6" s="1"/>
  <c r="I92" i="6" a="1"/>
  <c r="I92" i="6" s="1"/>
  <c r="I91" i="6" a="1"/>
  <c r="I91" i="6" s="1"/>
  <c r="I90" i="6" a="1"/>
  <c r="I90" i="6" s="1"/>
  <c r="I89" i="6" a="1"/>
  <c r="I89" i="6" s="1"/>
  <c r="I88" i="6" a="1"/>
  <c r="I88" i="6" s="1"/>
  <c r="I87" i="6" a="1"/>
  <c r="I87" i="6" s="1"/>
  <c r="I86" i="6" a="1"/>
  <c r="I86" i="6" s="1"/>
  <c r="I85" i="6" a="1"/>
  <c r="I85" i="6" s="1"/>
  <c r="I84" i="6" a="1"/>
  <c r="I84" i="6" s="1"/>
  <c r="I83" i="6" a="1"/>
  <c r="I83" i="6" s="1"/>
  <c r="I82" i="6" a="1"/>
  <c r="I82" i="6" s="1"/>
  <c r="I81" i="6" a="1"/>
  <c r="I81" i="6" s="1"/>
  <c r="I80" i="6" a="1"/>
  <c r="I80" i="6" s="1"/>
  <c r="I79" i="6" a="1"/>
  <c r="I79" i="6" s="1"/>
  <c r="I78" i="6" a="1"/>
  <c r="I78" i="6" s="1"/>
  <c r="I77" i="6" a="1"/>
  <c r="I77" i="6" s="1"/>
  <c r="I76" i="6" a="1"/>
  <c r="I76" i="6" s="1"/>
  <c r="I75" i="6" a="1"/>
  <c r="I75" i="6" s="1"/>
  <c r="I74" i="6" a="1"/>
  <c r="I74" i="6" s="1"/>
  <c r="I73" i="6" a="1"/>
  <c r="I73" i="6" s="1"/>
  <c r="I72" i="6" a="1"/>
  <c r="I72" i="6" s="1"/>
  <c r="I71" i="6" a="1"/>
  <c r="I71" i="6" s="1"/>
  <c r="I70" i="6" a="1"/>
  <c r="I70" i="6" s="1"/>
  <c r="I69" i="6" a="1"/>
  <c r="I69" i="6" s="1"/>
  <c r="I68" i="6" a="1"/>
  <c r="I68" i="6" s="1"/>
  <c r="I67" i="6" a="1"/>
  <c r="I67" i="6" s="1"/>
  <c r="I66" i="6" a="1"/>
  <c r="I66" i="6" s="1"/>
  <c r="I65" i="6" a="1"/>
  <c r="I65" i="6" s="1"/>
  <c r="I107" i="6" s="1" a="1"/>
  <c r="I107" i="6" s="1"/>
  <c r="G62" i="6" a="1"/>
  <c r="G62" i="6" s="1"/>
  <c r="G285" i="6" s="1" a="1"/>
  <c r="G285" i="6" s="1"/>
  <c r="F62" i="6" a="1"/>
  <c r="F62" i="6" s="1"/>
  <c r="F285" i="6" s="1" a="1"/>
  <c r="F285" i="6" s="1"/>
  <c r="I61" i="6" a="1"/>
  <c r="I61" i="6" s="1"/>
  <c r="I60" i="6" a="1"/>
  <c r="I60" i="6" s="1"/>
  <c r="I59" i="6" a="1"/>
  <c r="I59" i="6" s="1"/>
  <c r="I58" i="6" a="1"/>
  <c r="I58" i="6" s="1"/>
  <c r="I57" i="6" a="1"/>
  <c r="I57" i="6" s="1"/>
  <c r="I56" i="6" a="1"/>
  <c r="I56" i="6" s="1"/>
  <c r="I55" i="6" a="1"/>
  <c r="I55" i="6" s="1"/>
  <c r="I54" i="6" a="1"/>
  <c r="I54" i="6" s="1"/>
  <c r="I53" i="6" a="1"/>
  <c r="I53" i="6" s="1"/>
  <c r="I52" i="6" a="1"/>
  <c r="I52" i="6" s="1"/>
  <c r="I51" i="6" a="1"/>
  <c r="I51" i="6" s="1"/>
  <c r="I50" i="6" a="1"/>
  <c r="I50" i="6" s="1"/>
  <c r="I49" i="6" a="1"/>
  <c r="I49" i="6" s="1"/>
  <c r="I48" i="6" a="1"/>
  <c r="I48" i="6" s="1"/>
  <c r="I47" i="6" a="1"/>
  <c r="I47" i="6" s="1"/>
  <c r="I46" i="6" a="1"/>
  <c r="I46" i="6" s="1"/>
  <c r="I45" i="6" a="1"/>
  <c r="I45" i="6" s="1"/>
  <c r="I62" i="6" s="1" a="1"/>
  <c r="I62" i="6" s="1"/>
  <c r="I285" i="6" s="1" a="1"/>
  <c r="I285" i="6" s="1"/>
  <c r="I44" i="6" a="1"/>
  <c r="I44" i="6"/>
  <c r="I43" i="6" a="1"/>
  <c r="I43" i="6"/>
  <c r="I42" i="6" a="1"/>
  <c r="I42" i="6"/>
  <c r="I41" i="6" a="1"/>
  <c r="I41" i="6"/>
  <c r="I40" i="6" a="1"/>
  <c r="I40" i="6"/>
  <c r="I39" i="6" a="1"/>
  <c r="I39" i="6"/>
  <c r="I38" i="6" a="1"/>
  <c r="I38" i="6"/>
  <c r="I37" i="6" a="1"/>
  <c r="I37" i="6"/>
  <c r="I36" i="6" a="1"/>
  <c r="I36" i="6"/>
  <c r="I35" i="6" a="1"/>
  <c r="I35" i="6"/>
  <c r="I34" i="6" a="1"/>
  <c r="I34" i="6"/>
  <c r="I33" i="6" a="1"/>
  <c r="I33" i="6"/>
  <c r="I32" i="6" a="1"/>
  <c r="I32" i="6"/>
  <c r="I31" i="6" a="1"/>
  <c r="I31" i="6"/>
  <c r="I30" i="6" a="1"/>
  <c r="I30" i="6"/>
  <c r="I29" i="6" a="1"/>
  <c r="I29" i="6"/>
  <c r="I28" i="6" a="1"/>
  <c r="I28" i="6"/>
  <c r="I27" i="6" a="1"/>
  <c r="I27" i="6"/>
  <c r="I26" i="6" a="1"/>
  <c r="I26" i="6"/>
  <c r="I25" i="6" a="1"/>
  <c r="I25" i="6"/>
  <c r="I24" i="6" a="1"/>
  <c r="I24" i="6"/>
  <c r="I23" i="6" a="1"/>
  <c r="I23" i="6"/>
  <c r="I22" i="6" a="1"/>
  <c r="I22" i="6"/>
  <c r="I21" i="6" a="1"/>
  <c r="I21" i="6"/>
  <c r="I20" i="6" a="1"/>
  <c r="I20" i="6"/>
  <c r="I19" i="6" a="1"/>
  <c r="I19" i="6"/>
  <c r="I18" i="6" a="1"/>
  <c r="I18" i="6"/>
  <c r="I17" i="6" a="1"/>
  <c r="I17" i="6"/>
  <c r="I16" i="6" a="1"/>
  <c r="I16" i="6"/>
  <c r="I15" i="6" a="1"/>
  <c r="I15" i="6"/>
  <c r="I14" i="6" a="1"/>
  <c r="I14" i="6"/>
  <c r="I13" i="6" a="1"/>
  <c r="I13" i="6"/>
  <c r="I12" i="6" a="1"/>
  <c r="I12" i="6"/>
  <c r="I11" i="6" a="1"/>
  <c r="I11" i="6"/>
  <c r="I10" i="6" a="1"/>
  <c r="I10" i="6"/>
  <c r="B3" i="6" a="1"/>
  <c r="B3" i="6"/>
  <c r="C288" i="5" a="1"/>
  <c r="C288" i="5"/>
  <c r="K286" i="5" a="1"/>
  <c r="K286" i="5"/>
  <c r="J286" i="5" a="1"/>
  <c r="J286" i="5"/>
  <c r="E286" i="5" a="1"/>
  <c r="E286" i="5"/>
  <c r="D286" i="5" a="1"/>
  <c r="D286" i="5"/>
  <c r="H285" i="5" a="1"/>
  <c r="H285" i="5"/>
  <c r="G285" i="5" a="1"/>
  <c r="G285" i="5"/>
  <c r="I285" i="5" s="1" a="1"/>
  <c r="I285" i="5" s="1"/>
  <c r="C285" i="5" s="1" a="1"/>
  <c r="C285" i="5" s="1"/>
  <c r="F285" i="5" a="1"/>
  <c r="F285" i="5"/>
  <c r="B285" i="5" a="1"/>
  <c r="B285" i="5"/>
  <c r="H284" i="5" a="1"/>
  <c r="H284" i="5"/>
  <c r="G284" i="5" a="1"/>
  <c r="G284" i="5"/>
  <c r="I284" i="5" s="1" a="1"/>
  <c r="I284" i="5" s="1"/>
  <c r="C284" i="5" s="1" a="1"/>
  <c r="C284" i="5" s="1"/>
  <c r="F284" i="5" a="1"/>
  <c r="F284" i="5"/>
  <c r="B284" i="5" a="1"/>
  <c r="B284" i="5"/>
  <c r="H283" i="5" a="1"/>
  <c r="H283" i="5"/>
  <c r="G283" i="5" a="1"/>
  <c r="G283" i="5"/>
  <c r="I283" i="5" s="1" a="1"/>
  <c r="I283" i="5" s="1"/>
  <c r="C283" i="5" s="1" a="1"/>
  <c r="C283" i="5" s="1"/>
  <c r="F283" i="5" a="1"/>
  <c r="F283" i="5"/>
  <c r="B283" i="5" a="1"/>
  <c r="B283" i="5"/>
  <c r="H282" i="5" a="1"/>
  <c r="H282" i="5"/>
  <c r="G282" i="5" a="1"/>
  <c r="G282" i="5"/>
  <c r="I282" i="5" s="1" a="1"/>
  <c r="I282" i="5" s="1"/>
  <c r="C282" i="5" s="1" a="1"/>
  <c r="C282" i="5" s="1"/>
  <c r="F282" i="5" a="1"/>
  <c r="F282" i="5"/>
  <c r="B282" i="5" a="1"/>
  <c r="B282" i="5"/>
  <c r="H281" i="5" a="1"/>
  <c r="H281" i="5"/>
  <c r="G281" i="5" a="1"/>
  <c r="G281" i="5"/>
  <c r="I281" i="5" s="1" a="1"/>
  <c r="I281" i="5" s="1"/>
  <c r="C281" i="5" s="1" a="1"/>
  <c r="C281" i="5" s="1"/>
  <c r="F281" i="5" a="1"/>
  <c r="F281" i="5"/>
  <c r="B281" i="5" a="1"/>
  <c r="B281" i="5"/>
  <c r="H280" i="5" a="1"/>
  <c r="H280" i="5"/>
  <c r="G280" i="5" a="1"/>
  <c r="G280" i="5"/>
  <c r="I280" i="5" s="1" a="1"/>
  <c r="I280" i="5" s="1"/>
  <c r="C280" i="5" s="1" a="1"/>
  <c r="C280" i="5" s="1"/>
  <c r="F280" i="5" a="1"/>
  <c r="F280" i="5"/>
  <c r="B280" i="5" a="1"/>
  <c r="B280" i="5"/>
  <c r="H279" i="5" a="1"/>
  <c r="H279" i="5"/>
  <c r="G279" i="5" a="1"/>
  <c r="G279" i="5"/>
  <c r="I279" i="5" s="1" a="1"/>
  <c r="I279" i="5" s="1"/>
  <c r="C279" i="5" s="1" a="1"/>
  <c r="C279" i="5" s="1"/>
  <c r="F279" i="5" a="1"/>
  <c r="F279" i="5"/>
  <c r="B279" i="5" a="1"/>
  <c r="B279" i="5"/>
  <c r="H278" i="5" a="1"/>
  <c r="H278" i="5"/>
  <c r="G278" i="5" a="1"/>
  <c r="G278" i="5"/>
  <c r="I278" i="5" s="1" a="1"/>
  <c r="I278" i="5" s="1"/>
  <c r="C278" i="5" s="1" a="1"/>
  <c r="C278" i="5" s="1"/>
  <c r="F278" i="5" a="1"/>
  <c r="F278" i="5"/>
  <c r="B278" i="5" a="1"/>
  <c r="B278" i="5"/>
  <c r="H277" i="5" a="1"/>
  <c r="H277" i="5"/>
  <c r="G277" i="5" a="1"/>
  <c r="G277" i="5"/>
  <c r="I277" i="5" s="1" a="1"/>
  <c r="I277" i="5" s="1"/>
  <c r="C277" i="5" s="1" a="1"/>
  <c r="C277" i="5" s="1"/>
  <c r="F277" i="5" a="1"/>
  <c r="F277" i="5"/>
  <c r="B277" i="5" a="1"/>
  <c r="B277" i="5"/>
  <c r="H276" i="5" a="1"/>
  <c r="H276" i="5"/>
  <c r="H286" i="5" s="1" a="1"/>
  <c r="H286" i="5" s="1"/>
  <c r="G276" i="5" a="1"/>
  <c r="G276" i="5"/>
  <c r="F276" i="5" a="1"/>
  <c r="F276" i="5"/>
  <c r="F286" i="5" s="1" a="1"/>
  <c r="F286" i="5" s="1"/>
  <c r="B276" i="5" a="1"/>
  <c r="B276" i="5"/>
  <c r="H275" i="5" a="1"/>
  <c r="H275" i="5"/>
  <c r="G275" i="5" a="1"/>
  <c r="G275" i="5"/>
  <c r="I275" i="5" s="1" a="1"/>
  <c r="I275" i="5" s="1"/>
  <c r="C275" i="5" s="1" a="1"/>
  <c r="C275" i="5" s="1"/>
  <c r="F275" i="5" a="1"/>
  <c r="F275" i="5"/>
  <c r="B275" i="5" a="1"/>
  <c r="B275" i="5"/>
  <c r="H274" i="5" a="1"/>
  <c r="H274" i="5"/>
  <c r="G274" i="5" a="1"/>
  <c r="G274" i="5"/>
  <c r="I274" i="5" s="1" a="1"/>
  <c r="I274" i="5" s="1"/>
  <c r="C274" i="5" s="1" a="1"/>
  <c r="C274" i="5" s="1"/>
  <c r="F274" i="5" a="1"/>
  <c r="F274" i="5"/>
  <c r="B274" i="5" a="1"/>
  <c r="B274" i="5"/>
  <c r="H273" i="5" a="1"/>
  <c r="H273" i="5"/>
  <c r="G273" i="5" a="1"/>
  <c r="G273" i="5"/>
  <c r="I273" i="5" s="1" a="1"/>
  <c r="I273" i="5" s="1"/>
  <c r="C273" i="5" s="1" a="1"/>
  <c r="C273" i="5" s="1"/>
  <c r="F273" i="5" a="1"/>
  <c r="F273" i="5"/>
  <c r="B273" i="5" a="1"/>
  <c r="B273" i="5"/>
  <c r="H272" i="5" a="1"/>
  <c r="H272" i="5"/>
  <c r="G272" i="5" a="1"/>
  <c r="G272" i="5"/>
  <c r="I272" i="5" s="1" a="1"/>
  <c r="I272" i="5" s="1"/>
  <c r="C272" i="5" s="1" a="1"/>
  <c r="C272" i="5" s="1"/>
  <c r="F272" i="5" a="1"/>
  <c r="F272" i="5"/>
  <c r="B272" i="5" a="1"/>
  <c r="B272" i="5"/>
  <c r="H271" i="5" a="1"/>
  <c r="H271" i="5"/>
  <c r="G271" i="5" a="1"/>
  <c r="G271" i="5"/>
  <c r="I271" i="5" s="1" a="1"/>
  <c r="I271" i="5" s="1"/>
  <c r="C271" i="5" s="1" a="1"/>
  <c r="C271" i="5" s="1"/>
  <c r="F271" i="5" a="1"/>
  <c r="F271" i="5"/>
  <c r="B271" i="5" a="1"/>
  <c r="B271" i="5"/>
  <c r="H270" i="5" a="1"/>
  <c r="H270" i="5"/>
  <c r="G270" i="5" a="1"/>
  <c r="G270" i="5"/>
  <c r="I270" i="5" s="1" a="1"/>
  <c r="I270" i="5" s="1"/>
  <c r="C270" i="5" s="1" a="1"/>
  <c r="C270" i="5" s="1"/>
  <c r="F270" i="5" a="1"/>
  <c r="F270" i="5"/>
  <c r="B270" i="5" a="1"/>
  <c r="B270" i="5"/>
  <c r="H269" i="5" a="1"/>
  <c r="H269" i="5"/>
  <c r="G269" i="5" a="1"/>
  <c r="G269" i="5"/>
  <c r="I269" i="5" s="1" a="1"/>
  <c r="I269" i="5" s="1"/>
  <c r="C269" i="5" s="1" a="1"/>
  <c r="C269" i="5" s="1"/>
  <c r="F269" i="5" a="1"/>
  <c r="F269" i="5"/>
  <c r="B269" i="5" a="1"/>
  <c r="B269" i="5"/>
  <c r="H268" i="5" a="1"/>
  <c r="H268" i="5"/>
  <c r="G268" i="5" a="1"/>
  <c r="G268" i="5"/>
  <c r="I268" i="5" s="1" a="1"/>
  <c r="I268" i="5" s="1"/>
  <c r="C268" i="5" s="1" a="1"/>
  <c r="C268" i="5" s="1"/>
  <c r="F268" i="5" a="1"/>
  <c r="F268" i="5"/>
  <c r="B268" i="5" a="1"/>
  <c r="B268" i="5"/>
  <c r="H267" i="5" a="1"/>
  <c r="H267" i="5"/>
  <c r="G267" i="5" a="1"/>
  <c r="G267" i="5"/>
  <c r="I267" i="5" s="1" a="1"/>
  <c r="I267" i="5" s="1"/>
  <c r="C267" i="5" s="1" a="1"/>
  <c r="C267" i="5" s="1"/>
  <c r="F267" i="5" a="1"/>
  <c r="F267" i="5"/>
  <c r="B267" i="5" a="1"/>
  <c r="B267" i="5"/>
  <c r="H266" i="5" a="1"/>
  <c r="H266" i="5"/>
  <c r="G266" i="5" a="1"/>
  <c r="G266" i="5"/>
  <c r="I266" i="5" s="1" a="1"/>
  <c r="I266" i="5" s="1"/>
  <c r="C266" i="5" s="1" a="1"/>
  <c r="C266" i="5" s="1"/>
  <c r="F266" i="5" a="1"/>
  <c r="F266" i="5"/>
  <c r="B266" i="5" a="1"/>
  <c r="B266" i="5"/>
  <c r="H265" i="5" a="1"/>
  <c r="H265" i="5"/>
  <c r="G265" i="5" a="1"/>
  <c r="G265" i="5"/>
  <c r="I265" i="5" s="1" a="1"/>
  <c r="I265" i="5" s="1"/>
  <c r="C265" i="5" s="1" a="1"/>
  <c r="C265" i="5" s="1"/>
  <c r="F265" i="5" a="1"/>
  <c r="F265" i="5"/>
  <c r="B265" i="5" a="1"/>
  <c r="B265" i="5"/>
  <c r="H264" i="5" a="1"/>
  <c r="H264" i="5"/>
  <c r="G264" i="5" a="1"/>
  <c r="G264" i="5"/>
  <c r="I264" i="5" s="1" a="1"/>
  <c r="I264" i="5" s="1"/>
  <c r="C264" i="5" s="1" a="1"/>
  <c r="C264" i="5" s="1"/>
  <c r="F264" i="5" a="1"/>
  <c r="F264" i="5"/>
  <c r="B264" i="5" a="1"/>
  <c r="B264" i="5"/>
  <c r="H263" i="5" a="1"/>
  <c r="H263" i="5"/>
  <c r="G263" i="5" a="1"/>
  <c r="G263" i="5"/>
  <c r="I263" i="5" s="1" a="1"/>
  <c r="I263" i="5" s="1"/>
  <c r="C263" i="5" s="1" a="1"/>
  <c r="C263" i="5" s="1"/>
  <c r="F263" i="5" a="1"/>
  <c r="F263" i="5"/>
  <c r="B263" i="5" a="1"/>
  <c r="B263" i="5"/>
  <c r="H262" i="5" a="1"/>
  <c r="H262" i="5"/>
  <c r="G262" i="5" a="1"/>
  <c r="G262" i="5"/>
  <c r="I262" i="5" s="1" a="1"/>
  <c r="I262" i="5" s="1"/>
  <c r="C262" i="5" s="1" a="1"/>
  <c r="C262" i="5" s="1"/>
  <c r="F262" i="5" a="1"/>
  <c r="F262" i="5"/>
  <c r="B262" i="5" a="1"/>
  <c r="B262" i="5"/>
  <c r="H261" i="5" a="1"/>
  <c r="H261" i="5"/>
  <c r="G261" i="5" a="1"/>
  <c r="G261" i="5"/>
  <c r="I261" i="5" s="1" a="1"/>
  <c r="I261" i="5" s="1"/>
  <c r="C261" i="5" s="1" a="1"/>
  <c r="C261" i="5" s="1"/>
  <c r="F261" i="5" a="1"/>
  <c r="F261" i="5"/>
  <c r="B261" i="5" a="1"/>
  <c r="B261" i="5"/>
  <c r="H260" i="5" a="1"/>
  <c r="H260" i="5"/>
  <c r="G260" i="5" a="1"/>
  <c r="G260" i="5"/>
  <c r="I260" i="5" s="1" a="1"/>
  <c r="I260" i="5" s="1"/>
  <c r="C260" i="5" s="1" a="1"/>
  <c r="C260" i="5" s="1"/>
  <c r="F260" i="5" a="1"/>
  <c r="F260" i="5"/>
  <c r="B260" i="5" a="1"/>
  <c r="B260" i="5"/>
  <c r="H259" i="5" a="1"/>
  <c r="H259" i="5"/>
  <c r="G259" i="5" a="1"/>
  <c r="G259" i="5"/>
  <c r="I259" i="5" s="1" a="1"/>
  <c r="I259" i="5" s="1"/>
  <c r="C259" i="5" s="1" a="1"/>
  <c r="C259" i="5" s="1"/>
  <c r="F259" i="5" a="1"/>
  <c r="F259" i="5"/>
  <c r="B259" i="5" a="1"/>
  <c r="B259" i="5"/>
  <c r="H258" i="5" a="1"/>
  <c r="H258" i="5"/>
  <c r="G258" i="5" a="1"/>
  <c r="G258" i="5"/>
  <c r="I258" i="5" s="1" a="1"/>
  <c r="I258" i="5" s="1"/>
  <c r="C258" i="5" s="1" a="1"/>
  <c r="C258" i="5" s="1"/>
  <c r="F258" i="5" a="1"/>
  <c r="F258" i="5"/>
  <c r="B258" i="5" a="1"/>
  <c r="B258" i="5"/>
  <c r="H257" i="5" a="1"/>
  <c r="H257" i="5"/>
  <c r="G257" i="5" a="1"/>
  <c r="G257" i="5"/>
  <c r="I257" i="5" s="1" a="1"/>
  <c r="I257" i="5" s="1"/>
  <c r="C257" i="5" s="1" a="1"/>
  <c r="C257" i="5" s="1"/>
  <c r="F257" i="5" a="1"/>
  <c r="F257" i="5"/>
  <c r="B257" i="5" a="1"/>
  <c r="B257" i="5"/>
  <c r="H256" i="5" a="1"/>
  <c r="H256" i="5"/>
  <c r="G256" i="5" a="1"/>
  <c r="G256" i="5"/>
  <c r="I256" i="5" s="1" a="1"/>
  <c r="I256" i="5" s="1"/>
  <c r="C256" i="5" s="1" a="1"/>
  <c r="C256" i="5" s="1"/>
  <c r="F256" i="5" a="1"/>
  <c r="F256" i="5"/>
  <c r="B256" i="5" a="1"/>
  <c r="B256" i="5"/>
  <c r="H255" i="5" a="1"/>
  <c r="H255" i="5"/>
  <c r="G255" i="5" a="1"/>
  <c r="G255" i="5"/>
  <c r="I255" i="5" s="1" a="1"/>
  <c r="I255" i="5" s="1"/>
  <c r="C255" i="5" s="1" a="1"/>
  <c r="C255" i="5" s="1"/>
  <c r="F255" i="5" a="1"/>
  <c r="F255" i="5"/>
  <c r="B255" i="5" a="1"/>
  <c r="B255" i="5"/>
  <c r="H254" i="5" a="1"/>
  <c r="H254" i="5"/>
  <c r="G254" i="5" a="1"/>
  <c r="G254" i="5"/>
  <c r="I254" i="5" s="1" a="1"/>
  <c r="I254" i="5" s="1"/>
  <c r="C254" i="5" s="1" a="1"/>
  <c r="C254" i="5" s="1"/>
  <c r="F254" i="5" a="1"/>
  <c r="F254" i="5"/>
  <c r="B254" i="5" a="1"/>
  <c r="B254" i="5"/>
  <c r="H253" i="5" a="1"/>
  <c r="H253" i="5"/>
  <c r="G253" i="5" a="1"/>
  <c r="G253" i="5"/>
  <c r="I253" i="5" s="1" a="1"/>
  <c r="I253" i="5" s="1"/>
  <c r="C253" i="5" s="1" a="1"/>
  <c r="C253" i="5" s="1"/>
  <c r="F253" i="5" a="1"/>
  <c r="F253" i="5"/>
  <c r="B253" i="5" a="1"/>
  <c r="B253" i="5"/>
  <c r="H252" i="5" a="1"/>
  <c r="H252" i="5"/>
  <c r="G252" i="5" a="1"/>
  <c r="G252" i="5"/>
  <c r="I252" i="5" s="1" a="1"/>
  <c r="I252" i="5" s="1"/>
  <c r="C252" i="5" s="1" a="1"/>
  <c r="C252" i="5" s="1"/>
  <c r="F252" i="5" a="1"/>
  <c r="F252" i="5"/>
  <c r="B252" i="5" a="1"/>
  <c r="B252" i="5"/>
  <c r="H251" i="5" a="1"/>
  <c r="H251" i="5"/>
  <c r="G251" i="5" a="1"/>
  <c r="G251" i="5"/>
  <c r="I251" i="5" s="1" a="1"/>
  <c r="I251" i="5" s="1"/>
  <c r="C251" i="5" s="1" a="1"/>
  <c r="C251" i="5" s="1"/>
  <c r="F251" i="5" a="1"/>
  <c r="F251" i="5"/>
  <c r="B251" i="5" a="1"/>
  <c r="B251" i="5"/>
  <c r="H250" i="5" a="1"/>
  <c r="H250" i="5"/>
  <c r="G250" i="5" a="1"/>
  <c r="G250" i="5"/>
  <c r="I250" i="5" s="1" a="1"/>
  <c r="I250" i="5" s="1"/>
  <c r="C250" i="5" s="1" a="1"/>
  <c r="C250" i="5" s="1"/>
  <c r="F250" i="5" a="1"/>
  <c r="F250" i="5"/>
  <c r="B250" i="5" a="1"/>
  <c r="B250" i="5"/>
  <c r="H249" i="5" a="1"/>
  <c r="H249" i="5"/>
  <c r="G249" i="5" a="1"/>
  <c r="G249" i="5"/>
  <c r="I249" i="5" s="1" a="1"/>
  <c r="I249" i="5" s="1"/>
  <c r="C249" i="5" s="1" a="1"/>
  <c r="C249" i="5" s="1"/>
  <c r="F249" i="5" a="1"/>
  <c r="F249" i="5"/>
  <c r="B249" i="5" a="1"/>
  <c r="B249" i="5"/>
  <c r="H248" i="5" a="1"/>
  <c r="H248" i="5"/>
  <c r="G248" i="5" a="1"/>
  <c r="G248" i="5"/>
  <c r="I248" i="5" s="1" a="1"/>
  <c r="I248" i="5" s="1"/>
  <c r="C248" i="5" s="1" a="1"/>
  <c r="C248" i="5" s="1"/>
  <c r="F248" i="5" a="1"/>
  <c r="F248" i="5"/>
  <c r="B248" i="5" a="1"/>
  <c r="B248" i="5"/>
  <c r="H247" i="5" a="1"/>
  <c r="H247" i="5"/>
  <c r="G247" i="5" a="1"/>
  <c r="G247" i="5"/>
  <c r="I247" i="5" s="1" a="1"/>
  <c r="I247" i="5" s="1"/>
  <c r="C247" i="5" s="1" a="1"/>
  <c r="C247" i="5" s="1"/>
  <c r="F247" i="5" a="1"/>
  <c r="F247" i="5"/>
  <c r="B247" i="5" a="1"/>
  <c r="B247" i="5"/>
  <c r="H246" i="5" a="1"/>
  <c r="H246" i="5"/>
  <c r="G246" i="5" a="1"/>
  <c r="G246" i="5"/>
  <c r="I246" i="5" s="1" a="1"/>
  <c r="I246" i="5" s="1"/>
  <c r="C246" i="5" s="1" a="1"/>
  <c r="C246" i="5" s="1"/>
  <c r="F246" i="5" a="1"/>
  <c r="F246" i="5"/>
  <c r="B246" i="5" a="1"/>
  <c r="B246" i="5"/>
  <c r="H245" i="5" a="1"/>
  <c r="H245" i="5"/>
  <c r="G245" i="5" a="1"/>
  <c r="G245" i="5"/>
  <c r="I245" i="5" s="1" a="1"/>
  <c r="I245" i="5" s="1"/>
  <c r="C245" i="5" s="1" a="1"/>
  <c r="C245" i="5" s="1"/>
  <c r="F245" i="5" a="1"/>
  <c r="F245" i="5"/>
  <c r="B245" i="5" a="1"/>
  <c r="B245" i="5"/>
  <c r="H244" i="5" a="1"/>
  <c r="H244" i="5"/>
  <c r="G244" i="5" a="1"/>
  <c r="G244" i="5"/>
  <c r="I244" i="5" s="1" a="1"/>
  <c r="I244" i="5" s="1"/>
  <c r="C244" i="5" s="1" a="1"/>
  <c r="C244" i="5" s="1"/>
  <c r="F244" i="5" a="1"/>
  <c r="F244" i="5"/>
  <c r="B244" i="5" a="1"/>
  <c r="B244" i="5"/>
  <c r="H243" i="5" a="1"/>
  <c r="H243" i="5"/>
  <c r="G243" i="5" a="1"/>
  <c r="G243" i="5"/>
  <c r="I243" i="5" s="1" a="1"/>
  <c r="I243" i="5" s="1"/>
  <c r="C243" i="5" s="1" a="1"/>
  <c r="C243" i="5" s="1"/>
  <c r="F243" i="5" a="1"/>
  <c r="F243" i="5"/>
  <c r="B243" i="5" a="1"/>
  <c r="B243" i="5"/>
  <c r="H242" i="5" a="1"/>
  <c r="H242" i="5"/>
  <c r="G242" i="5" a="1"/>
  <c r="G242" i="5"/>
  <c r="I242" i="5" s="1" a="1"/>
  <c r="I242" i="5" s="1"/>
  <c r="C242" i="5" s="1" a="1"/>
  <c r="C242" i="5" s="1"/>
  <c r="F242" i="5" a="1"/>
  <c r="F242" i="5"/>
  <c r="B242" i="5" a="1"/>
  <c r="B242" i="5"/>
  <c r="H241" i="5" a="1"/>
  <c r="H241" i="5"/>
  <c r="G241" i="5" a="1"/>
  <c r="G241" i="5"/>
  <c r="I241" i="5" s="1" a="1"/>
  <c r="I241" i="5" s="1"/>
  <c r="C241" i="5" s="1" a="1"/>
  <c r="C241" i="5" s="1"/>
  <c r="F241" i="5" a="1"/>
  <c r="F241" i="5"/>
  <c r="B241" i="5" a="1"/>
  <c r="B241" i="5"/>
  <c r="H240" i="5" a="1"/>
  <c r="H240" i="5"/>
  <c r="G240" i="5" a="1"/>
  <c r="G240" i="5"/>
  <c r="I240" i="5" s="1" a="1"/>
  <c r="I240" i="5" s="1"/>
  <c r="C240" i="5" s="1" a="1"/>
  <c r="C240" i="5" s="1"/>
  <c r="F240" i="5" a="1"/>
  <c r="F240" i="5"/>
  <c r="B240" i="5" a="1"/>
  <c r="B240" i="5"/>
  <c r="H239" i="5" a="1"/>
  <c r="H239" i="5"/>
  <c r="G239" i="5" a="1"/>
  <c r="G239" i="5"/>
  <c r="I239" i="5" s="1" a="1"/>
  <c r="I239" i="5" s="1"/>
  <c r="C239" i="5" s="1" a="1"/>
  <c r="C239" i="5" s="1"/>
  <c r="F239" i="5" a="1"/>
  <c r="F239" i="5"/>
  <c r="B239" i="5" a="1"/>
  <c r="B239" i="5"/>
  <c r="H238" i="5" a="1"/>
  <c r="H238" i="5"/>
  <c r="G238" i="5" a="1"/>
  <c r="G238" i="5"/>
  <c r="I238" i="5" s="1" a="1"/>
  <c r="I238" i="5" s="1"/>
  <c r="C238" i="5" s="1" a="1"/>
  <c r="C238" i="5" s="1"/>
  <c r="F238" i="5" a="1"/>
  <c r="F238" i="5"/>
  <c r="B238" i="5" a="1"/>
  <c r="B238" i="5"/>
  <c r="H237" i="5" a="1"/>
  <c r="H237" i="5"/>
  <c r="G237" i="5" a="1"/>
  <c r="G237" i="5"/>
  <c r="I237" i="5" s="1" a="1"/>
  <c r="I237" i="5" s="1"/>
  <c r="C237" i="5" s="1" a="1"/>
  <c r="C237" i="5" s="1"/>
  <c r="F237" i="5" a="1"/>
  <c r="F237" i="5"/>
  <c r="B237" i="5" a="1"/>
  <c r="B237" i="5"/>
  <c r="H236" i="5" a="1"/>
  <c r="H236" i="5"/>
  <c r="G236" i="5" a="1"/>
  <c r="G236" i="5"/>
  <c r="I236" i="5" s="1" a="1"/>
  <c r="I236" i="5" s="1"/>
  <c r="C236" i="5" s="1" a="1"/>
  <c r="C236" i="5" s="1"/>
  <c r="F236" i="5" a="1"/>
  <c r="F236" i="5"/>
  <c r="B236" i="5" a="1"/>
  <c r="B236" i="5"/>
  <c r="H235" i="5" a="1"/>
  <c r="H235" i="5"/>
  <c r="G235" i="5" a="1"/>
  <c r="G235" i="5"/>
  <c r="I235" i="5" s="1" a="1"/>
  <c r="I235" i="5" s="1"/>
  <c r="C235" i="5" s="1" a="1"/>
  <c r="C235" i="5" s="1"/>
  <c r="F235" i="5" a="1"/>
  <c r="F235" i="5"/>
  <c r="B235" i="5" a="1"/>
  <c r="B235" i="5"/>
  <c r="H234" i="5" a="1"/>
  <c r="H234" i="5"/>
  <c r="G234" i="5" a="1"/>
  <c r="G234" i="5"/>
  <c r="I234" i="5" s="1" a="1"/>
  <c r="I234" i="5" s="1"/>
  <c r="C234" i="5" s="1" a="1"/>
  <c r="C234" i="5" s="1"/>
  <c r="F234" i="5" a="1"/>
  <c r="F234" i="5"/>
  <c r="B234" i="5" a="1"/>
  <c r="B234" i="5"/>
  <c r="H233" i="5" a="1"/>
  <c r="H233" i="5"/>
  <c r="G233" i="5" a="1"/>
  <c r="G233" i="5"/>
  <c r="I233" i="5" s="1" a="1"/>
  <c r="I233" i="5" s="1"/>
  <c r="C233" i="5" s="1" a="1"/>
  <c r="C233" i="5" s="1"/>
  <c r="F233" i="5" a="1"/>
  <c r="F233" i="5"/>
  <c r="B233" i="5" a="1"/>
  <c r="B233" i="5"/>
  <c r="H232" i="5" a="1"/>
  <c r="H232" i="5"/>
  <c r="G232" i="5" a="1"/>
  <c r="G232" i="5"/>
  <c r="I232" i="5" s="1" a="1"/>
  <c r="I232" i="5" s="1"/>
  <c r="C232" i="5" s="1" a="1"/>
  <c r="C232" i="5" s="1"/>
  <c r="F232" i="5" a="1"/>
  <c r="F232" i="5"/>
  <c r="B232" i="5" a="1"/>
  <c r="B232" i="5"/>
  <c r="H231" i="5" a="1"/>
  <c r="H231" i="5"/>
  <c r="G231" i="5" a="1"/>
  <c r="G231" i="5"/>
  <c r="I231" i="5" s="1" a="1"/>
  <c r="I231" i="5" s="1"/>
  <c r="C231" i="5" s="1" a="1"/>
  <c r="C231" i="5" s="1"/>
  <c r="F231" i="5" a="1"/>
  <c r="F231" i="5"/>
  <c r="B231" i="5" a="1"/>
  <c r="B231" i="5"/>
  <c r="H230" i="5" a="1"/>
  <c r="H230" i="5"/>
  <c r="G230" i="5" a="1"/>
  <c r="G230" i="5"/>
  <c r="I230" i="5" s="1" a="1"/>
  <c r="I230" i="5" s="1"/>
  <c r="C230" i="5" s="1" a="1"/>
  <c r="C230" i="5" s="1"/>
  <c r="F230" i="5" a="1"/>
  <c r="F230" i="5"/>
  <c r="B230" i="5" a="1"/>
  <c r="B230" i="5"/>
  <c r="H229" i="5" a="1"/>
  <c r="H229" i="5"/>
  <c r="G229" i="5" a="1"/>
  <c r="G229" i="5"/>
  <c r="I229" i="5" s="1" a="1"/>
  <c r="I229" i="5" s="1"/>
  <c r="C229" i="5" s="1" a="1"/>
  <c r="C229" i="5" s="1"/>
  <c r="F229" i="5" a="1"/>
  <c r="F229" i="5"/>
  <c r="B229" i="5" a="1"/>
  <c r="B229" i="5"/>
  <c r="H228" i="5" a="1"/>
  <c r="H228" i="5"/>
  <c r="G228" i="5" a="1"/>
  <c r="G228" i="5"/>
  <c r="I228" i="5" s="1" a="1"/>
  <c r="I228" i="5" s="1"/>
  <c r="C228" i="5" s="1" a="1"/>
  <c r="C228" i="5" s="1"/>
  <c r="F228" i="5" a="1"/>
  <c r="F228" i="5"/>
  <c r="B228" i="5" a="1"/>
  <c r="B228" i="5"/>
  <c r="H227" i="5" a="1"/>
  <c r="H227" i="5"/>
  <c r="G227" i="5" a="1"/>
  <c r="G227" i="5"/>
  <c r="I227" i="5" s="1" a="1"/>
  <c r="I227" i="5" s="1"/>
  <c r="C227" i="5" s="1" a="1"/>
  <c r="C227" i="5" s="1"/>
  <c r="F227" i="5" a="1"/>
  <c r="F227" i="5"/>
  <c r="B227" i="5" a="1"/>
  <c r="B227" i="5"/>
  <c r="H226" i="5" a="1"/>
  <c r="H226" i="5"/>
  <c r="G226" i="5" a="1"/>
  <c r="G226" i="5"/>
  <c r="I226" i="5" s="1" a="1"/>
  <c r="I226" i="5" s="1"/>
  <c r="C226" i="5" s="1" a="1"/>
  <c r="C226" i="5" s="1"/>
  <c r="F226" i="5" a="1"/>
  <c r="F226" i="5"/>
  <c r="B226" i="5" a="1"/>
  <c r="B226" i="5"/>
  <c r="H225" i="5" a="1"/>
  <c r="H225" i="5"/>
  <c r="G225" i="5" a="1"/>
  <c r="G225" i="5"/>
  <c r="I225" i="5" s="1" a="1"/>
  <c r="I225" i="5" s="1"/>
  <c r="C225" i="5" s="1" a="1"/>
  <c r="C225" i="5" s="1"/>
  <c r="F225" i="5" a="1"/>
  <c r="F225" i="5"/>
  <c r="B225" i="5" a="1"/>
  <c r="B225" i="5"/>
  <c r="H224" i="5" a="1"/>
  <c r="H224" i="5"/>
  <c r="G224" i="5" a="1"/>
  <c r="G224" i="5"/>
  <c r="I224" i="5" s="1" a="1"/>
  <c r="I224" i="5" s="1"/>
  <c r="C224" i="5" s="1" a="1"/>
  <c r="C224" i="5" s="1"/>
  <c r="F224" i="5" a="1"/>
  <c r="F224" i="5"/>
  <c r="B224" i="5" a="1"/>
  <c r="B224" i="5"/>
  <c r="H223" i="5" a="1"/>
  <c r="H223" i="5"/>
  <c r="G223" i="5" a="1"/>
  <c r="G223" i="5"/>
  <c r="I223" i="5" s="1" a="1"/>
  <c r="I223" i="5" s="1"/>
  <c r="C223" i="5" s="1" a="1"/>
  <c r="C223" i="5" s="1"/>
  <c r="F223" i="5" a="1"/>
  <c r="F223" i="5"/>
  <c r="B223" i="5" a="1"/>
  <c r="B223" i="5"/>
  <c r="H222" i="5" a="1"/>
  <c r="H222" i="5"/>
  <c r="G222" i="5" a="1"/>
  <c r="G222" i="5"/>
  <c r="I222" i="5" s="1" a="1"/>
  <c r="I222" i="5" s="1"/>
  <c r="C222" i="5" s="1" a="1"/>
  <c r="C222" i="5" s="1"/>
  <c r="F222" i="5" a="1"/>
  <c r="F222" i="5"/>
  <c r="B222" i="5" a="1"/>
  <c r="B222" i="5"/>
  <c r="H221" i="5" a="1"/>
  <c r="H221" i="5"/>
  <c r="G221" i="5" a="1"/>
  <c r="G221" i="5"/>
  <c r="I221" i="5" s="1" a="1"/>
  <c r="I221" i="5" s="1"/>
  <c r="C221" i="5" s="1" a="1"/>
  <c r="C221" i="5" s="1"/>
  <c r="F221" i="5" a="1"/>
  <c r="F221" i="5"/>
  <c r="B221" i="5" a="1"/>
  <c r="B221" i="5"/>
  <c r="H220" i="5" a="1"/>
  <c r="H220" i="5"/>
  <c r="G220" i="5" a="1"/>
  <c r="G220" i="5"/>
  <c r="I220" i="5" s="1" a="1"/>
  <c r="I220" i="5" s="1"/>
  <c r="C220" i="5" s="1" a="1"/>
  <c r="C220" i="5" s="1"/>
  <c r="F220" i="5" a="1"/>
  <c r="F220" i="5"/>
  <c r="B220" i="5" a="1"/>
  <c r="B220" i="5"/>
  <c r="H219" i="5" a="1"/>
  <c r="H219" i="5"/>
  <c r="G219" i="5" a="1"/>
  <c r="G219" i="5"/>
  <c r="I219" i="5" s="1" a="1"/>
  <c r="I219" i="5" s="1"/>
  <c r="C219" i="5" s="1" a="1"/>
  <c r="C219" i="5" s="1"/>
  <c r="F219" i="5" a="1"/>
  <c r="F219" i="5"/>
  <c r="B219" i="5" a="1"/>
  <c r="B219" i="5"/>
  <c r="H218" i="5" a="1"/>
  <c r="H218" i="5"/>
  <c r="G218" i="5" a="1"/>
  <c r="G218" i="5"/>
  <c r="I218" i="5" s="1" a="1"/>
  <c r="I218" i="5" s="1"/>
  <c r="C218" i="5" s="1" a="1"/>
  <c r="C218" i="5" s="1"/>
  <c r="F218" i="5" a="1"/>
  <c r="F218" i="5"/>
  <c r="B218" i="5" a="1"/>
  <c r="B218" i="5"/>
  <c r="H217" i="5" a="1"/>
  <c r="H217" i="5"/>
  <c r="G217" i="5" a="1"/>
  <c r="G217" i="5"/>
  <c r="I217" i="5" s="1" a="1"/>
  <c r="I217" i="5" s="1"/>
  <c r="C217" i="5" s="1" a="1"/>
  <c r="C217" i="5" s="1"/>
  <c r="F217" i="5" a="1"/>
  <c r="F217" i="5"/>
  <c r="B217" i="5" a="1"/>
  <c r="B217" i="5"/>
  <c r="H216" i="5" a="1"/>
  <c r="H216" i="5"/>
  <c r="G216" i="5" a="1"/>
  <c r="G216" i="5"/>
  <c r="I216" i="5" s="1" a="1"/>
  <c r="I216" i="5" s="1"/>
  <c r="C216" i="5" s="1" a="1"/>
  <c r="C216" i="5" s="1"/>
  <c r="F216" i="5" a="1"/>
  <c r="F216" i="5"/>
  <c r="B216" i="5" a="1"/>
  <c r="B216" i="5"/>
  <c r="H215" i="5" a="1"/>
  <c r="H215" i="5"/>
  <c r="G215" i="5" a="1"/>
  <c r="G215" i="5"/>
  <c r="I215" i="5" s="1" a="1"/>
  <c r="I215" i="5" s="1"/>
  <c r="C215" i="5" s="1" a="1"/>
  <c r="C215" i="5" s="1"/>
  <c r="F215" i="5" a="1"/>
  <c r="F215" i="5"/>
  <c r="B215" i="5" a="1"/>
  <c r="B215" i="5"/>
  <c r="H214" i="5" a="1"/>
  <c r="H214" i="5"/>
  <c r="G214" i="5" a="1"/>
  <c r="G214" i="5"/>
  <c r="I214" i="5" s="1" a="1"/>
  <c r="I214" i="5" s="1"/>
  <c r="C214" i="5" s="1" a="1"/>
  <c r="C214" i="5" s="1"/>
  <c r="F214" i="5" a="1"/>
  <c r="F214" i="5"/>
  <c r="B214" i="5" a="1"/>
  <c r="B214" i="5"/>
  <c r="H213" i="5" a="1"/>
  <c r="H213" i="5"/>
  <c r="G213" i="5" a="1"/>
  <c r="G213" i="5"/>
  <c r="I213" i="5" s="1" a="1"/>
  <c r="I213" i="5" s="1"/>
  <c r="C213" i="5" s="1" a="1"/>
  <c r="C213" i="5" s="1"/>
  <c r="F213" i="5" a="1"/>
  <c r="F213" i="5"/>
  <c r="B213" i="5" a="1"/>
  <c r="B213" i="5"/>
  <c r="H212" i="5" a="1"/>
  <c r="H212" i="5"/>
  <c r="G212" i="5" a="1"/>
  <c r="G212" i="5"/>
  <c r="I212" i="5" s="1" a="1"/>
  <c r="I212" i="5" s="1"/>
  <c r="C212" i="5" s="1" a="1"/>
  <c r="C212" i="5" s="1"/>
  <c r="F212" i="5" a="1"/>
  <c r="F212" i="5"/>
  <c r="B212" i="5" a="1"/>
  <c r="B212" i="5"/>
  <c r="H211" i="5" a="1"/>
  <c r="H211" i="5"/>
  <c r="G211" i="5" a="1"/>
  <c r="G211" i="5"/>
  <c r="I211" i="5" s="1" a="1"/>
  <c r="I211" i="5" s="1"/>
  <c r="C211" i="5" s="1" a="1"/>
  <c r="C211" i="5" s="1"/>
  <c r="F211" i="5" a="1"/>
  <c r="F211" i="5"/>
  <c r="B211" i="5" a="1"/>
  <c r="B211" i="5"/>
  <c r="H210" i="5" a="1"/>
  <c r="H210" i="5"/>
  <c r="G210" i="5" a="1"/>
  <c r="G210" i="5"/>
  <c r="I210" i="5" s="1" a="1"/>
  <c r="I210" i="5" s="1"/>
  <c r="C210" i="5" s="1" a="1"/>
  <c r="C210" i="5" s="1"/>
  <c r="F210" i="5" a="1"/>
  <c r="F210" i="5"/>
  <c r="B210" i="5" a="1"/>
  <c r="B210" i="5"/>
  <c r="C201" i="5" a="1"/>
  <c r="C201" i="5"/>
  <c r="K199" i="5" a="1"/>
  <c r="K199" i="5"/>
  <c r="J199" i="5" a="1"/>
  <c r="J199" i="5"/>
  <c r="E199" i="5" a="1"/>
  <c r="E199" i="5"/>
  <c r="E9" i="5" s="1" a="1"/>
  <c r="E9" i="5" s="1"/>
  <c r="D199" i="5" a="1"/>
  <c r="D199" i="5"/>
  <c r="D9" i="5" s="1" a="1"/>
  <c r="D9" i="5" s="1"/>
  <c r="H198" i="5" a="1"/>
  <c r="H198" i="5"/>
  <c r="G198" i="5" a="1"/>
  <c r="G198" i="5"/>
  <c r="I198" i="5" s="1" a="1"/>
  <c r="I198" i="5" s="1"/>
  <c r="C198" i="5" s="1" a="1"/>
  <c r="C198" i="5" s="1"/>
  <c r="F198" i="5" a="1"/>
  <c r="F198" i="5"/>
  <c r="B198" i="5" a="1"/>
  <c r="B198" i="5"/>
  <c r="H197" i="5" a="1"/>
  <c r="H197" i="5"/>
  <c r="G197" i="5" a="1"/>
  <c r="G197" i="5"/>
  <c r="I197" i="5" s="1" a="1"/>
  <c r="I197" i="5" s="1"/>
  <c r="C197" i="5" s="1" a="1"/>
  <c r="C197" i="5" s="1"/>
  <c r="F197" i="5" a="1"/>
  <c r="F197" i="5"/>
  <c r="B197" i="5" a="1"/>
  <c r="B197" i="5"/>
  <c r="H196" i="5" a="1"/>
  <c r="H196" i="5"/>
  <c r="G196" i="5" a="1"/>
  <c r="G196" i="5"/>
  <c r="I196" i="5" s="1" a="1"/>
  <c r="I196" i="5" s="1"/>
  <c r="C196" i="5" s="1" a="1"/>
  <c r="C196" i="5" s="1"/>
  <c r="F196" i="5" a="1"/>
  <c r="F196" i="5"/>
  <c r="B196" i="5" a="1"/>
  <c r="B196" i="5"/>
  <c r="H195" i="5" a="1"/>
  <c r="H195" i="5"/>
  <c r="G195" i="5" a="1"/>
  <c r="G195" i="5"/>
  <c r="I195" i="5" s="1" a="1"/>
  <c r="I195" i="5" s="1"/>
  <c r="C195" i="5" s="1" a="1"/>
  <c r="C195" i="5" s="1"/>
  <c r="F195" i="5" a="1"/>
  <c r="F195" i="5"/>
  <c r="B195" i="5" a="1"/>
  <c r="B195" i="5"/>
  <c r="H194" i="5" a="1"/>
  <c r="H194" i="5"/>
  <c r="G194" i="5" a="1"/>
  <c r="G194" i="5"/>
  <c r="I194" i="5" s="1" a="1"/>
  <c r="I194" i="5" s="1"/>
  <c r="C194" i="5" s="1" a="1"/>
  <c r="C194" i="5" s="1"/>
  <c r="F194" i="5" a="1"/>
  <c r="F194" i="5"/>
  <c r="B194" i="5" a="1"/>
  <c r="B194" i="5"/>
  <c r="H193" i="5" a="1"/>
  <c r="H193" i="5"/>
  <c r="G193" i="5" a="1"/>
  <c r="G193" i="5"/>
  <c r="I193" i="5" s="1" a="1"/>
  <c r="I193" i="5" s="1"/>
  <c r="C193" i="5" s="1" a="1"/>
  <c r="C193" i="5" s="1"/>
  <c r="F193" i="5" a="1"/>
  <c r="F193" i="5"/>
  <c r="B193" i="5" a="1"/>
  <c r="B193" i="5"/>
  <c r="H192" i="5" a="1"/>
  <c r="H192" i="5"/>
  <c r="G192" i="5" a="1"/>
  <c r="G192" i="5"/>
  <c r="I192" i="5" s="1" a="1"/>
  <c r="I192" i="5" s="1"/>
  <c r="C192" i="5" s="1" a="1"/>
  <c r="C192" i="5" s="1"/>
  <c r="F192" i="5" a="1"/>
  <c r="F192" i="5"/>
  <c r="B192" i="5" a="1"/>
  <c r="B192" i="5"/>
  <c r="H191" i="5" a="1"/>
  <c r="H191" i="5"/>
  <c r="G191" i="5" a="1"/>
  <c r="G191" i="5"/>
  <c r="I191" i="5" s="1" a="1"/>
  <c r="I191" i="5" s="1"/>
  <c r="C191" i="5" s="1" a="1"/>
  <c r="C191" i="5" s="1"/>
  <c r="F191" i="5" a="1"/>
  <c r="F191" i="5"/>
  <c r="B191" i="5" a="1"/>
  <c r="B191" i="5"/>
  <c r="H190" i="5" a="1"/>
  <c r="H190" i="5"/>
  <c r="G190" i="5" a="1"/>
  <c r="G190" i="5"/>
  <c r="I190" i="5" s="1" a="1"/>
  <c r="I190" i="5" s="1"/>
  <c r="C190" i="5" s="1" a="1"/>
  <c r="C190" i="5" s="1"/>
  <c r="F190" i="5" a="1"/>
  <c r="F190" i="5"/>
  <c r="B190" i="5" a="1"/>
  <c r="B190" i="5"/>
  <c r="H189" i="5" a="1"/>
  <c r="H189" i="5"/>
  <c r="H199" i="5" s="1" a="1"/>
  <c r="H199" i="5" s="1"/>
  <c r="G189" i="5" a="1"/>
  <c r="G189" i="5"/>
  <c r="F189" i="5" a="1"/>
  <c r="F189" i="5"/>
  <c r="F199" i="5" s="1" a="1"/>
  <c r="F199" i="5" s="1"/>
  <c r="F9" i="5" s="1" a="1"/>
  <c r="F9" i="5" s="1"/>
  <c r="B189" i="5" a="1"/>
  <c r="B189" i="5"/>
  <c r="H188" i="5" a="1"/>
  <c r="H188" i="5"/>
  <c r="G188" i="5" a="1"/>
  <c r="G188" i="5"/>
  <c r="I188" i="5" s="1" a="1"/>
  <c r="I188" i="5" s="1"/>
  <c r="C188" i="5" s="1" a="1"/>
  <c r="C188" i="5" s="1"/>
  <c r="F188" i="5" a="1"/>
  <c r="F188" i="5"/>
  <c r="B188" i="5" a="1"/>
  <c r="B188" i="5"/>
  <c r="H187" i="5" a="1"/>
  <c r="H187" i="5"/>
  <c r="G187" i="5" a="1"/>
  <c r="G187" i="5"/>
  <c r="I187" i="5" s="1" a="1"/>
  <c r="I187" i="5" s="1"/>
  <c r="C187" i="5" s="1" a="1"/>
  <c r="C187" i="5" s="1"/>
  <c r="F187" i="5" a="1"/>
  <c r="F187" i="5"/>
  <c r="B187" i="5" a="1"/>
  <c r="B187" i="5"/>
  <c r="H186" i="5" a="1"/>
  <c r="H186" i="5"/>
  <c r="G186" i="5" a="1"/>
  <c r="G186" i="5"/>
  <c r="I186" i="5" s="1" a="1"/>
  <c r="I186" i="5" s="1"/>
  <c r="C186" i="5" s="1" a="1"/>
  <c r="C186" i="5" s="1"/>
  <c r="F186" i="5" a="1"/>
  <c r="F186" i="5"/>
  <c r="B186" i="5" a="1"/>
  <c r="B186" i="5"/>
  <c r="H185" i="5" a="1"/>
  <c r="H185" i="5"/>
  <c r="G185" i="5" a="1"/>
  <c r="G185" i="5"/>
  <c r="I185" i="5" s="1" a="1"/>
  <c r="I185" i="5" s="1"/>
  <c r="C185" i="5" s="1" a="1"/>
  <c r="C185" i="5" s="1"/>
  <c r="F185" i="5" a="1"/>
  <c r="F185" i="5"/>
  <c r="B185" i="5" a="1"/>
  <c r="B185" i="5"/>
  <c r="H184" i="5" a="1"/>
  <c r="H184" i="5"/>
  <c r="G184" i="5" a="1"/>
  <c r="G184" i="5"/>
  <c r="I184" i="5" s="1" a="1"/>
  <c r="I184" i="5" s="1"/>
  <c r="C184" i="5" s="1" a="1"/>
  <c r="C184" i="5" s="1"/>
  <c r="F184" i="5" a="1"/>
  <c r="F184" i="5"/>
  <c r="B184" i="5" a="1"/>
  <c r="B184" i="5"/>
  <c r="H183" i="5" a="1"/>
  <c r="H183" i="5"/>
  <c r="G183" i="5" a="1"/>
  <c r="G183" i="5"/>
  <c r="I183" i="5" s="1" a="1"/>
  <c r="I183" i="5" s="1"/>
  <c r="C183" i="5" s="1" a="1"/>
  <c r="C183" i="5" s="1"/>
  <c r="F183" i="5" a="1"/>
  <c r="F183" i="5"/>
  <c r="B183" i="5" a="1"/>
  <c r="B183" i="5"/>
  <c r="H182" i="5" a="1"/>
  <c r="H182" i="5"/>
  <c r="G182" i="5" a="1"/>
  <c r="G182" i="5"/>
  <c r="I182" i="5" s="1" a="1"/>
  <c r="I182" i="5" s="1"/>
  <c r="C182" i="5" s="1" a="1"/>
  <c r="C182" i="5" s="1"/>
  <c r="F182" i="5" a="1"/>
  <c r="F182" i="5"/>
  <c r="B182" i="5" a="1"/>
  <c r="B182" i="5"/>
  <c r="H181" i="5" a="1"/>
  <c r="H181" i="5"/>
  <c r="G181" i="5" a="1"/>
  <c r="G181" i="5"/>
  <c r="I181" i="5" s="1" a="1"/>
  <c r="I181" i="5" s="1"/>
  <c r="C181" i="5" s="1" a="1"/>
  <c r="C181" i="5" s="1"/>
  <c r="F181" i="5" a="1"/>
  <c r="F181" i="5"/>
  <c r="B181" i="5" a="1"/>
  <c r="B181" i="5"/>
  <c r="H180" i="5" a="1"/>
  <c r="H180" i="5"/>
  <c r="G180" i="5" a="1"/>
  <c r="G180" i="5"/>
  <c r="I180" i="5" s="1" a="1"/>
  <c r="I180" i="5" s="1"/>
  <c r="C180" i="5" s="1" a="1"/>
  <c r="C180" i="5" s="1"/>
  <c r="F180" i="5" a="1"/>
  <c r="F180" i="5"/>
  <c r="B180" i="5" a="1"/>
  <c r="B180" i="5"/>
  <c r="H179" i="5" a="1"/>
  <c r="H179" i="5"/>
  <c r="G179" i="5" a="1"/>
  <c r="G179" i="5"/>
  <c r="I179" i="5" s="1" a="1"/>
  <c r="I179" i="5" s="1"/>
  <c r="C179" i="5" s="1" a="1"/>
  <c r="C179" i="5" s="1"/>
  <c r="F179" i="5" a="1"/>
  <c r="F179" i="5"/>
  <c r="B179" i="5" a="1"/>
  <c r="B179" i="5"/>
  <c r="H178" i="5" a="1"/>
  <c r="H178" i="5"/>
  <c r="G178" i="5" a="1"/>
  <c r="G178" i="5"/>
  <c r="I178" i="5" s="1" a="1"/>
  <c r="I178" i="5" s="1"/>
  <c r="C178" i="5" s="1" a="1"/>
  <c r="C178" i="5" s="1"/>
  <c r="F178" i="5" a="1"/>
  <c r="F178" i="5"/>
  <c r="B178" i="5" a="1"/>
  <c r="B178" i="5"/>
  <c r="H177" i="5" a="1"/>
  <c r="H177" i="5"/>
  <c r="G177" i="5" a="1"/>
  <c r="G177" i="5"/>
  <c r="I177" i="5" s="1" a="1"/>
  <c r="I177" i="5" s="1"/>
  <c r="C177" i="5" s="1" a="1"/>
  <c r="C177" i="5" s="1"/>
  <c r="F177" i="5" a="1"/>
  <c r="F177" i="5"/>
  <c r="B177" i="5" a="1"/>
  <c r="B177" i="5"/>
  <c r="H176" i="5" a="1"/>
  <c r="H176" i="5"/>
  <c r="G176" i="5" a="1"/>
  <c r="G176" i="5"/>
  <c r="I176" i="5" s="1" a="1"/>
  <c r="I176" i="5" s="1"/>
  <c r="C176" i="5" s="1" a="1"/>
  <c r="C176" i="5" s="1"/>
  <c r="F176" i="5" a="1"/>
  <c r="F176" i="5"/>
  <c r="B176" i="5" a="1"/>
  <c r="B176" i="5"/>
  <c r="H175" i="5" a="1"/>
  <c r="H175" i="5"/>
  <c r="G175" i="5" a="1"/>
  <c r="G175" i="5"/>
  <c r="I175" i="5" s="1" a="1"/>
  <c r="I175" i="5" s="1"/>
  <c r="C175" i="5" s="1" a="1"/>
  <c r="C175" i="5" s="1"/>
  <c r="F175" i="5" a="1"/>
  <c r="F175" i="5"/>
  <c r="B175" i="5" a="1"/>
  <c r="B175" i="5"/>
  <c r="H174" i="5" a="1"/>
  <c r="H174" i="5"/>
  <c r="G174" i="5" a="1"/>
  <c r="G174" i="5"/>
  <c r="I174" i="5" s="1" a="1"/>
  <c r="I174" i="5" s="1"/>
  <c r="C174" i="5" s="1" a="1"/>
  <c r="C174" i="5" s="1"/>
  <c r="F174" i="5" a="1"/>
  <c r="F174" i="5"/>
  <c r="B174" i="5" a="1"/>
  <c r="B174" i="5"/>
  <c r="H173" i="5" a="1"/>
  <c r="H173" i="5"/>
  <c r="G173" i="5" a="1"/>
  <c r="G173" i="5"/>
  <c r="I173" i="5" s="1" a="1"/>
  <c r="I173" i="5" s="1"/>
  <c r="C173" i="5" s="1" a="1"/>
  <c r="C173" i="5" s="1"/>
  <c r="F173" i="5" a="1"/>
  <c r="F173" i="5"/>
  <c r="B173" i="5" a="1"/>
  <c r="B173" i="5"/>
  <c r="H172" i="5" a="1"/>
  <c r="H172" i="5"/>
  <c r="G172" i="5" a="1"/>
  <c r="G172" i="5"/>
  <c r="I172" i="5" s="1" a="1"/>
  <c r="I172" i="5" s="1"/>
  <c r="C172" i="5" s="1" a="1"/>
  <c r="C172" i="5" s="1"/>
  <c r="F172" i="5" a="1"/>
  <c r="F172" i="5"/>
  <c r="B172" i="5" a="1"/>
  <c r="B172" i="5"/>
  <c r="H171" i="5" a="1"/>
  <c r="H171" i="5"/>
  <c r="G171" i="5" a="1"/>
  <c r="G171" i="5"/>
  <c r="I171" i="5" s="1" a="1"/>
  <c r="I171" i="5" s="1"/>
  <c r="C171" i="5" s="1" a="1"/>
  <c r="C171" i="5" s="1"/>
  <c r="F171" i="5" a="1"/>
  <c r="F171" i="5"/>
  <c r="B171" i="5" a="1"/>
  <c r="B171" i="5"/>
  <c r="H170" i="5" a="1"/>
  <c r="H170" i="5"/>
  <c r="G170" i="5" a="1"/>
  <c r="G170" i="5"/>
  <c r="I170" i="5" s="1" a="1"/>
  <c r="I170" i="5" s="1"/>
  <c r="C170" i="5" s="1" a="1"/>
  <c r="C170" i="5" s="1"/>
  <c r="F170" i="5" a="1"/>
  <c r="F170" i="5"/>
  <c r="B170" i="5" a="1"/>
  <c r="B170" i="5"/>
  <c r="H169" i="5" a="1"/>
  <c r="H169" i="5"/>
  <c r="G169" i="5" a="1"/>
  <c r="G169" i="5"/>
  <c r="I169" i="5" s="1" a="1"/>
  <c r="I169" i="5" s="1"/>
  <c r="C169" i="5" s="1" a="1"/>
  <c r="C169" i="5" s="1"/>
  <c r="F169" i="5" a="1"/>
  <c r="F169" i="5"/>
  <c r="B169" i="5" a="1"/>
  <c r="B169" i="5"/>
  <c r="H168" i="5" a="1"/>
  <c r="H168" i="5"/>
  <c r="G168" i="5" a="1"/>
  <c r="G168" i="5"/>
  <c r="I168" i="5" s="1" a="1"/>
  <c r="I168" i="5" s="1"/>
  <c r="C168" i="5" s="1" a="1"/>
  <c r="C168" i="5" s="1"/>
  <c r="F168" i="5" a="1"/>
  <c r="F168" i="5"/>
  <c r="B168" i="5" a="1"/>
  <c r="B168" i="5"/>
  <c r="H167" i="5" a="1"/>
  <c r="H167" i="5"/>
  <c r="G167" i="5" a="1"/>
  <c r="G167" i="5"/>
  <c r="I167" i="5" s="1" a="1"/>
  <c r="I167" i="5" s="1"/>
  <c r="C167" i="5" s="1" a="1"/>
  <c r="C167" i="5" s="1"/>
  <c r="F167" i="5" a="1"/>
  <c r="F167" i="5"/>
  <c r="B167" i="5" a="1"/>
  <c r="B167" i="5"/>
  <c r="H166" i="5" a="1"/>
  <c r="H166" i="5"/>
  <c r="G166" i="5" a="1"/>
  <c r="G166" i="5"/>
  <c r="I166" i="5" s="1" a="1"/>
  <c r="I166" i="5" s="1"/>
  <c r="C166" i="5" s="1" a="1"/>
  <c r="C166" i="5" s="1"/>
  <c r="F166" i="5" a="1"/>
  <c r="F166" i="5"/>
  <c r="B166" i="5" a="1"/>
  <c r="B166" i="5"/>
  <c r="H165" i="5" a="1"/>
  <c r="H165" i="5"/>
  <c r="G165" i="5" a="1"/>
  <c r="G165" i="5"/>
  <c r="I165" i="5" s="1" a="1"/>
  <c r="I165" i="5" s="1"/>
  <c r="C165" i="5" s="1" a="1"/>
  <c r="C165" i="5" s="1"/>
  <c r="F165" i="5" a="1"/>
  <c r="F165" i="5"/>
  <c r="B165" i="5" a="1"/>
  <c r="B165" i="5"/>
  <c r="H164" i="5" a="1"/>
  <c r="H164" i="5"/>
  <c r="G164" i="5" a="1"/>
  <c r="G164" i="5"/>
  <c r="I164" i="5" s="1" a="1"/>
  <c r="I164" i="5" s="1"/>
  <c r="C164" i="5" s="1" a="1"/>
  <c r="C164" i="5" s="1"/>
  <c r="F164" i="5" a="1"/>
  <c r="F164" i="5"/>
  <c r="B164" i="5" a="1"/>
  <c r="B164" i="5"/>
  <c r="H163" i="5" a="1"/>
  <c r="H163" i="5"/>
  <c r="G163" i="5" a="1"/>
  <c r="G163" i="5"/>
  <c r="I163" i="5" s="1" a="1"/>
  <c r="I163" i="5" s="1"/>
  <c r="C163" i="5" s="1" a="1"/>
  <c r="C163" i="5" s="1"/>
  <c r="F163" i="5" a="1"/>
  <c r="F163" i="5"/>
  <c r="B163" i="5" a="1"/>
  <c r="B163" i="5"/>
  <c r="H162" i="5" a="1"/>
  <c r="H162" i="5"/>
  <c r="G162" i="5" a="1"/>
  <c r="G162" i="5"/>
  <c r="I162" i="5" s="1" a="1"/>
  <c r="I162" i="5" s="1"/>
  <c r="C162" i="5" s="1" a="1"/>
  <c r="C162" i="5" s="1"/>
  <c r="F162" i="5" a="1"/>
  <c r="F162" i="5"/>
  <c r="B162" i="5" a="1"/>
  <c r="B162" i="5"/>
  <c r="H161" i="5" a="1"/>
  <c r="H161" i="5"/>
  <c r="G161" i="5" a="1"/>
  <c r="G161" i="5"/>
  <c r="I161" i="5" s="1" a="1"/>
  <c r="I161" i="5" s="1"/>
  <c r="C161" i="5" s="1" a="1"/>
  <c r="C161" i="5" s="1"/>
  <c r="F161" i="5" a="1"/>
  <c r="F161" i="5"/>
  <c r="B161" i="5" a="1"/>
  <c r="B161" i="5"/>
  <c r="H160" i="5" a="1"/>
  <c r="H160" i="5"/>
  <c r="G160" i="5" a="1"/>
  <c r="G160" i="5"/>
  <c r="I160" i="5" s="1" a="1"/>
  <c r="I160" i="5" s="1"/>
  <c r="C160" i="5" s="1" a="1"/>
  <c r="C160" i="5" s="1"/>
  <c r="F160" i="5" a="1"/>
  <c r="F160" i="5"/>
  <c r="B160" i="5" a="1"/>
  <c r="B160" i="5"/>
  <c r="H159" i="5" a="1"/>
  <c r="H159" i="5"/>
  <c r="G159" i="5" a="1"/>
  <c r="G159" i="5"/>
  <c r="I159" i="5" s="1" a="1"/>
  <c r="I159" i="5" s="1"/>
  <c r="C159" i="5" s="1" a="1"/>
  <c r="C159" i="5" s="1"/>
  <c r="F159" i="5" a="1"/>
  <c r="F159" i="5"/>
  <c r="B159" i="5" a="1"/>
  <c r="B159" i="5"/>
  <c r="H158" i="5" a="1"/>
  <c r="H158" i="5"/>
  <c r="G158" i="5" a="1"/>
  <c r="G158" i="5"/>
  <c r="I158" i="5" s="1" a="1"/>
  <c r="I158" i="5" s="1"/>
  <c r="C158" i="5" s="1" a="1"/>
  <c r="C158" i="5" s="1"/>
  <c r="F158" i="5" a="1"/>
  <c r="F158" i="5"/>
  <c r="B158" i="5" a="1"/>
  <c r="B158" i="5"/>
  <c r="H157" i="5" a="1"/>
  <c r="H157" i="5"/>
  <c r="G157" i="5" a="1"/>
  <c r="G157" i="5"/>
  <c r="I157" i="5" s="1" a="1"/>
  <c r="I157" i="5" s="1"/>
  <c r="C157" i="5" s="1" a="1"/>
  <c r="C157" i="5" s="1"/>
  <c r="F157" i="5" a="1"/>
  <c r="F157" i="5"/>
  <c r="B157" i="5" a="1"/>
  <c r="B157" i="5"/>
  <c r="H156" i="5" a="1"/>
  <c r="H156" i="5"/>
  <c r="G156" i="5" a="1"/>
  <c r="G156" i="5"/>
  <c r="I156" i="5" s="1" a="1"/>
  <c r="I156" i="5" s="1"/>
  <c r="C156" i="5" s="1" a="1"/>
  <c r="C156" i="5" s="1"/>
  <c r="F156" i="5" a="1"/>
  <c r="F156" i="5"/>
  <c r="B156" i="5" a="1"/>
  <c r="B156" i="5"/>
  <c r="H155" i="5" a="1"/>
  <c r="H155" i="5"/>
  <c r="G155" i="5" a="1"/>
  <c r="G155" i="5"/>
  <c r="I155" i="5" s="1" a="1"/>
  <c r="I155" i="5" s="1"/>
  <c r="C155" i="5" s="1" a="1"/>
  <c r="C155" i="5" s="1"/>
  <c r="F155" i="5" a="1"/>
  <c r="F155" i="5"/>
  <c r="B155" i="5" a="1"/>
  <c r="B155" i="5"/>
  <c r="H154" i="5" a="1"/>
  <c r="H154" i="5"/>
  <c r="G154" i="5" a="1"/>
  <c r="G154" i="5"/>
  <c r="I154" i="5" s="1" a="1"/>
  <c r="I154" i="5" s="1"/>
  <c r="C154" i="5" s="1" a="1"/>
  <c r="C154" i="5" s="1"/>
  <c r="F154" i="5" a="1"/>
  <c r="F154" i="5"/>
  <c r="B154" i="5" a="1"/>
  <c r="B154" i="5"/>
  <c r="H153" i="5" a="1"/>
  <c r="H153" i="5"/>
  <c r="G153" i="5" a="1"/>
  <c r="G153" i="5"/>
  <c r="I153" i="5" s="1" a="1"/>
  <c r="I153" i="5" s="1"/>
  <c r="C153" i="5" s="1" a="1"/>
  <c r="C153" i="5" s="1"/>
  <c r="F153" i="5" a="1"/>
  <c r="F153" i="5"/>
  <c r="B153" i="5" a="1"/>
  <c r="B153" i="5"/>
  <c r="H152" i="5" a="1"/>
  <c r="H152" i="5"/>
  <c r="G152" i="5" a="1"/>
  <c r="G152" i="5"/>
  <c r="I152" i="5" s="1" a="1"/>
  <c r="I152" i="5" s="1"/>
  <c r="C152" i="5" s="1" a="1"/>
  <c r="C152" i="5" s="1"/>
  <c r="F152" i="5" a="1"/>
  <c r="F152" i="5"/>
  <c r="B152" i="5" a="1"/>
  <c r="B152" i="5"/>
  <c r="H151" i="5" a="1"/>
  <c r="H151" i="5"/>
  <c r="G151" i="5" a="1"/>
  <c r="G151" i="5"/>
  <c r="I151" i="5" s="1" a="1"/>
  <c r="I151" i="5" s="1"/>
  <c r="C151" i="5" s="1" a="1"/>
  <c r="C151" i="5" s="1"/>
  <c r="F151" i="5" a="1"/>
  <c r="F151" i="5"/>
  <c r="B151" i="5" a="1"/>
  <c r="B151" i="5" s="1"/>
  <c r="B150" i="5" s="1" a="1"/>
  <c r="B150" i="5" s="1"/>
  <c r="B149" i="5" s="1" a="1"/>
  <c r="B149" i="5" s="1"/>
  <c r="B148" i="5" s="1" a="1"/>
  <c r="B148" i="5" s="1"/>
  <c r="B147" i="5" s="1" a="1"/>
  <c r="B147" i="5" s="1"/>
  <c r="B146" i="5" s="1" a="1"/>
  <c r="B146" i="5" s="1"/>
  <c r="B145" i="5" s="1" a="1"/>
  <c r="B145" i="5" s="1"/>
  <c r="B144" i="5" s="1" a="1"/>
  <c r="B144" i="5" s="1"/>
  <c r="B143" i="5" s="1" a="1"/>
  <c r="B143" i="5" s="1"/>
  <c r="B142" i="5" s="1" a="1"/>
  <c r="B142" i="5" s="1"/>
  <c r="B141" i="5" s="1" a="1"/>
  <c r="B141" i="5" s="1"/>
  <c r="B140" i="5" s="1" a="1"/>
  <c r="B140" i="5" s="1"/>
  <c r="B139" i="5" s="1" a="1"/>
  <c r="B139" i="5" s="1"/>
  <c r="B138" i="5" s="1" a="1"/>
  <c r="B138" i="5" s="1"/>
  <c r="B137" i="5" s="1" a="1"/>
  <c r="B137" i="5" s="1"/>
  <c r="B136" i="5" s="1" a="1"/>
  <c r="B136" i="5" s="1"/>
  <c r="B135" i="5" s="1" a="1"/>
  <c r="B135" i="5" s="1"/>
  <c r="B134" i="5" s="1" a="1"/>
  <c r="B134" i="5" s="1"/>
  <c r="B133" i="5" s="1" a="1"/>
  <c r="B133" i="5" s="1"/>
  <c r="B132" i="5" s="1" a="1"/>
  <c r="B132" i="5" s="1"/>
  <c r="B131" i="5" s="1" a="1"/>
  <c r="B131" i="5" s="1"/>
  <c r="B130" i="5" s="1" a="1"/>
  <c r="B130" i="5" s="1"/>
  <c r="B129" i="5" s="1" a="1"/>
  <c r="B129" i="5" s="1"/>
  <c r="B128" i="5" s="1" a="1"/>
  <c r="B128" i="5" s="1"/>
  <c r="B127" i="5" s="1" a="1"/>
  <c r="B127" i="5" s="1"/>
  <c r="B126" i="5" s="1" a="1"/>
  <c r="B126" i="5" s="1"/>
  <c r="B125" i="5" s="1" a="1"/>
  <c r="B125" i="5" s="1"/>
  <c r="B124" i="5" s="1" a="1"/>
  <c r="B124" i="5" s="1"/>
  <c r="B123" i="5" s="1" a="1"/>
  <c r="B123" i="5" s="1"/>
  <c r="H150" i="5" a="1"/>
  <c r="H150" i="5" s="1"/>
  <c r="G150" i="5" a="1"/>
  <c r="G150" i="5" s="1"/>
  <c r="F150" i="5" a="1"/>
  <c r="F150" i="5" s="1"/>
  <c r="H149" i="5" a="1"/>
  <c r="H149" i="5" s="1"/>
  <c r="G149" i="5" a="1"/>
  <c r="G149" i="5" s="1"/>
  <c r="F149" i="5" a="1"/>
  <c r="F149" i="5" s="1"/>
  <c r="H148" i="5" a="1"/>
  <c r="H148" i="5" s="1"/>
  <c r="G148" i="5" a="1"/>
  <c r="G148" i="5" s="1"/>
  <c r="F148" i="5" a="1"/>
  <c r="F148" i="5" s="1"/>
  <c r="H147" i="5" a="1"/>
  <c r="H147" i="5" s="1"/>
  <c r="G147" i="5" a="1"/>
  <c r="G147" i="5" s="1"/>
  <c r="F147" i="5" a="1"/>
  <c r="F147" i="5" s="1"/>
  <c r="H146" i="5" a="1"/>
  <c r="H146" i="5" s="1"/>
  <c r="G146" i="5" a="1"/>
  <c r="G146" i="5" s="1"/>
  <c r="I146" i="5" s="1" a="1"/>
  <c r="I146" i="5" s="1"/>
  <c r="F146" i="5" a="1"/>
  <c r="F146" i="5" s="1"/>
  <c r="H145" i="5" a="1"/>
  <c r="H145" i="5" s="1"/>
  <c r="G145" i="5" a="1"/>
  <c r="G145" i="5" s="1"/>
  <c r="F145" i="5" a="1"/>
  <c r="F145" i="5" s="1"/>
  <c r="H144" i="5" a="1"/>
  <c r="H144" i="5" s="1"/>
  <c r="G144" i="5" a="1"/>
  <c r="G144" i="5" s="1"/>
  <c r="I144" i="5" s="1" a="1"/>
  <c r="I144" i="5" s="1"/>
  <c r="F144" i="5" a="1"/>
  <c r="F144" i="5" s="1"/>
  <c r="H143" i="5" a="1"/>
  <c r="H143" i="5" s="1"/>
  <c r="G143" i="5" a="1"/>
  <c r="G143" i="5" s="1"/>
  <c r="F143" i="5" a="1"/>
  <c r="F143" i="5" s="1"/>
  <c r="H142" i="5" a="1"/>
  <c r="H142" i="5" s="1"/>
  <c r="G142" i="5" a="1"/>
  <c r="G142" i="5" s="1"/>
  <c r="F142" i="5" a="1"/>
  <c r="F142" i="5" s="1"/>
  <c r="H141" i="5" a="1"/>
  <c r="H141" i="5" s="1"/>
  <c r="G141" i="5" a="1"/>
  <c r="G141" i="5" s="1"/>
  <c r="I141" i="5" s="1" a="1"/>
  <c r="I141" i="5" s="1"/>
  <c r="F141" i="5" a="1"/>
  <c r="F141" i="5" s="1"/>
  <c r="H140" i="5" a="1"/>
  <c r="H140" i="5" s="1"/>
  <c r="G140" i="5" a="1"/>
  <c r="G140" i="5" s="1"/>
  <c r="F140" i="5" a="1"/>
  <c r="F140" i="5" s="1"/>
  <c r="H139" i="5" a="1"/>
  <c r="H139" i="5" s="1"/>
  <c r="G139" i="5" a="1"/>
  <c r="G139" i="5" s="1"/>
  <c r="I139" i="5" s="1" a="1"/>
  <c r="I139" i="5" s="1"/>
  <c r="F139" i="5" a="1"/>
  <c r="F139" i="5" s="1"/>
  <c r="H138" i="5" a="1"/>
  <c r="H138" i="5" s="1"/>
  <c r="G138" i="5" a="1"/>
  <c r="G138" i="5" s="1"/>
  <c r="F138" i="5" a="1"/>
  <c r="F138" i="5" s="1"/>
  <c r="H137" i="5" a="1"/>
  <c r="H137" i="5" s="1"/>
  <c r="G137" i="5" a="1"/>
  <c r="G137" i="5" s="1"/>
  <c r="I137" i="5" s="1" a="1"/>
  <c r="I137" i="5" s="1"/>
  <c r="F137" i="5" a="1"/>
  <c r="F137" i="5" s="1"/>
  <c r="H136" i="5" a="1"/>
  <c r="H136" i="5" s="1"/>
  <c r="G136" i="5" a="1"/>
  <c r="G136" i="5" s="1"/>
  <c r="F136" i="5" a="1"/>
  <c r="F136" i="5" s="1"/>
  <c r="H135" i="5" a="1"/>
  <c r="H135" i="5" s="1"/>
  <c r="G135" i="5" a="1"/>
  <c r="G135" i="5" s="1"/>
  <c r="F135" i="5" a="1"/>
  <c r="F135" i="5" s="1"/>
  <c r="H134" i="5" a="1"/>
  <c r="H134" i="5" s="1"/>
  <c r="G134" i="5" a="1"/>
  <c r="G134" i="5" s="1"/>
  <c r="I134" i="5" s="1" a="1"/>
  <c r="I134" i="5" s="1"/>
  <c r="F134" i="5" a="1"/>
  <c r="F134" i="5" s="1"/>
  <c r="H133" i="5" a="1"/>
  <c r="H133" i="5" s="1"/>
  <c r="G133" i="5" a="1"/>
  <c r="G133" i="5" s="1"/>
  <c r="F133" i="5" a="1"/>
  <c r="F133" i="5" s="1"/>
  <c r="H132" i="5" a="1"/>
  <c r="H132" i="5" s="1"/>
  <c r="G132" i="5" a="1"/>
  <c r="G132" i="5" s="1"/>
  <c r="F132" i="5" a="1"/>
  <c r="F132" i="5" s="1"/>
  <c r="H131" i="5" a="1"/>
  <c r="H131" i="5" s="1"/>
  <c r="G131" i="5" a="1"/>
  <c r="G131" i="5" s="1"/>
  <c r="I131" i="5" s="1" a="1"/>
  <c r="I131" i="5" s="1"/>
  <c r="F131" i="5" a="1"/>
  <c r="F131" i="5" s="1"/>
  <c r="H130" i="5" a="1"/>
  <c r="H130" i="5" s="1"/>
  <c r="G130" i="5" a="1"/>
  <c r="G130" i="5" s="1"/>
  <c r="I130" i="5" s="1" a="1"/>
  <c r="I130" i="5" s="1"/>
  <c r="F130" i="5" a="1"/>
  <c r="F130" i="5" s="1"/>
  <c r="H129" i="5" a="1"/>
  <c r="H129" i="5" s="1"/>
  <c r="G129" i="5" a="1"/>
  <c r="G129" i="5" s="1"/>
  <c r="F129" i="5" a="1"/>
  <c r="F129" i="5" s="1"/>
  <c r="H128" i="5" a="1"/>
  <c r="H128" i="5" s="1"/>
  <c r="G128" i="5" a="1"/>
  <c r="G128" i="5" s="1"/>
  <c r="F128" i="5" a="1"/>
  <c r="F128" i="5" s="1"/>
  <c r="H127" i="5" a="1"/>
  <c r="H127" i="5" s="1"/>
  <c r="G127" i="5" a="1"/>
  <c r="G127" i="5" s="1"/>
  <c r="I127" i="5" s="1" a="1"/>
  <c r="I127" i="5" s="1"/>
  <c r="F127" i="5" a="1"/>
  <c r="F127" i="5" s="1"/>
  <c r="H126" i="5" a="1"/>
  <c r="H126" i="5" s="1"/>
  <c r="G126" i="5" a="1"/>
  <c r="G126" i="5" s="1"/>
  <c r="I126" i="5" s="1" a="1"/>
  <c r="I126" i="5" s="1"/>
  <c r="F126" i="5" a="1"/>
  <c r="F126" i="5" s="1"/>
  <c r="H125" i="5" a="1"/>
  <c r="H125" i="5" s="1"/>
  <c r="G125" i="5" a="1"/>
  <c r="G125" i="5" s="1"/>
  <c r="F125" i="5" a="1"/>
  <c r="F125" i="5" s="1"/>
  <c r="H124" i="5" a="1"/>
  <c r="H124" i="5" s="1"/>
  <c r="G124" i="5" a="1"/>
  <c r="G124" i="5" s="1"/>
  <c r="F124" i="5" a="1"/>
  <c r="F124" i="5" s="1"/>
  <c r="H123" i="5" a="1"/>
  <c r="H123" i="5" s="1"/>
  <c r="G123" i="5" a="1"/>
  <c r="G123" i="5" s="1"/>
  <c r="F123" i="5" a="1"/>
  <c r="F123" i="5" s="1"/>
  <c r="C113" i="5" a="1"/>
  <c r="C113" i="5" s="1"/>
  <c r="C367" i="8" s="1" a="1"/>
  <c r="C367" i="8" s="1"/>
  <c r="B3" i="5" a="1"/>
  <c r="B3" i="5"/>
  <c r="C109" i="4" a="1"/>
  <c r="C109" i="4"/>
  <c r="G106" i="4" a="1"/>
  <c r="G106" i="4"/>
  <c r="F106" i="4" a="1"/>
  <c r="F106" i="4"/>
  <c r="F260" i="8" s="1" a="1"/>
  <c r="F260" i="8" s="1"/>
  <c r="E106" i="4" a="1"/>
  <c r="E106" i="4"/>
  <c r="D106" i="4" a="1"/>
  <c r="D106" i="4"/>
  <c r="G105" i="4" a="1"/>
  <c r="G105" i="4"/>
  <c r="F105" i="4" a="1"/>
  <c r="F105" i="4"/>
  <c r="F259" i="8" s="1" a="1"/>
  <c r="F259" i="8" s="1"/>
  <c r="E105" i="4" a="1"/>
  <c r="E105" i="4"/>
  <c r="D105" i="4" a="1"/>
  <c r="D105" i="4"/>
  <c r="G104" i="4" a="1"/>
  <c r="G104" i="4"/>
  <c r="F104" i="4" a="1"/>
  <c r="F104" i="4"/>
  <c r="F258" i="8" s="1" a="1"/>
  <c r="F258" i="8" s="1"/>
  <c r="E104" i="4" a="1"/>
  <c r="E104" i="4"/>
  <c r="D104" i="4" a="1"/>
  <c r="D104" i="4"/>
  <c r="G103" i="4" a="1"/>
  <c r="G103" i="4"/>
  <c r="F103" i="4" a="1"/>
  <c r="F103" i="4"/>
  <c r="F257" i="8" s="1" a="1"/>
  <c r="F257" i="8" s="1"/>
  <c r="E103" i="4" a="1"/>
  <c r="E103" i="4"/>
  <c r="D103" i="4" a="1"/>
  <c r="D103" i="4"/>
  <c r="G102" i="4" a="1"/>
  <c r="G102" i="4"/>
  <c r="F102" i="4" a="1"/>
  <c r="F102" i="4"/>
  <c r="F256" i="8" s="1" a="1"/>
  <c r="F256" i="8" s="1"/>
  <c r="E102" i="4" a="1"/>
  <c r="E102" i="4"/>
  <c r="D102" i="4" a="1"/>
  <c r="D102" i="4"/>
  <c r="G101" i="4" a="1"/>
  <c r="G101" i="4"/>
  <c r="F101" i="4" a="1"/>
  <c r="F101" i="4"/>
  <c r="F255" i="8" s="1" a="1"/>
  <c r="F255" i="8" s="1"/>
  <c r="E101" i="4" a="1"/>
  <c r="E101" i="4"/>
  <c r="D101" i="4" a="1"/>
  <c r="D101" i="4"/>
  <c r="G100" i="4" a="1"/>
  <c r="G100" i="4"/>
  <c r="F100" i="4" a="1"/>
  <c r="F100" i="4"/>
  <c r="F254" i="8" s="1" a="1"/>
  <c r="F254" i="8" s="1"/>
  <c r="E100" i="4" a="1"/>
  <c r="E100" i="4"/>
  <c r="D100" i="4" a="1"/>
  <c r="D100" i="4"/>
  <c r="G99" i="4" a="1"/>
  <c r="G99" i="4"/>
  <c r="F99" i="4" a="1"/>
  <c r="F99" i="4"/>
  <c r="F253" i="8" s="1" a="1"/>
  <c r="F253" i="8" s="1"/>
  <c r="E99" i="4" a="1"/>
  <c r="E99" i="4"/>
  <c r="D99" i="4" a="1"/>
  <c r="D99" i="4"/>
  <c r="G98" i="4" a="1"/>
  <c r="G98" i="4"/>
  <c r="F98" i="4" a="1"/>
  <c r="F98" i="4"/>
  <c r="F252" i="8" s="1" a="1"/>
  <c r="F252" i="8" s="1"/>
  <c r="E98" i="4" a="1"/>
  <c r="E98" i="4"/>
  <c r="D98" i="4" a="1"/>
  <c r="D98" i="4"/>
  <c r="G97" i="4" a="1"/>
  <c r="G97" i="4"/>
  <c r="F97" i="4" a="1"/>
  <c r="F97" i="4"/>
  <c r="F251" i="8" s="1" a="1"/>
  <c r="F251" i="8" s="1"/>
  <c r="E97" i="4" a="1"/>
  <c r="E97" i="4"/>
  <c r="D97" i="4" a="1"/>
  <c r="D97" i="4"/>
  <c r="G96" i="4" a="1"/>
  <c r="G96" i="4"/>
  <c r="F96" i="4" a="1"/>
  <c r="F96" i="4"/>
  <c r="F250" i="8" s="1" a="1"/>
  <c r="F250" i="8" s="1"/>
  <c r="E96" i="4" a="1"/>
  <c r="E96" i="4"/>
  <c r="D96" i="4" a="1"/>
  <c r="D96" i="4"/>
  <c r="G95" i="4" a="1"/>
  <c r="G95" i="4"/>
  <c r="F95" i="4" a="1"/>
  <c r="F95" i="4"/>
  <c r="F249" i="8" s="1" a="1"/>
  <c r="F249" i="8" s="1"/>
  <c r="E95" i="4" a="1"/>
  <c r="E95" i="4"/>
  <c r="D95" i="4" a="1"/>
  <c r="D95" i="4"/>
  <c r="G94" i="4" a="1"/>
  <c r="G94" i="4"/>
  <c r="F94" i="4" a="1"/>
  <c r="F94" i="4"/>
  <c r="F248" i="8" s="1" a="1"/>
  <c r="F248" i="8" s="1"/>
  <c r="E94" i="4" a="1"/>
  <c r="E94" i="4"/>
  <c r="D94" i="4" a="1"/>
  <c r="D94" i="4"/>
  <c r="G93" i="4" a="1"/>
  <c r="G93" i="4"/>
  <c r="F93" i="4" a="1"/>
  <c r="F93" i="4"/>
  <c r="F247" i="8" s="1" a="1"/>
  <c r="F247" i="8" s="1"/>
  <c r="E93" i="4" a="1"/>
  <c r="E93" i="4"/>
  <c r="D93" i="4" a="1"/>
  <c r="D93" i="4"/>
  <c r="G92" i="4" a="1"/>
  <c r="G92" i="4"/>
  <c r="F92" i="4" a="1"/>
  <c r="F92" i="4"/>
  <c r="F246" i="8" s="1" a="1"/>
  <c r="F246" i="8" s="1"/>
  <c r="E92" i="4" a="1"/>
  <c r="E92" i="4"/>
  <c r="D92" i="4" a="1"/>
  <c r="D92" i="4"/>
  <c r="G91" i="4" a="1"/>
  <c r="G91" i="4"/>
  <c r="F91" i="4" a="1"/>
  <c r="F91" i="4"/>
  <c r="F245" i="8" s="1" a="1"/>
  <c r="F245" i="8" s="1"/>
  <c r="E91" i="4" a="1"/>
  <c r="E91" i="4"/>
  <c r="D91" i="4" a="1"/>
  <c r="D91" i="4"/>
  <c r="G90" i="4" a="1"/>
  <c r="G90" i="4"/>
  <c r="F90" i="4" a="1"/>
  <c r="F90" i="4"/>
  <c r="F244" i="8" s="1" a="1"/>
  <c r="F244" i="8" s="1"/>
  <c r="E90" i="4" a="1"/>
  <c r="E90" i="4"/>
  <c r="D90" i="4" a="1"/>
  <c r="D90" i="4"/>
  <c r="H89" i="4" a="1"/>
  <c r="H89" i="4"/>
  <c r="G89" i="4" a="1"/>
  <c r="G89" i="4"/>
  <c r="F89" i="4" a="1"/>
  <c r="F89" i="4"/>
  <c r="E89" i="4" a="1"/>
  <c r="E89" i="4"/>
  <c r="E243" i="8" s="1" a="1"/>
  <c r="E243" i="8" s="1"/>
  <c r="D89" i="4" a="1"/>
  <c r="D89" i="4"/>
  <c r="D243" i="8" s="1" a="1"/>
  <c r="D243" i="8" s="1"/>
  <c r="G88" i="4" a="1"/>
  <c r="G88" i="4"/>
  <c r="F88" i="4" a="1"/>
  <c r="F88" i="4"/>
  <c r="F242" i="8" s="1" a="1"/>
  <c r="F242" i="8" s="1"/>
  <c r="E88" i="4" a="1"/>
  <c r="E88" i="4"/>
  <c r="D88" i="4" a="1"/>
  <c r="D88" i="4"/>
  <c r="G87" i="4" a="1"/>
  <c r="G87" i="4"/>
  <c r="I87" i="4" s="1" a="1"/>
  <c r="I87" i="4" s="1"/>
  <c r="I241" i="8" s="1" a="1"/>
  <c r="I241" i="8" s="1"/>
  <c r="F87" i="4" a="1"/>
  <c r="F87" i="4"/>
  <c r="E87" i="4" a="1"/>
  <c r="E87" i="4"/>
  <c r="D87" i="4" a="1"/>
  <c r="D87" i="4"/>
  <c r="J87" i="4" s="1" a="1"/>
  <c r="J87" i="4" s="1"/>
  <c r="J241" i="8" s="1" a="1"/>
  <c r="J241" i="8" s="1"/>
  <c r="G86" i="4" a="1"/>
  <c r="G86" i="4"/>
  <c r="I86" i="4" s="1" a="1"/>
  <c r="I86" i="4" s="1"/>
  <c r="I240" i="8" s="1" a="1"/>
  <c r="I240" i="8" s="1"/>
  <c r="F86" i="4" a="1"/>
  <c r="F86" i="4"/>
  <c r="E86" i="4" a="1"/>
  <c r="E86" i="4"/>
  <c r="D86" i="4" a="1"/>
  <c r="D86" i="4"/>
  <c r="J86" i="4" s="1" a="1"/>
  <c r="J86" i="4" s="1"/>
  <c r="J240" i="8" s="1" a="1"/>
  <c r="J240" i="8" s="1"/>
  <c r="G85" i="4" a="1"/>
  <c r="G85" i="4"/>
  <c r="I85" i="4" s="1" a="1"/>
  <c r="I85" i="4" s="1"/>
  <c r="I239" i="8" s="1" a="1"/>
  <c r="I239" i="8" s="1"/>
  <c r="F85" i="4" a="1"/>
  <c r="F85" i="4"/>
  <c r="E85" i="4" a="1"/>
  <c r="E85" i="4"/>
  <c r="D85" i="4" a="1"/>
  <c r="D85" i="4"/>
  <c r="J85" i="4" s="1" a="1"/>
  <c r="J85" i="4" s="1"/>
  <c r="J239" i="8" s="1" a="1"/>
  <c r="J239" i="8" s="1"/>
  <c r="G84" i="4" a="1"/>
  <c r="G84" i="4"/>
  <c r="I84" i="4" s="1" a="1"/>
  <c r="I84" i="4" s="1"/>
  <c r="I238" i="8" s="1" a="1"/>
  <c r="I238" i="8" s="1"/>
  <c r="F84" i="4" a="1"/>
  <c r="F84" i="4"/>
  <c r="E84" i="4" a="1"/>
  <c r="E84" i="4"/>
  <c r="D84" i="4" a="1"/>
  <c r="D84" i="4"/>
  <c r="J84" i="4" s="1" a="1"/>
  <c r="J84" i="4" s="1"/>
  <c r="J238" i="8" s="1" a="1"/>
  <c r="J238" i="8" s="1"/>
  <c r="G83" i="4" a="1"/>
  <c r="G83" i="4"/>
  <c r="I83" i="4" s="1" a="1"/>
  <c r="I83" i="4" s="1"/>
  <c r="I237" i="8" s="1" a="1"/>
  <c r="I237" i="8" s="1"/>
  <c r="F83" i="4" a="1"/>
  <c r="F83" i="4"/>
  <c r="E83" i="4" a="1"/>
  <c r="E83" i="4"/>
  <c r="D83" i="4" a="1"/>
  <c r="D83" i="4"/>
  <c r="J83" i="4" s="1" a="1"/>
  <c r="J83" i="4" s="1"/>
  <c r="J237" i="8" s="1" a="1"/>
  <c r="J237" i="8" s="1"/>
  <c r="G82" i="4" a="1"/>
  <c r="G82" i="4"/>
  <c r="I82" i="4" s="1" a="1"/>
  <c r="I82" i="4" s="1"/>
  <c r="I236" i="8" s="1" a="1"/>
  <c r="I236" i="8" s="1"/>
  <c r="F82" i="4" a="1"/>
  <c r="F82" i="4"/>
  <c r="E82" i="4" a="1"/>
  <c r="E82" i="4"/>
  <c r="D82" i="4" a="1"/>
  <c r="D82" i="4"/>
  <c r="J82" i="4" s="1" a="1"/>
  <c r="J82" i="4" s="1"/>
  <c r="J236" i="8" s="1" a="1"/>
  <c r="J236" i="8" s="1"/>
  <c r="G81" i="4" a="1"/>
  <c r="G81" i="4"/>
  <c r="I81" i="4" s="1" a="1"/>
  <c r="I81" i="4" s="1"/>
  <c r="I235" i="8" s="1" a="1"/>
  <c r="I235" i="8" s="1"/>
  <c r="F81" i="4" a="1"/>
  <c r="F81" i="4"/>
  <c r="E81" i="4" a="1"/>
  <c r="E81" i="4"/>
  <c r="D81" i="4" a="1"/>
  <c r="D81" i="4"/>
  <c r="J81" i="4" s="1" a="1"/>
  <c r="J81" i="4" s="1"/>
  <c r="J235" i="8" s="1" a="1"/>
  <c r="J235" i="8" s="1"/>
  <c r="G80" i="4" a="1"/>
  <c r="G80" i="4"/>
  <c r="I80" i="4" s="1" a="1"/>
  <c r="I80" i="4" s="1"/>
  <c r="I234" i="8" s="1" a="1"/>
  <c r="I234" i="8" s="1"/>
  <c r="F80" i="4" a="1"/>
  <c r="F80" i="4"/>
  <c r="E80" i="4" a="1"/>
  <c r="E80" i="4"/>
  <c r="D80" i="4" a="1"/>
  <c r="D80" i="4"/>
  <c r="J80" i="4" s="1" a="1"/>
  <c r="J80" i="4" s="1"/>
  <c r="J234" i="8" s="1" a="1"/>
  <c r="J234" i="8" s="1"/>
  <c r="G79" i="4" a="1"/>
  <c r="G79" i="4"/>
  <c r="I79" i="4" s="1" a="1"/>
  <c r="I79" i="4" s="1"/>
  <c r="I233" i="8" s="1" a="1"/>
  <c r="I233" i="8" s="1"/>
  <c r="F79" i="4" a="1"/>
  <c r="F79" i="4"/>
  <c r="E79" i="4" a="1"/>
  <c r="E79" i="4"/>
  <c r="D79" i="4" a="1"/>
  <c r="D79" i="4"/>
  <c r="J79" i="4" s="1" a="1"/>
  <c r="J79" i="4" s="1"/>
  <c r="J233" i="8" s="1" a="1"/>
  <c r="J233" i="8" s="1"/>
  <c r="G78" i="4" a="1"/>
  <c r="G78" i="4"/>
  <c r="I78" i="4" s="1" a="1"/>
  <c r="I78" i="4" s="1"/>
  <c r="I232" i="8" s="1" a="1"/>
  <c r="I232" i="8" s="1"/>
  <c r="F78" i="4" a="1"/>
  <c r="F78" i="4"/>
  <c r="E78" i="4" a="1"/>
  <c r="E78" i="4"/>
  <c r="D78" i="4" a="1"/>
  <c r="D78" i="4"/>
  <c r="J78" i="4" s="1" a="1"/>
  <c r="J78" i="4" s="1"/>
  <c r="J232" i="8" s="1" a="1"/>
  <c r="J232" i="8" s="1"/>
  <c r="G77" i="4" a="1"/>
  <c r="G77" i="4"/>
  <c r="I77" i="4" s="1" a="1"/>
  <c r="I77" i="4" s="1"/>
  <c r="I231" i="8" s="1" a="1"/>
  <c r="I231" i="8" s="1"/>
  <c r="F77" i="4" a="1"/>
  <c r="F77" i="4"/>
  <c r="E77" i="4" a="1"/>
  <c r="E77" i="4"/>
  <c r="D77" i="4" a="1"/>
  <c r="D77" i="4"/>
  <c r="J77" i="4" s="1" a="1"/>
  <c r="J77" i="4" s="1"/>
  <c r="J231" i="8" s="1" a="1"/>
  <c r="J231" i="8" s="1"/>
  <c r="G76" i="4" a="1"/>
  <c r="G76" i="4"/>
  <c r="I76" i="4" s="1" a="1"/>
  <c r="I76" i="4" s="1"/>
  <c r="I230" i="8" s="1" a="1"/>
  <c r="I230" i="8" s="1"/>
  <c r="F76" i="4" a="1"/>
  <c r="F76" i="4"/>
  <c r="E76" i="4" a="1"/>
  <c r="E76" i="4"/>
  <c r="D76" i="4" a="1"/>
  <c r="D76" i="4"/>
  <c r="J76" i="4" s="1" a="1"/>
  <c r="J76" i="4" s="1"/>
  <c r="J230" i="8" s="1" a="1"/>
  <c r="J230" i="8" s="1"/>
  <c r="G75" i="4" a="1"/>
  <c r="G75" i="4"/>
  <c r="I75" i="4" s="1" a="1"/>
  <c r="I75" i="4" s="1"/>
  <c r="I229" i="8" s="1" a="1"/>
  <c r="I229" i="8" s="1"/>
  <c r="F75" i="4" a="1"/>
  <c r="F75" i="4"/>
  <c r="E75" i="4" a="1"/>
  <c r="E75" i="4"/>
  <c r="D75" i="4" a="1"/>
  <c r="D75" i="4"/>
  <c r="J75" i="4" s="1" a="1"/>
  <c r="J75" i="4" s="1"/>
  <c r="J229" i="8" s="1" a="1"/>
  <c r="J229" i="8" s="1"/>
  <c r="G74" i="4" a="1"/>
  <c r="G74" i="4"/>
  <c r="I74" i="4" s="1" a="1"/>
  <c r="I74" i="4" s="1"/>
  <c r="I228" i="8" s="1" a="1"/>
  <c r="I228" i="8" s="1"/>
  <c r="F74" i="4" a="1"/>
  <c r="F74" i="4"/>
  <c r="E74" i="4" a="1"/>
  <c r="E74" i="4"/>
  <c r="D74" i="4" a="1"/>
  <c r="D74" i="4"/>
  <c r="J74" i="4" s="1" a="1"/>
  <c r="J74" i="4" s="1"/>
  <c r="J228" i="8" s="1" a="1"/>
  <c r="J228" i="8" s="1"/>
  <c r="G73" i="4" a="1"/>
  <c r="G73" i="4"/>
  <c r="I73" i="4" s="1" a="1"/>
  <c r="I73" i="4" s="1"/>
  <c r="I227" i="8" s="1" a="1"/>
  <c r="I227" i="8" s="1"/>
  <c r="F73" i="4" a="1"/>
  <c r="F73" i="4"/>
  <c r="E73" i="4" a="1"/>
  <c r="E73" i="4"/>
  <c r="D73" i="4" a="1"/>
  <c r="D73" i="4"/>
  <c r="J73" i="4" s="1" a="1"/>
  <c r="J73" i="4" s="1"/>
  <c r="J227" i="8" s="1" a="1"/>
  <c r="J227" i="8" s="1"/>
  <c r="G72" i="4" a="1"/>
  <c r="G72" i="4"/>
  <c r="I72" i="4" s="1" a="1"/>
  <c r="I72" i="4" s="1"/>
  <c r="I226" i="8" s="1" a="1"/>
  <c r="I226" i="8" s="1"/>
  <c r="F72" i="4" a="1"/>
  <c r="F72" i="4"/>
  <c r="E72" i="4" a="1"/>
  <c r="E72" i="4"/>
  <c r="D72" i="4" a="1"/>
  <c r="D72" i="4"/>
  <c r="J72" i="4" s="1" a="1"/>
  <c r="J72" i="4" s="1"/>
  <c r="J226" i="8" s="1" a="1"/>
  <c r="J226" i="8" s="1"/>
  <c r="G71" i="4" a="1"/>
  <c r="G71" i="4"/>
  <c r="I71" i="4" s="1" a="1"/>
  <c r="I71" i="4" s="1"/>
  <c r="I225" i="8" s="1" a="1"/>
  <c r="I225" i="8" s="1"/>
  <c r="F71" i="4" a="1"/>
  <c r="F71" i="4"/>
  <c r="E71" i="4" a="1"/>
  <c r="E71" i="4"/>
  <c r="D71" i="4" a="1"/>
  <c r="D71" i="4"/>
  <c r="J71" i="4" s="1" a="1"/>
  <c r="J71" i="4" s="1"/>
  <c r="J225" i="8" s="1" a="1"/>
  <c r="J225" i="8" s="1"/>
  <c r="G70" i="4" a="1"/>
  <c r="G70" i="4"/>
  <c r="I70" i="4" s="1" a="1"/>
  <c r="I70" i="4" s="1"/>
  <c r="I224" i="8" s="1" a="1"/>
  <c r="I224" i="8" s="1"/>
  <c r="F70" i="4" a="1"/>
  <c r="F70" i="4"/>
  <c r="E70" i="4" a="1"/>
  <c r="E70" i="4"/>
  <c r="D70" i="4" a="1"/>
  <c r="D70" i="4"/>
  <c r="J70" i="4" s="1" a="1"/>
  <c r="J70" i="4" s="1"/>
  <c r="J224" i="8" s="1" a="1"/>
  <c r="J224" i="8" s="1"/>
  <c r="G69" i="4" a="1"/>
  <c r="G69" i="4"/>
  <c r="I69" i="4" s="1" a="1"/>
  <c r="I69" i="4" s="1"/>
  <c r="I223" i="8" s="1" a="1"/>
  <c r="I223" i="8" s="1"/>
  <c r="F69" i="4" a="1"/>
  <c r="F69" i="4"/>
  <c r="E69" i="4" a="1"/>
  <c r="E69" i="4"/>
  <c r="D69" i="4" a="1"/>
  <c r="D69" i="4"/>
  <c r="G68" i="4" a="1"/>
  <c r="G68" i="4"/>
  <c r="I68" i="4" s="1" a="1"/>
  <c r="I68" i="4" s="1"/>
  <c r="I222" i="8" s="1" a="1"/>
  <c r="I222" i="8" s="1"/>
  <c r="F68" i="4" a="1"/>
  <c r="F68" i="4"/>
  <c r="E68" i="4" a="1"/>
  <c r="E68" i="4"/>
  <c r="D68" i="4" a="1"/>
  <c r="D68" i="4"/>
  <c r="G67" i="4" a="1"/>
  <c r="G67" i="4"/>
  <c r="F67" i="4" a="1"/>
  <c r="F67" i="4"/>
  <c r="F221" i="8" s="1" a="1"/>
  <c r="F221" i="8" s="1"/>
  <c r="E67" i="4" a="1"/>
  <c r="E67" i="4"/>
  <c r="D67" i="4" a="1"/>
  <c r="D67" i="4"/>
  <c r="G66" i="4" a="1"/>
  <c r="G66" i="4"/>
  <c r="F66" i="4" a="1"/>
  <c r="F66" i="4"/>
  <c r="F220" i="8" s="1" a="1"/>
  <c r="F220" i="8" s="1"/>
  <c r="E66" i="4" a="1"/>
  <c r="E66" i="4"/>
  <c r="D66" i="4" a="1"/>
  <c r="D66" i="4"/>
  <c r="G65" i="4" a="1"/>
  <c r="G65" i="4"/>
  <c r="F65" i="4" a="1"/>
  <c r="F65" i="4"/>
  <c r="F219" i="8" s="1" a="1"/>
  <c r="F219" i="8" s="1"/>
  <c r="E65" i="4" a="1"/>
  <c r="E65" i="4"/>
  <c r="D65" i="4" a="1"/>
  <c r="D65" i="4"/>
  <c r="G64" i="4" a="1"/>
  <c r="G64" i="4"/>
  <c r="F64" i="4" a="1"/>
  <c r="F64" i="4"/>
  <c r="F218" i="8" s="1" a="1"/>
  <c r="F218" i="8" s="1"/>
  <c r="E64" i="4" a="1"/>
  <c r="E64" i="4"/>
  <c r="D64" i="4" a="1"/>
  <c r="D64" i="4"/>
  <c r="G63" i="4" a="1"/>
  <c r="G63" i="4"/>
  <c r="F63" i="4" a="1"/>
  <c r="F63" i="4"/>
  <c r="F217" i="8" s="1" a="1"/>
  <c r="F217" i="8" s="1"/>
  <c r="E63" i="4" a="1"/>
  <c r="E63" i="4"/>
  <c r="D63" i="4" a="1"/>
  <c r="D63" i="4"/>
  <c r="G62" i="4" a="1"/>
  <c r="G62" i="4"/>
  <c r="F62" i="4" a="1"/>
  <c r="F62" i="4"/>
  <c r="F216" i="8" s="1" a="1"/>
  <c r="F216" i="8" s="1"/>
  <c r="E62" i="4" a="1"/>
  <c r="E62" i="4"/>
  <c r="D62" i="4" a="1"/>
  <c r="D62" i="4"/>
  <c r="G61" i="4" a="1"/>
  <c r="G61" i="4"/>
  <c r="F61" i="4" a="1"/>
  <c r="F61" i="4"/>
  <c r="F215" i="8" s="1" a="1"/>
  <c r="F215" i="8" s="1"/>
  <c r="E61" i="4" a="1"/>
  <c r="E61" i="4"/>
  <c r="D61" i="4" a="1"/>
  <c r="D61" i="4"/>
  <c r="G60" i="4" a="1"/>
  <c r="G60" i="4"/>
  <c r="F60" i="4" a="1"/>
  <c r="F60" i="4"/>
  <c r="F214" i="8" s="1" a="1"/>
  <c r="F214" i="8" s="1"/>
  <c r="E60" i="4" a="1"/>
  <c r="E60" i="4"/>
  <c r="D60" i="4" a="1"/>
  <c r="D60" i="4"/>
  <c r="G59" i="4" a="1"/>
  <c r="G59" i="4"/>
  <c r="F59" i="4" a="1"/>
  <c r="F59" i="4"/>
  <c r="F213" i="8" s="1" a="1"/>
  <c r="F213" i="8" s="1"/>
  <c r="E59" i="4" a="1"/>
  <c r="E59" i="4"/>
  <c r="D59" i="4" a="1"/>
  <c r="D59" i="4"/>
  <c r="G58" i="4" a="1"/>
  <c r="G58" i="4"/>
  <c r="F58" i="4" a="1"/>
  <c r="F58" i="4"/>
  <c r="F212" i="8" s="1" a="1"/>
  <c r="F212" i="8" s="1"/>
  <c r="E58" i="4" a="1"/>
  <c r="E58" i="4"/>
  <c r="D58" i="4" a="1"/>
  <c r="D58" i="4"/>
  <c r="G57" i="4" a="1"/>
  <c r="G57" i="4"/>
  <c r="F57" i="4" a="1"/>
  <c r="F57" i="4"/>
  <c r="F211" i="8" s="1" a="1"/>
  <c r="F211" i="8" s="1"/>
  <c r="E57" i="4" a="1"/>
  <c r="E57" i="4"/>
  <c r="D57" i="4" a="1"/>
  <c r="D57" i="4"/>
  <c r="G56" i="4" a="1"/>
  <c r="G56" i="4"/>
  <c r="F56" i="4" a="1"/>
  <c r="F56" i="4"/>
  <c r="F210" i="8" s="1" a="1"/>
  <c r="F210" i="8" s="1"/>
  <c r="E56" i="4" a="1"/>
  <c r="E56" i="4"/>
  <c r="D56" i="4" a="1"/>
  <c r="D56" i="4"/>
  <c r="G55" i="4" a="1"/>
  <c r="G55" i="4"/>
  <c r="F55" i="4" a="1"/>
  <c r="F55" i="4"/>
  <c r="F209" i="8" s="1" a="1"/>
  <c r="F209" i="8" s="1"/>
  <c r="E55" i="4" a="1"/>
  <c r="E55" i="4"/>
  <c r="D55" i="4" a="1"/>
  <c r="D55" i="4"/>
  <c r="G54" i="4" a="1"/>
  <c r="G54" i="4"/>
  <c r="F54" i="4" a="1"/>
  <c r="F54" i="4"/>
  <c r="F208" i="8" s="1" a="1"/>
  <c r="F208" i="8" s="1"/>
  <c r="E54" i="4" a="1"/>
  <c r="E54" i="4"/>
  <c r="D54" i="4" a="1"/>
  <c r="D54" i="4"/>
  <c r="G53" i="4" a="1"/>
  <c r="G53" i="4"/>
  <c r="F53" i="4" a="1"/>
  <c r="F53" i="4"/>
  <c r="F207" i="8" s="1" a="1"/>
  <c r="F207" i="8" s="1"/>
  <c r="E53" i="4" a="1"/>
  <c r="E53" i="4"/>
  <c r="D53" i="4" a="1"/>
  <c r="D53" i="4"/>
  <c r="G52" i="4" a="1"/>
  <c r="G52" i="4"/>
  <c r="F52" i="4" a="1"/>
  <c r="F52" i="4"/>
  <c r="F206" i="8" s="1" a="1"/>
  <c r="F206" i="8" s="1"/>
  <c r="E52" i="4" a="1"/>
  <c r="E52" i="4"/>
  <c r="D52" i="4" a="1"/>
  <c r="D52" i="4"/>
  <c r="G51" i="4" a="1"/>
  <c r="G51" i="4"/>
  <c r="F51" i="4" a="1"/>
  <c r="F51" i="4"/>
  <c r="F205" i="8" s="1" a="1"/>
  <c r="F205" i="8" s="1"/>
  <c r="E51" i="4" a="1"/>
  <c r="E51" i="4"/>
  <c r="D51" i="4" a="1"/>
  <c r="D51" i="4"/>
  <c r="G50" i="4" a="1"/>
  <c r="G50" i="4"/>
  <c r="F50" i="4" a="1"/>
  <c r="F50" i="4"/>
  <c r="F204" i="8" s="1" a="1"/>
  <c r="F204" i="8" s="1"/>
  <c r="E50" i="4" a="1"/>
  <c r="E50" i="4"/>
  <c r="D50" i="4" a="1"/>
  <c r="D50" i="4"/>
  <c r="G49" i="4" a="1"/>
  <c r="G49" i="4"/>
  <c r="I49" i="4" s="1" a="1"/>
  <c r="I49" i="4" s="1"/>
  <c r="I203" i="8" s="1" a="1"/>
  <c r="I203" i="8" s="1"/>
  <c r="F49" i="4" a="1"/>
  <c r="F49" i="4"/>
  <c r="E49" i="4" a="1"/>
  <c r="E49" i="4"/>
  <c r="D49" i="4" a="1"/>
  <c r="D49" i="4"/>
  <c r="J49" i="4" s="1" a="1"/>
  <c r="J49" i="4" s="1"/>
  <c r="J203" i="8" s="1" a="1"/>
  <c r="J203" i="8" s="1"/>
  <c r="G48" i="4" a="1"/>
  <c r="G48" i="4"/>
  <c r="I48" i="4" s="1" a="1"/>
  <c r="I48" i="4" s="1"/>
  <c r="I202" i="8" s="1" a="1"/>
  <c r="I202" i="8" s="1"/>
  <c r="F48" i="4" a="1"/>
  <c r="F48" i="4"/>
  <c r="E48" i="4" a="1"/>
  <c r="E48" i="4"/>
  <c r="D48" i="4" a="1"/>
  <c r="D48" i="4"/>
  <c r="J48" i="4" s="1" a="1"/>
  <c r="J48" i="4" s="1"/>
  <c r="J202" i="8" s="1" a="1"/>
  <c r="J202" i="8" s="1"/>
  <c r="G47" i="4" a="1"/>
  <c r="G47" i="4"/>
  <c r="I47" i="4" s="1" a="1"/>
  <c r="I47" i="4" s="1"/>
  <c r="I201" i="8" s="1" a="1"/>
  <c r="I201" i="8" s="1"/>
  <c r="F47" i="4" a="1"/>
  <c r="F47" i="4"/>
  <c r="E47" i="4" a="1"/>
  <c r="E47" i="4"/>
  <c r="D47" i="4" a="1"/>
  <c r="D47" i="4"/>
  <c r="J47" i="4" s="1" a="1"/>
  <c r="J47" i="4" s="1"/>
  <c r="J201" i="8" s="1" a="1"/>
  <c r="J201" i="8" s="1"/>
  <c r="G46" i="4" a="1"/>
  <c r="G46" i="4"/>
  <c r="I46" i="4" s="1" a="1"/>
  <c r="I46" i="4" s="1"/>
  <c r="I200" i="8" s="1" a="1"/>
  <c r="I200" i="8" s="1"/>
  <c r="F46" i="4" a="1"/>
  <c r="F46" i="4"/>
  <c r="E46" i="4" a="1"/>
  <c r="E46" i="4"/>
  <c r="D46" i="4" a="1"/>
  <c r="D46" i="4"/>
  <c r="J46" i="4" s="1" a="1"/>
  <c r="J46" i="4" s="1"/>
  <c r="J200" i="8" s="1" a="1"/>
  <c r="J200" i="8" s="1"/>
  <c r="G45" i="4" a="1"/>
  <c r="G45" i="4"/>
  <c r="I45" i="4" s="1" a="1"/>
  <c r="I45" i="4" s="1"/>
  <c r="I199" i="8" s="1" a="1"/>
  <c r="I199" i="8" s="1"/>
  <c r="F45" i="4" a="1"/>
  <c r="F45" i="4"/>
  <c r="E45" i="4" a="1"/>
  <c r="E45" i="4"/>
  <c r="D45" i="4" a="1"/>
  <c r="D45" i="4"/>
  <c r="J45" i="4" s="1" a="1"/>
  <c r="J45" i="4" s="1"/>
  <c r="J199" i="8" s="1" a="1"/>
  <c r="J199" i="8" s="1"/>
  <c r="G44" i="4" a="1"/>
  <c r="G44" i="4"/>
  <c r="I44" i="4" s="1" a="1"/>
  <c r="I44" i="4" s="1"/>
  <c r="I198" i="8" s="1" a="1"/>
  <c r="I198" i="8" s="1"/>
  <c r="F44" i="4" a="1"/>
  <c r="F44" i="4"/>
  <c r="E44" i="4" a="1"/>
  <c r="E44" i="4"/>
  <c r="D44" i="4" a="1"/>
  <c r="D44" i="4"/>
  <c r="J44" i="4" s="1" a="1"/>
  <c r="J44" i="4" s="1"/>
  <c r="J198" i="8" s="1" a="1"/>
  <c r="J198" i="8" s="1"/>
  <c r="G43" i="4" a="1"/>
  <c r="G43" i="4"/>
  <c r="I43" i="4" s="1" a="1"/>
  <c r="I43" i="4" s="1"/>
  <c r="I197" i="8" s="1" a="1"/>
  <c r="I197" i="8" s="1"/>
  <c r="F43" i="4" a="1"/>
  <c r="F43" i="4"/>
  <c r="E43" i="4" a="1"/>
  <c r="E43" i="4"/>
  <c r="D43" i="4" a="1"/>
  <c r="D43" i="4"/>
  <c r="J43" i="4" s="1" a="1"/>
  <c r="J43" i="4" s="1"/>
  <c r="J197" i="8" s="1" a="1"/>
  <c r="J197" i="8" s="1"/>
  <c r="G42" i="4" a="1"/>
  <c r="G42" i="4"/>
  <c r="I42" i="4" s="1" a="1"/>
  <c r="I42" i="4" s="1"/>
  <c r="I196" i="8" s="1" a="1"/>
  <c r="I196" i="8" s="1"/>
  <c r="F42" i="4" a="1"/>
  <c r="F42" i="4"/>
  <c r="E42" i="4" a="1"/>
  <c r="E42" i="4"/>
  <c r="D42" i="4" a="1"/>
  <c r="D42" i="4"/>
  <c r="J42" i="4" s="1" a="1"/>
  <c r="J42" i="4" s="1"/>
  <c r="J196" i="8" s="1" a="1"/>
  <c r="J196" i="8" s="1"/>
  <c r="G41" i="4" a="1"/>
  <c r="G41" i="4"/>
  <c r="I41" i="4" s="1" a="1"/>
  <c r="I41" i="4" s="1"/>
  <c r="I195" i="8" s="1" a="1"/>
  <c r="I195" i="8" s="1"/>
  <c r="F41" i="4" a="1"/>
  <c r="F41" i="4"/>
  <c r="E41" i="4" a="1"/>
  <c r="E41" i="4"/>
  <c r="D41" i="4" a="1"/>
  <c r="D41" i="4"/>
  <c r="J41" i="4" s="1" a="1"/>
  <c r="J41" i="4" s="1"/>
  <c r="J195" i="8" s="1" a="1"/>
  <c r="J195" i="8" s="1"/>
  <c r="G40" i="4" a="1"/>
  <c r="G40" i="4"/>
  <c r="I40" i="4" s="1" a="1"/>
  <c r="I40" i="4" s="1"/>
  <c r="I194" i="8" s="1" a="1"/>
  <c r="I194" i="8" s="1"/>
  <c r="F40" i="4" a="1"/>
  <c r="F40" i="4"/>
  <c r="E40" i="4" a="1"/>
  <c r="E40" i="4"/>
  <c r="D40" i="4" a="1"/>
  <c r="D40" i="4"/>
  <c r="J40" i="4" s="1" a="1"/>
  <c r="J40" i="4" s="1"/>
  <c r="J194" i="8" s="1" a="1"/>
  <c r="J194" i="8" s="1"/>
  <c r="G39" i="4" a="1"/>
  <c r="G39" i="4"/>
  <c r="I39" i="4" s="1" a="1"/>
  <c r="I39" i="4" s="1"/>
  <c r="I193" i="8" s="1" a="1"/>
  <c r="I193" i="8" s="1"/>
  <c r="F39" i="4" a="1"/>
  <c r="F39" i="4"/>
  <c r="E39" i="4" a="1"/>
  <c r="E39" i="4"/>
  <c r="D39" i="4" a="1"/>
  <c r="D39" i="4"/>
  <c r="J39" i="4" s="1" a="1"/>
  <c r="J39" i="4" s="1"/>
  <c r="J193" i="8" s="1" a="1"/>
  <c r="J193" i="8" s="1"/>
  <c r="G38" i="4" a="1"/>
  <c r="G38" i="4"/>
  <c r="I38" i="4" s="1" a="1"/>
  <c r="I38" i="4" s="1"/>
  <c r="I192" i="8" s="1" a="1"/>
  <c r="I192" i="8" s="1"/>
  <c r="F38" i="4" a="1"/>
  <c r="F38" i="4"/>
  <c r="E38" i="4" a="1"/>
  <c r="E38" i="4"/>
  <c r="D38" i="4" a="1"/>
  <c r="D38" i="4"/>
  <c r="J38" i="4" s="1" a="1"/>
  <c r="J38" i="4" s="1"/>
  <c r="J192" i="8" s="1" a="1"/>
  <c r="J192" i="8" s="1"/>
  <c r="G37" i="4" a="1"/>
  <c r="G37" i="4"/>
  <c r="I37" i="4" s="1" a="1"/>
  <c r="I37" i="4" s="1"/>
  <c r="I191" i="8" s="1" a="1"/>
  <c r="I191" i="8" s="1"/>
  <c r="F37" i="4" a="1"/>
  <c r="F37" i="4"/>
  <c r="E37" i="4" a="1"/>
  <c r="E37" i="4"/>
  <c r="D37" i="4" a="1"/>
  <c r="D37" i="4"/>
  <c r="J37" i="4" s="1" a="1"/>
  <c r="J37" i="4" s="1"/>
  <c r="J191" i="8" s="1" a="1"/>
  <c r="J191" i="8" s="1"/>
  <c r="G36" i="4" a="1"/>
  <c r="G36" i="4"/>
  <c r="I36" i="4" s="1" a="1"/>
  <c r="I36" i="4" s="1"/>
  <c r="I190" i="8" s="1" a="1"/>
  <c r="I190" i="8" s="1"/>
  <c r="F36" i="4" a="1"/>
  <c r="F36" i="4"/>
  <c r="E36" i="4" a="1"/>
  <c r="E36" i="4"/>
  <c r="D36" i="4" a="1"/>
  <c r="D36" i="4"/>
  <c r="J36" i="4" s="1" a="1"/>
  <c r="J36" i="4" s="1"/>
  <c r="J190" i="8" s="1" a="1"/>
  <c r="J190" i="8" s="1"/>
  <c r="G35" i="4" a="1"/>
  <c r="G35" i="4"/>
  <c r="I35" i="4" s="1" a="1"/>
  <c r="I35" i="4" s="1"/>
  <c r="I189" i="8" s="1" a="1"/>
  <c r="I189" i="8" s="1"/>
  <c r="F35" i="4" a="1"/>
  <c r="F35" i="4"/>
  <c r="E35" i="4" a="1"/>
  <c r="E35" i="4"/>
  <c r="D35" i="4" a="1"/>
  <c r="D35" i="4"/>
  <c r="J35" i="4" s="1" a="1"/>
  <c r="J35" i="4" s="1"/>
  <c r="J189" i="8" s="1" a="1"/>
  <c r="J189" i="8" s="1"/>
  <c r="G34" i="4" a="1"/>
  <c r="G34" i="4"/>
  <c r="I34" i="4" s="1" a="1"/>
  <c r="I34" i="4" s="1"/>
  <c r="I188" i="8" s="1" a="1"/>
  <c r="I188" i="8" s="1"/>
  <c r="F34" i="4" a="1"/>
  <c r="F34" i="4"/>
  <c r="E34" i="4" a="1"/>
  <c r="E34" i="4"/>
  <c r="D34" i="4" a="1"/>
  <c r="D34" i="4"/>
  <c r="J34" i="4" s="1" a="1"/>
  <c r="J34" i="4" s="1"/>
  <c r="J188" i="8" s="1" a="1"/>
  <c r="J188" i="8" s="1"/>
  <c r="G33" i="4" a="1"/>
  <c r="G33" i="4"/>
  <c r="I33" i="4" s="1" a="1"/>
  <c r="I33" i="4" s="1"/>
  <c r="I187" i="8" s="1" a="1"/>
  <c r="I187" i="8" s="1"/>
  <c r="F33" i="4" a="1"/>
  <c r="F33" i="4"/>
  <c r="E33" i="4" a="1"/>
  <c r="E33" i="4"/>
  <c r="D33" i="4" a="1"/>
  <c r="D33" i="4"/>
  <c r="J33" i="4" s="1" a="1"/>
  <c r="J33" i="4" s="1"/>
  <c r="J187" i="8" s="1" a="1"/>
  <c r="J187" i="8" s="1"/>
  <c r="G32" i="4" a="1"/>
  <c r="G32" i="4"/>
  <c r="I32" i="4" s="1" a="1"/>
  <c r="I32" i="4" s="1"/>
  <c r="I186" i="8" s="1" a="1"/>
  <c r="I186" i="8" s="1"/>
  <c r="F32" i="4" a="1"/>
  <c r="F32" i="4"/>
  <c r="E32" i="4" a="1"/>
  <c r="E32" i="4"/>
  <c r="D32" i="4" a="1"/>
  <c r="D32" i="4"/>
  <c r="J32" i="4" s="1" a="1"/>
  <c r="J32" i="4" s="1"/>
  <c r="J186" i="8" s="1" a="1"/>
  <c r="J186" i="8" s="1"/>
  <c r="G31" i="4" a="1"/>
  <c r="G31" i="4"/>
  <c r="I31" i="4" s="1" a="1"/>
  <c r="I31" i="4" s="1"/>
  <c r="I185" i="8" s="1" a="1"/>
  <c r="I185" i="8" s="1"/>
  <c r="F31" i="4" a="1"/>
  <c r="F31" i="4"/>
  <c r="E31" i="4" a="1"/>
  <c r="E31" i="4"/>
  <c r="D31" i="4" a="1"/>
  <c r="D31" i="4"/>
  <c r="J31" i="4" s="1" a="1"/>
  <c r="J31" i="4" s="1"/>
  <c r="J185" i="8" s="1" a="1"/>
  <c r="J185" i="8" s="1"/>
  <c r="G30" i="4" a="1"/>
  <c r="G30" i="4"/>
  <c r="I30" i="4" s="1" a="1"/>
  <c r="I30" i="4" s="1"/>
  <c r="I184" i="8" s="1" a="1"/>
  <c r="I184" i="8" s="1"/>
  <c r="F30" i="4" a="1"/>
  <c r="F30" i="4"/>
  <c r="E30" i="4" a="1"/>
  <c r="E30" i="4"/>
  <c r="D30" i="4" a="1"/>
  <c r="D30" i="4"/>
  <c r="J30" i="4" s="1" a="1"/>
  <c r="J30" i="4" s="1"/>
  <c r="J184" i="8" s="1" a="1"/>
  <c r="J184" i="8" s="1"/>
  <c r="G29" i="4" a="1"/>
  <c r="G29" i="4"/>
  <c r="I29" i="4" s="1" a="1"/>
  <c r="I29" i="4" s="1"/>
  <c r="I183" i="8" s="1" a="1"/>
  <c r="I183" i="8" s="1"/>
  <c r="F29" i="4" a="1"/>
  <c r="F29" i="4"/>
  <c r="E29" i="4" a="1"/>
  <c r="E29" i="4"/>
  <c r="D29" i="4" a="1"/>
  <c r="D29" i="4"/>
  <c r="J29" i="4" s="1" a="1"/>
  <c r="J29" i="4" s="1"/>
  <c r="J183" i="8" s="1" a="1"/>
  <c r="J183" i="8" s="1"/>
  <c r="G28" i="4" a="1"/>
  <c r="G28" i="4"/>
  <c r="I28" i="4" s="1" a="1"/>
  <c r="I28" i="4" s="1"/>
  <c r="I182" i="8" s="1" a="1"/>
  <c r="I182" i="8" s="1"/>
  <c r="F28" i="4" a="1"/>
  <c r="F28" i="4"/>
  <c r="E28" i="4" a="1"/>
  <c r="E28" i="4"/>
  <c r="D28" i="4" a="1"/>
  <c r="D28" i="4"/>
  <c r="J28" i="4" s="1" a="1"/>
  <c r="J28" i="4" s="1"/>
  <c r="J182" i="8" s="1" a="1"/>
  <c r="J182" i="8" s="1"/>
  <c r="G27" i="4" a="1"/>
  <c r="G27" i="4"/>
  <c r="I27" i="4" s="1" a="1"/>
  <c r="I27" i="4" s="1"/>
  <c r="I181" i="8" s="1" a="1"/>
  <c r="I181" i="8" s="1"/>
  <c r="F27" i="4" a="1"/>
  <c r="F27" i="4"/>
  <c r="E27" i="4" a="1"/>
  <c r="E27" i="4"/>
  <c r="D27" i="4" a="1"/>
  <c r="D27" i="4" s="1"/>
  <c r="G26" i="4" a="1"/>
  <c r="G26" i="4" s="1"/>
  <c r="F26" i="4" a="1"/>
  <c r="F26" i="4" s="1"/>
  <c r="F180" i="8" s="1" a="1"/>
  <c r="F180" i="8" s="1"/>
  <c r="E26" i="4" a="1"/>
  <c r="E26" i="4" s="1"/>
  <c r="D26" i="4" a="1"/>
  <c r="D26" i="4" s="1"/>
  <c r="G25" i="4" a="1"/>
  <c r="G25" i="4" s="1"/>
  <c r="F25" i="4" a="1"/>
  <c r="F25" i="4"/>
  <c r="E25" i="4" a="1"/>
  <c r="E25" i="4" s="1"/>
  <c r="D25" i="4" a="1"/>
  <c r="D25" i="4"/>
  <c r="J25" i="4" s="1" a="1"/>
  <c r="J25" i="4" s="1"/>
  <c r="J179" i="8" s="1" a="1"/>
  <c r="J179" i="8" s="1"/>
  <c r="G24" i="4" a="1"/>
  <c r="G24" i="4" s="1"/>
  <c r="F24" i="4" a="1"/>
  <c r="F24" i="4"/>
  <c r="E24" i="4" a="1"/>
  <c r="E24" i="4" s="1"/>
  <c r="D24" i="4" a="1"/>
  <c r="D24" i="4" s="1"/>
  <c r="G23" i="4" a="1"/>
  <c r="G23" i="4" s="1"/>
  <c r="F23" i="4" a="1"/>
  <c r="F23" i="4"/>
  <c r="E23" i="4" a="1"/>
  <c r="E23" i="4" s="1"/>
  <c r="D23" i="4" a="1"/>
  <c r="D23" i="4"/>
  <c r="J23" i="4" s="1" a="1"/>
  <c r="J23" i="4" s="1"/>
  <c r="J177" i="8" s="1" a="1"/>
  <c r="J177" i="8" s="1"/>
  <c r="G22" i="4" a="1"/>
  <c r="G22" i="4" s="1"/>
  <c r="F22" i="4" a="1"/>
  <c r="F22" i="4" s="1"/>
  <c r="F176" i="8" s="1" a="1"/>
  <c r="F176" i="8" s="1"/>
  <c r="E22" i="4" a="1"/>
  <c r="E22" i="4" s="1"/>
  <c r="D22" i="4" a="1"/>
  <c r="D22" i="4" s="1"/>
  <c r="G21" i="4" a="1"/>
  <c r="G21" i="4" s="1"/>
  <c r="F21" i="4" a="1"/>
  <c r="F21" i="4"/>
  <c r="E21" i="4" a="1"/>
  <c r="E21" i="4" s="1"/>
  <c r="D21" i="4" a="1"/>
  <c r="D21" i="4"/>
  <c r="J21" i="4" s="1" a="1"/>
  <c r="J21" i="4" s="1"/>
  <c r="J175" i="8" s="1" a="1"/>
  <c r="J175" i="8" s="1"/>
  <c r="G20" i="4" a="1"/>
  <c r="G20" i="4" s="1"/>
  <c r="F20" i="4" a="1"/>
  <c r="F20" i="4" s="1"/>
  <c r="F174" i="8" s="1" a="1"/>
  <c r="F174" i="8" s="1"/>
  <c r="E20" i="4" a="1"/>
  <c r="E20" i="4" s="1"/>
  <c r="D20" i="4" a="1"/>
  <c r="D20" i="4" s="1"/>
  <c r="G19" i="4" a="1"/>
  <c r="G19" i="4" s="1"/>
  <c r="F19" i="4" a="1"/>
  <c r="F19" i="4"/>
  <c r="E19" i="4" a="1"/>
  <c r="E19" i="4" s="1"/>
  <c r="D19" i="4" a="1"/>
  <c r="D19" i="4"/>
  <c r="J19" i="4" s="1" a="1"/>
  <c r="J19" i="4" s="1"/>
  <c r="J173" i="8" s="1" a="1"/>
  <c r="J173" i="8" s="1"/>
  <c r="G18" i="4" a="1"/>
  <c r="G18" i="4" s="1"/>
  <c r="F18" i="4" a="1"/>
  <c r="F18" i="4" s="1"/>
  <c r="F172" i="8" s="1" a="1"/>
  <c r="F172" i="8" s="1"/>
  <c r="E18" i="4" a="1"/>
  <c r="E18" i="4" s="1"/>
  <c r="D18" i="4" a="1"/>
  <c r="D18" i="4" s="1"/>
  <c r="G17" i="4" a="1"/>
  <c r="G17" i="4"/>
  <c r="I17" i="4" s="1" a="1"/>
  <c r="I17" i="4" s="1"/>
  <c r="I171" i="8" s="1" a="1"/>
  <c r="I171" i="8" s="1"/>
  <c r="F17" i="4" a="1"/>
  <c r="F17" i="4"/>
  <c r="E17" i="4" a="1"/>
  <c r="E17" i="4"/>
  <c r="D17" i="4" a="1"/>
  <c r="D17" i="4"/>
  <c r="J17" i="4" s="1" a="1"/>
  <c r="J17" i="4" s="1"/>
  <c r="J171" i="8" s="1" a="1"/>
  <c r="J171" i="8" s="1"/>
  <c r="G16" i="4" a="1"/>
  <c r="G16" i="4"/>
  <c r="I16" i="4" s="1" a="1"/>
  <c r="I16" i="4" s="1"/>
  <c r="I170" i="8" s="1" a="1"/>
  <c r="I170" i="8" s="1"/>
  <c r="F16" i="4" a="1"/>
  <c r="F16" i="4"/>
  <c r="E16" i="4" a="1"/>
  <c r="E16" i="4"/>
  <c r="D16" i="4" a="1"/>
  <c r="D16" i="4"/>
  <c r="J16" i="4" s="1" a="1"/>
  <c r="J16" i="4" s="1"/>
  <c r="J170" i="8" s="1" a="1"/>
  <c r="J170" i="8" s="1"/>
  <c r="G15" i="4" a="1"/>
  <c r="G15" i="4"/>
  <c r="I15" i="4" s="1" a="1"/>
  <c r="I15" i="4" s="1"/>
  <c r="I169" i="8" s="1" a="1"/>
  <c r="I169" i="8" s="1"/>
  <c r="F15" i="4" a="1"/>
  <c r="F15" i="4"/>
  <c r="E15" i="4" a="1"/>
  <c r="E15" i="4"/>
  <c r="D15" i="4" a="1"/>
  <c r="D15" i="4"/>
  <c r="J15" i="4" s="1" a="1"/>
  <c r="J15" i="4" s="1"/>
  <c r="J169" i="8" s="1" a="1"/>
  <c r="J169" i="8" s="1"/>
  <c r="G14" i="4" a="1"/>
  <c r="G14" i="4"/>
  <c r="I14" i="4" s="1" a="1"/>
  <c r="I14" i="4" s="1"/>
  <c r="I168" i="8" s="1" a="1"/>
  <c r="I168" i="8" s="1"/>
  <c r="F14" i="4" a="1"/>
  <c r="F14" i="4"/>
  <c r="E14" i="4" a="1"/>
  <c r="E14" i="4"/>
  <c r="D14" i="4" a="1"/>
  <c r="D14" i="4"/>
  <c r="J14" i="4" s="1" a="1"/>
  <c r="J14" i="4" s="1"/>
  <c r="J168" i="8" s="1" a="1"/>
  <c r="J168" i="8" s="1"/>
  <c r="G13" i="4" a="1"/>
  <c r="G13" i="4"/>
  <c r="I13" i="4" s="1" a="1"/>
  <c r="I13" i="4" s="1"/>
  <c r="I167" i="8" s="1" a="1"/>
  <c r="I167" i="8" s="1"/>
  <c r="F13" i="4" a="1"/>
  <c r="F13" i="4"/>
  <c r="E13" i="4" a="1"/>
  <c r="E13" i="4"/>
  <c r="D13" i="4" a="1"/>
  <c r="D13" i="4"/>
  <c r="J13" i="4" s="1" a="1"/>
  <c r="J13" i="4" s="1"/>
  <c r="J167" i="8" s="1" a="1"/>
  <c r="J167" i="8" s="1"/>
  <c r="G12" i="4" a="1"/>
  <c r="G12" i="4"/>
  <c r="I12" i="4" s="1" a="1"/>
  <c r="I12" i="4" s="1"/>
  <c r="I166" i="8" s="1" a="1"/>
  <c r="I166" i="8" s="1"/>
  <c r="F12" i="4" a="1"/>
  <c r="F12" i="4"/>
  <c r="E12" i="4" a="1"/>
  <c r="E12" i="4"/>
  <c r="D12" i="4" a="1"/>
  <c r="D12" i="4"/>
  <c r="J12" i="4" s="1" a="1"/>
  <c r="J12" i="4" s="1"/>
  <c r="J166" i="8" s="1" a="1"/>
  <c r="J166" i="8" s="1"/>
  <c r="G11" i="4" a="1"/>
  <c r="G11" i="4"/>
  <c r="I11" i="4" s="1" a="1"/>
  <c r="I11" i="4" s="1"/>
  <c r="I165" i="8" s="1" a="1"/>
  <c r="I165" i="8" s="1"/>
  <c r="F11" i="4" a="1"/>
  <c r="F11" i="4"/>
  <c r="E11" i="4" a="1"/>
  <c r="E11" i="4"/>
  <c r="D11" i="4" a="1"/>
  <c r="D11" i="4"/>
  <c r="J11" i="4" s="1" a="1"/>
  <c r="J11" i="4" s="1"/>
  <c r="J165" i="8" s="1" a="1"/>
  <c r="J165" i="8" s="1"/>
  <c r="G10" i="4" a="1"/>
  <c r="G10" i="4"/>
  <c r="I10" i="4" s="1" a="1"/>
  <c r="I10" i="4" s="1"/>
  <c r="I164" i="8" s="1" a="1"/>
  <c r="I164" i="8" s="1"/>
  <c r="F10" i="4" a="1"/>
  <c r="F10" i="4"/>
  <c r="E10" i="4" a="1"/>
  <c r="E10" i="4"/>
  <c r="D10" i="4" a="1"/>
  <c r="D10" i="4"/>
  <c r="J10" i="4" s="1" a="1"/>
  <c r="J10" i="4" s="1"/>
  <c r="J164" i="8" s="1" a="1"/>
  <c r="J164" i="8" s="1"/>
  <c r="G9" i="4" a="1"/>
  <c r="G9" i="4"/>
  <c r="F9" i="4" a="1"/>
  <c r="F9" i="4" s="1"/>
  <c r="F163" i="8" s="1" a="1"/>
  <c r="F163" i="8" s="1"/>
  <c r="E9" i="4" a="1"/>
  <c r="E9" i="4" s="1"/>
  <c r="D9" i="4" a="1"/>
  <c r="D9" i="4" s="1"/>
  <c r="G8" i="4" a="1"/>
  <c r="G8" i="4"/>
  <c r="F8" i="4" a="1"/>
  <c r="F8" i="4" s="1"/>
  <c r="F162" i="8" s="1" a="1"/>
  <c r="F162" i="8" s="1"/>
  <c r="E8" i="4" a="1"/>
  <c r="E8" i="4" s="1"/>
  <c r="D8" i="4" a="1"/>
  <c r="D8" i="4" s="1"/>
  <c r="G7" i="4" a="1"/>
  <c r="G7" i="4" s="1"/>
  <c r="F7" i="4" a="1"/>
  <c r="F7" i="4"/>
  <c r="F107" i="4" s="1" a="1"/>
  <c r="F107" i="4" s="1"/>
  <c r="F261" i="8" s="1" a="1"/>
  <c r="F261" i="8" s="1"/>
  <c r="E7" i="4" a="1"/>
  <c r="E7" i="4" s="1"/>
  <c r="D7" i="4" a="1"/>
  <c r="D7" i="4" s="1"/>
  <c r="B3" i="4" a="1"/>
  <c r="B3" i="4" s="1"/>
  <c r="L109" i="3" a="1"/>
  <c r="L109" i="3" s="1"/>
  <c r="I70" i="3" a="1"/>
  <c r="I70" i="3" s="1"/>
  <c r="H70" i="3" a="1"/>
  <c r="H70" i="3" s="1"/>
  <c r="C59" i="3" a="1"/>
  <c r="C59" i="3" s="1"/>
  <c r="C158" i="8" s="1" a="1"/>
  <c r="C158" i="8" s="1"/>
  <c r="I56" i="3" a="1"/>
  <c r="I56" i="3"/>
  <c r="H56" i="3" a="1"/>
  <c r="H56" i="3" s="1"/>
  <c r="H156" i="8" s="1" a="1"/>
  <c r="H156" i="8" s="1"/>
  <c r="I55" i="3" a="1"/>
  <c r="I55" i="3" s="1"/>
  <c r="I155" i="8" s="1" a="1"/>
  <c r="I155" i="8" s="1"/>
  <c r="H55" i="3" a="1"/>
  <c r="H55" i="3"/>
  <c r="H155" i="8" s="1" a="1"/>
  <c r="H155" i="8" s="1"/>
  <c r="I54" i="3" a="1"/>
  <c r="I54" i="3" s="1"/>
  <c r="I154" i="8" s="1" a="1"/>
  <c r="I154" i="8" s="1"/>
  <c r="H54" i="3" a="1"/>
  <c r="H54" i="3" s="1"/>
  <c r="H154" i="8" s="1" a="1"/>
  <c r="H154" i="8" s="1"/>
  <c r="I53" i="3" a="1"/>
  <c r="I53" i="3" s="1"/>
  <c r="I153" i="8" s="1" a="1"/>
  <c r="I153" i="8" s="1"/>
  <c r="H53" i="3" a="1"/>
  <c r="H53" i="3"/>
  <c r="H153" i="8" s="1" a="1"/>
  <c r="H153" i="8" s="1"/>
  <c r="I52" i="3" a="1"/>
  <c r="I52" i="3" s="1"/>
  <c r="I152" i="8" s="1" a="1"/>
  <c r="I152" i="8" s="1"/>
  <c r="H52" i="3" a="1"/>
  <c r="H52" i="3" s="1"/>
  <c r="H152" i="8" s="1" a="1"/>
  <c r="H152" i="8" s="1"/>
  <c r="I51" i="3" a="1"/>
  <c r="I51" i="3" s="1"/>
  <c r="I151" i="8" s="1" a="1"/>
  <c r="I151" i="8" s="1"/>
  <c r="H51" i="3" a="1"/>
  <c r="H51" i="3"/>
  <c r="H151" i="8" s="1" a="1"/>
  <c r="H151" i="8" s="1"/>
  <c r="I50" i="3" a="1"/>
  <c r="I50" i="3" s="1"/>
  <c r="I150" i="8" s="1" a="1"/>
  <c r="I150" i="8" s="1"/>
  <c r="H50" i="3" a="1"/>
  <c r="H50" i="3"/>
  <c r="H150" i="8" s="1" a="1"/>
  <c r="H150" i="8" s="1"/>
  <c r="I49" i="3" a="1"/>
  <c r="I49" i="3" s="1"/>
  <c r="I149" i="8" s="1" a="1"/>
  <c r="I149" i="8" s="1"/>
  <c r="H49" i="3" a="1"/>
  <c r="H49" i="3" s="1"/>
  <c r="H149" i="8" s="1" a="1"/>
  <c r="H149" i="8" s="1"/>
  <c r="I48" i="3" a="1"/>
  <c r="I48" i="3" s="1"/>
  <c r="I148" i="8" s="1" a="1"/>
  <c r="I148" i="8" s="1"/>
  <c r="H48" i="3" a="1"/>
  <c r="H48" i="3"/>
  <c r="H148" i="8" s="1" a="1"/>
  <c r="H148" i="8" s="1"/>
  <c r="I47" i="3" a="1"/>
  <c r="I47" i="3" s="1"/>
  <c r="I147" i="8" s="1" a="1"/>
  <c r="I147" i="8" s="1"/>
  <c r="H47" i="3" a="1"/>
  <c r="H47" i="3"/>
  <c r="H147" i="8" s="1" a="1"/>
  <c r="H147" i="8" s="1"/>
  <c r="I46" i="3" a="1"/>
  <c r="I46" i="3" s="1"/>
  <c r="I146" i="8" s="1" a="1"/>
  <c r="I146" i="8" s="1"/>
  <c r="H46" i="3" a="1"/>
  <c r="H46" i="3"/>
  <c r="H146" i="8" s="1" a="1"/>
  <c r="H146" i="8" s="1"/>
  <c r="I45" i="3" a="1"/>
  <c r="I45" i="3" s="1"/>
  <c r="I145" i="8" s="1" a="1"/>
  <c r="I145" i="8" s="1"/>
  <c r="H45" i="3" a="1"/>
  <c r="H45" i="3"/>
  <c r="H145" i="8" s="1" a="1"/>
  <c r="H145" i="8" s="1"/>
  <c r="I44" i="3" a="1"/>
  <c r="I44" i="3" s="1"/>
  <c r="I144" i="8" s="1" a="1"/>
  <c r="I144" i="8" s="1"/>
  <c r="H44" i="3" a="1"/>
  <c r="H44" i="3"/>
  <c r="H144" i="8" s="1" a="1"/>
  <c r="H144" i="8" s="1"/>
  <c r="I43" i="3" a="1"/>
  <c r="I43" i="3" s="1"/>
  <c r="I143" i="8" s="1" a="1"/>
  <c r="I143" i="8" s="1"/>
  <c r="H43" i="3" a="1"/>
  <c r="H43" i="3"/>
  <c r="H143" i="8" s="1" a="1"/>
  <c r="H143" i="8" s="1"/>
  <c r="I42" i="3" a="1"/>
  <c r="I42" i="3" s="1"/>
  <c r="I142" i="8" s="1" a="1"/>
  <c r="I142" i="8" s="1"/>
  <c r="H42" i="3" a="1"/>
  <c r="H42" i="3" s="1"/>
  <c r="H142" i="8" s="1" a="1"/>
  <c r="H142" i="8" s="1"/>
  <c r="I41" i="3" a="1"/>
  <c r="I41" i="3" s="1"/>
  <c r="I141" i="8" s="1" a="1"/>
  <c r="I141" i="8" s="1"/>
  <c r="H41" i="3" a="1"/>
  <c r="H41" i="3"/>
  <c r="H141" i="8" s="1" a="1"/>
  <c r="H141" i="8" s="1"/>
  <c r="I40" i="3" a="1"/>
  <c r="I40" i="3" s="1"/>
  <c r="I140" i="8" s="1" a="1"/>
  <c r="I140" i="8" s="1"/>
  <c r="H40" i="3" a="1"/>
  <c r="H40" i="3"/>
  <c r="H140" i="8" s="1" a="1"/>
  <c r="H140" i="8" s="1"/>
  <c r="I39" i="3" a="1"/>
  <c r="I39" i="3"/>
  <c r="I139" i="8" s="1" a="1"/>
  <c r="I139" i="8" s="1"/>
  <c r="H39" i="3" a="1"/>
  <c r="H39" i="3" s="1"/>
  <c r="H139" i="8" s="1" a="1"/>
  <c r="H139" i="8" s="1"/>
  <c r="I38" i="3" a="1"/>
  <c r="I38" i="3"/>
  <c r="I138" i="8" s="1" a="1"/>
  <c r="I138" i="8" s="1"/>
  <c r="H38" i="3" a="1"/>
  <c r="H38" i="3"/>
  <c r="H138" i="8" s="1" a="1"/>
  <c r="H138" i="8" s="1"/>
  <c r="I37" i="3" a="1"/>
  <c r="I37" i="3"/>
  <c r="I137" i="8" s="1" a="1"/>
  <c r="I137" i="8" s="1"/>
  <c r="H37" i="3" a="1"/>
  <c r="H37" i="3"/>
  <c r="H137" i="8" s="1" a="1"/>
  <c r="H137" i="8" s="1"/>
  <c r="I36" i="3" a="1"/>
  <c r="I36" i="3"/>
  <c r="I136" i="8" s="1" a="1"/>
  <c r="I136" i="8" s="1"/>
  <c r="H36" i="3" a="1"/>
  <c r="H36" i="3"/>
  <c r="H136" i="8" s="1" a="1"/>
  <c r="H136" i="8" s="1"/>
  <c r="I35" i="3" a="1"/>
  <c r="I35" i="3"/>
  <c r="I135" i="8" s="1" a="1"/>
  <c r="I135" i="8" s="1"/>
  <c r="H35" i="3" a="1"/>
  <c r="H35" i="3"/>
  <c r="H135" i="8" s="1" a="1"/>
  <c r="H135" i="8" s="1"/>
  <c r="I34" i="3" a="1"/>
  <c r="I34" i="3"/>
  <c r="I134" i="8" s="1" a="1"/>
  <c r="I134" i="8" s="1"/>
  <c r="H34" i="3" a="1"/>
  <c r="H34" i="3"/>
  <c r="H134" i="8" s="1" a="1"/>
  <c r="H134" i="8" s="1"/>
  <c r="I33" i="3" a="1"/>
  <c r="I33" i="3"/>
  <c r="I133" i="8" s="1" a="1"/>
  <c r="I133" i="8" s="1"/>
  <c r="H33" i="3" a="1"/>
  <c r="H33" i="3"/>
  <c r="H133" i="8" s="1" a="1"/>
  <c r="H133" i="8" s="1"/>
  <c r="I32" i="3" a="1"/>
  <c r="I32" i="3"/>
  <c r="I132" i="8" s="1" a="1"/>
  <c r="I132" i="8" s="1"/>
  <c r="H32" i="3" a="1"/>
  <c r="H32" i="3"/>
  <c r="H132" i="8" s="1" a="1"/>
  <c r="H132" i="8" s="1"/>
  <c r="I31" i="3" a="1"/>
  <c r="I31" i="3"/>
  <c r="I131" i="8" s="1" a="1"/>
  <c r="I131" i="8" s="1"/>
  <c r="H31" i="3" a="1"/>
  <c r="H31" i="3"/>
  <c r="H131" i="8" s="1" a="1"/>
  <c r="H131" i="8" s="1"/>
  <c r="I30" i="3" a="1"/>
  <c r="I30" i="3"/>
  <c r="I130" i="8" s="1" a="1"/>
  <c r="I130" i="8" s="1"/>
  <c r="H30" i="3" a="1"/>
  <c r="H30" i="3"/>
  <c r="H130" i="8" s="1" a="1"/>
  <c r="H130" i="8" s="1"/>
  <c r="I29" i="3" a="1"/>
  <c r="I29" i="3"/>
  <c r="I129" i="8" s="1" a="1"/>
  <c r="I129" i="8" s="1"/>
  <c r="H29" i="3" a="1"/>
  <c r="H29" i="3"/>
  <c r="H129" i="8" s="1" a="1"/>
  <c r="H129" i="8" s="1"/>
  <c r="I28" i="3" a="1"/>
  <c r="I28" i="3"/>
  <c r="I128" i="8" s="1" a="1"/>
  <c r="I128" i="8" s="1"/>
  <c r="H28" i="3" a="1"/>
  <c r="H28" i="3"/>
  <c r="H128" i="8" s="1" a="1"/>
  <c r="H128" i="8" s="1"/>
  <c r="I27" i="3" a="1"/>
  <c r="I27" i="3"/>
  <c r="I127" i="8" s="1" a="1"/>
  <c r="I127" i="8" s="1"/>
  <c r="H27" i="3" a="1"/>
  <c r="H27" i="3"/>
  <c r="H127" i="8" s="1" a="1"/>
  <c r="H127" i="8" s="1"/>
  <c r="I26" i="3" a="1"/>
  <c r="I26" i="3"/>
  <c r="I126" i="8" s="1" a="1"/>
  <c r="I126" i="8" s="1"/>
  <c r="H26" i="3" a="1"/>
  <c r="H26" i="3"/>
  <c r="H126" i="8" s="1" a="1"/>
  <c r="H126" i="8" s="1"/>
  <c r="I25" i="3" a="1"/>
  <c r="I25" i="3"/>
  <c r="I125" i="8" s="1" a="1"/>
  <c r="I125" i="8" s="1"/>
  <c r="H25" i="3" a="1"/>
  <c r="H25" i="3"/>
  <c r="H125" i="8" s="1" a="1"/>
  <c r="H125" i="8" s="1"/>
  <c r="I24" i="3" a="1"/>
  <c r="I24" i="3"/>
  <c r="I124" i="8" s="1" a="1"/>
  <c r="I124" i="8" s="1"/>
  <c r="H24" i="3" a="1"/>
  <c r="H24" i="3"/>
  <c r="H124" i="8" s="1" a="1"/>
  <c r="H124" i="8" s="1"/>
  <c r="I23" i="3" a="1"/>
  <c r="I23" i="3"/>
  <c r="I123" i="8" s="1" a="1"/>
  <c r="I123" i="8" s="1"/>
  <c r="H23" i="3" a="1"/>
  <c r="H23" i="3"/>
  <c r="H123" i="8" s="1" a="1"/>
  <c r="H123" i="8" s="1"/>
  <c r="I22" i="3" a="1"/>
  <c r="I22" i="3"/>
  <c r="H22" i="3" a="1"/>
  <c r="H22" i="3"/>
  <c r="C13" i="3" a="1"/>
  <c r="C13" i="3"/>
  <c r="C121" i="8" s="1" a="1"/>
  <c r="C121" i="8" s="1"/>
  <c r="B3" i="3" a="1"/>
  <c r="B3" i="3" s="1"/>
  <c r="C111" i="2" a="1"/>
  <c r="C111" i="2"/>
  <c r="C116" i="8" s="1" a="1"/>
  <c r="C116" i="8" s="1"/>
  <c r="G108" i="2" a="1"/>
  <c r="G108" i="2"/>
  <c r="F108" i="2" a="1"/>
  <c r="F108" i="2"/>
  <c r="F114" i="8" s="1" a="1"/>
  <c r="F114" i="8" s="1"/>
  <c r="E108" i="2" a="1"/>
  <c r="E108" i="2"/>
  <c r="D108" i="2" a="1"/>
  <c r="D108" i="2"/>
  <c r="G107" i="2" a="1"/>
  <c r="G107" i="2"/>
  <c r="F107" i="2" a="1"/>
  <c r="F107" i="2"/>
  <c r="F113" i="8" s="1" a="1"/>
  <c r="F113" i="8" s="1"/>
  <c r="E107" i="2" a="1"/>
  <c r="E107" i="2"/>
  <c r="D107" i="2" a="1"/>
  <c r="D107" i="2"/>
  <c r="J107" i="2" s="1" a="1"/>
  <c r="J107" i="2" s="1"/>
  <c r="J113" i="8" s="1" a="1"/>
  <c r="J113" i="8" s="1"/>
  <c r="G106" i="2" a="1"/>
  <c r="G106" i="2"/>
  <c r="F106" i="2" a="1"/>
  <c r="F106" i="2"/>
  <c r="F112" i="8" s="1" a="1"/>
  <c r="F112" i="8" s="1"/>
  <c r="E106" i="2" a="1"/>
  <c r="E106" i="2"/>
  <c r="D106" i="2" a="1"/>
  <c r="D106" i="2"/>
  <c r="G105" i="2" a="1"/>
  <c r="G105" i="2"/>
  <c r="F105" i="2" a="1"/>
  <c r="F105" i="2"/>
  <c r="F111" i="8" s="1" a="1"/>
  <c r="F111" i="8" s="1"/>
  <c r="E105" i="2" a="1"/>
  <c r="E105" i="2"/>
  <c r="D105" i="2" a="1"/>
  <c r="D105" i="2"/>
  <c r="G104" i="2" a="1"/>
  <c r="G104" i="2"/>
  <c r="F104" i="2" a="1"/>
  <c r="F104" i="2"/>
  <c r="F110" i="8" s="1" a="1"/>
  <c r="F110" i="8" s="1"/>
  <c r="E104" i="2" a="1"/>
  <c r="E104" i="2"/>
  <c r="D104" i="2" a="1"/>
  <c r="D104" i="2"/>
  <c r="G103" i="2" a="1"/>
  <c r="G103" i="2"/>
  <c r="F103" i="2" a="1"/>
  <c r="F103" i="2"/>
  <c r="F109" i="8" s="1" a="1"/>
  <c r="F109" i="8" s="1"/>
  <c r="E103" i="2" a="1"/>
  <c r="E103" i="2"/>
  <c r="D103" i="2" a="1"/>
  <c r="D103" i="2"/>
  <c r="G102" i="2" a="1"/>
  <c r="G102" i="2"/>
  <c r="F102" i="2" a="1"/>
  <c r="F102" i="2"/>
  <c r="F108" i="8" s="1" a="1"/>
  <c r="F108" i="8" s="1"/>
  <c r="E102" i="2" a="1"/>
  <c r="E102" i="2" s="1"/>
  <c r="D102" i="2" a="1"/>
  <c r="D102" i="2" s="1"/>
  <c r="G101" i="2" a="1"/>
  <c r="G101" i="2"/>
  <c r="F101" i="2" a="1"/>
  <c r="F101" i="2" s="1"/>
  <c r="F107" i="8" s="1" a="1"/>
  <c r="F107" i="8" s="1"/>
  <c r="E101" i="2" a="1"/>
  <c r="E101" i="2"/>
  <c r="D101" i="2" a="1"/>
  <c r="D101" i="2" s="1"/>
  <c r="G100" i="2" a="1"/>
  <c r="G100" i="2" s="1"/>
  <c r="F100" i="2" a="1"/>
  <c r="F100" i="2" s="1"/>
  <c r="F106" i="8" s="1" a="1"/>
  <c r="F106" i="8" s="1"/>
  <c r="E100" i="2" a="1"/>
  <c r="E100" i="2" s="1"/>
  <c r="D100" i="2" a="1"/>
  <c r="D100" i="2" s="1"/>
  <c r="G99" i="2" a="1"/>
  <c r="G99" i="2" s="1"/>
  <c r="F99" i="2" a="1"/>
  <c r="F99" i="2" s="1"/>
  <c r="F105" i="8" s="1" a="1"/>
  <c r="F105" i="8" s="1"/>
  <c r="E99" i="2" a="1"/>
  <c r="E99" i="2" s="1"/>
  <c r="D99" i="2" a="1"/>
  <c r="D99" i="2"/>
  <c r="J99" i="2" s="1" a="1"/>
  <c r="J99" i="2" s="1"/>
  <c r="J105" i="8" s="1" a="1"/>
  <c r="J105" i="8" s="1"/>
  <c r="G98" i="2" a="1"/>
  <c r="G98" i="2" s="1"/>
  <c r="F98" i="2" a="1"/>
  <c r="F98" i="2" s="1"/>
  <c r="F104" i="8" s="1" a="1"/>
  <c r="F104" i="8" s="1"/>
  <c r="E98" i="2" a="1"/>
  <c r="E98" i="2" s="1"/>
  <c r="D98" i="2" a="1"/>
  <c r="D98" i="2"/>
  <c r="J98" i="2" s="1" a="1"/>
  <c r="J98" i="2" s="1"/>
  <c r="J104" i="8" s="1" a="1"/>
  <c r="J104" i="8" s="1"/>
  <c r="G97" i="2" a="1"/>
  <c r="G97" i="2" s="1"/>
  <c r="F97" i="2" a="1"/>
  <c r="F97" i="2" s="1"/>
  <c r="F103" i="8" s="1" a="1"/>
  <c r="F103" i="8" s="1"/>
  <c r="E97" i="2" a="1"/>
  <c r="E97" i="2" s="1"/>
  <c r="D97" i="2" a="1"/>
  <c r="D97" i="2" s="1"/>
  <c r="G96" i="2" a="1"/>
  <c r="G96" i="2" s="1"/>
  <c r="F96" i="2" a="1"/>
  <c r="F96" i="2"/>
  <c r="E96" i="2" a="1"/>
  <c r="E96" i="2" s="1"/>
  <c r="D96" i="2" a="1"/>
  <c r="D96" i="2"/>
  <c r="J96" i="2" s="1" a="1"/>
  <c r="J96" i="2" s="1"/>
  <c r="J102" i="8" s="1" a="1"/>
  <c r="J102" i="8" s="1"/>
  <c r="G95" i="2" a="1"/>
  <c r="G95" i="2" s="1"/>
  <c r="F95" i="2" a="1"/>
  <c r="F95" i="2"/>
  <c r="E95" i="2" a="1"/>
  <c r="E95" i="2" s="1"/>
  <c r="D95" i="2" a="1"/>
  <c r="D95" i="2"/>
  <c r="J95" i="2" s="1" a="1"/>
  <c r="J95" i="2" s="1"/>
  <c r="J101" i="8" s="1" a="1"/>
  <c r="J101" i="8" s="1"/>
  <c r="G94" i="2" a="1"/>
  <c r="G94" i="2" s="1"/>
  <c r="F94" i="2" a="1"/>
  <c r="F94" i="2" s="1"/>
  <c r="F100" i="8" s="1" a="1"/>
  <c r="F100" i="8" s="1"/>
  <c r="E94" i="2" a="1"/>
  <c r="E94" i="2" s="1"/>
  <c r="D94" i="2" a="1"/>
  <c r="D94" i="2" s="1"/>
  <c r="G93" i="2" a="1"/>
  <c r="G93" i="2" s="1"/>
  <c r="F93" i="2" a="1"/>
  <c r="F93" i="2"/>
  <c r="E93" i="2" a="1"/>
  <c r="E93" i="2" s="1"/>
  <c r="D93" i="2" a="1"/>
  <c r="D93" i="2"/>
  <c r="J93" i="2" s="1" a="1"/>
  <c r="J93" i="2" s="1"/>
  <c r="J99" i="8" s="1" a="1"/>
  <c r="J99" i="8" s="1"/>
  <c r="G92" i="2" a="1"/>
  <c r="G92" i="2" s="1"/>
  <c r="F92" i="2" a="1"/>
  <c r="F92" i="2" s="1"/>
  <c r="E92" i="2" a="1"/>
  <c r="E92" i="2" s="1"/>
  <c r="D92" i="2" a="1"/>
  <c r="D92" i="2" s="1"/>
  <c r="G91" i="2" a="1"/>
  <c r="G91" i="2" s="1"/>
  <c r="F91" i="2" a="1"/>
  <c r="F91" i="2" s="1"/>
  <c r="F97" i="8" s="1" a="1"/>
  <c r="F97" i="8" s="1"/>
  <c r="E91" i="2" a="1"/>
  <c r="E91" i="2" s="1"/>
  <c r="D91" i="2" a="1"/>
  <c r="D91" i="2" s="1"/>
  <c r="G90" i="2" a="1"/>
  <c r="G90" i="2" s="1"/>
  <c r="F90" i="2" a="1"/>
  <c r="F90" i="2"/>
  <c r="E90" i="2" a="1"/>
  <c r="E90" i="2" s="1"/>
  <c r="D90" i="2" a="1"/>
  <c r="D90" i="2"/>
  <c r="J90" i="2" s="1" a="1"/>
  <c r="J90" i="2" s="1"/>
  <c r="J96" i="8" s="1" a="1"/>
  <c r="J96" i="8" s="1"/>
  <c r="G89" i="2" a="1"/>
  <c r="G89" i="2" s="1"/>
  <c r="F89" i="2" a="1"/>
  <c r="F89" i="2" s="1"/>
  <c r="F95" i="8" s="1" a="1"/>
  <c r="F95" i="8" s="1"/>
  <c r="E89" i="2" a="1"/>
  <c r="E89" i="2" s="1"/>
  <c r="D89" i="2" a="1"/>
  <c r="D89" i="2" s="1"/>
  <c r="G88" i="2" a="1"/>
  <c r="G88" i="2" s="1"/>
  <c r="F88" i="2" a="1"/>
  <c r="F88" i="2"/>
  <c r="E88" i="2" a="1"/>
  <c r="E88" i="2" s="1"/>
  <c r="D88" i="2" a="1"/>
  <c r="D88" i="2" s="1"/>
  <c r="G87" i="2" a="1"/>
  <c r="G87" i="2" s="1"/>
  <c r="F87" i="2" a="1"/>
  <c r="F87" i="2"/>
  <c r="E87" i="2" a="1"/>
  <c r="E87" i="2" s="1"/>
  <c r="D87" i="2" a="1"/>
  <c r="D87" i="2"/>
  <c r="J87" i="2" s="1" a="1"/>
  <c r="J87" i="2" s="1"/>
  <c r="J93" i="8" s="1" a="1"/>
  <c r="J93" i="8" s="1"/>
  <c r="G86" i="2" a="1"/>
  <c r="G86" i="2" s="1"/>
  <c r="F86" i="2" a="1"/>
  <c r="F86" i="2"/>
  <c r="E86" i="2" a="1"/>
  <c r="E86" i="2" s="1"/>
  <c r="D86" i="2" a="1"/>
  <c r="D86" i="2" s="1"/>
  <c r="G85" i="2" a="1"/>
  <c r="G85" i="2" s="1"/>
  <c r="F85" i="2" a="1"/>
  <c r="F85" i="2"/>
  <c r="E85" i="2" a="1"/>
  <c r="E85" i="2" s="1"/>
  <c r="D85" i="2" a="1"/>
  <c r="D85" i="2" s="1"/>
  <c r="G84" i="2" a="1"/>
  <c r="G84" i="2" s="1"/>
  <c r="F84" i="2" a="1"/>
  <c r="F84" i="2"/>
  <c r="E84" i="2" a="1"/>
  <c r="E84" i="2" s="1"/>
  <c r="D84" i="2" a="1"/>
  <c r="D84" i="2" s="1"/>
  <c r="G83" i="2" a="1"/>
  <c r="G83" i="2"/>
  <c r="F83" i="2" a="1"/>
  <c r="F83" i="2"/>
  <c r="E83" i="2" a="1"/>
  <c r="E83" i="2"/>
  <c r="D83" i="2" a="1"/>
  <c r="D83" i="2"/>
  <c r="J83" i="2" s="1" a="1"/>
  <c r="J83" i="2" s="1"/>
  <c r="J89" i="8" s="1" a="1"/>
  <c r="J89" i="8" s="1"/>
  <c r="G82" i="2" a="1"/>
  <c r="G82" i="2"/>
  <c r="I82" i="2" s="1" a="1"/>
  <c r="I82" i="2" s="1"/>
  <c r="I88" i="8" s="1" a="1"/>
  <c r="I88" i="8" s="1"/>
  <c r="F82" i="2" a="1"/>
  <c r="F82" i="2"/>
  <c r="E82" i="2" a="1"/>
  <c r="E82" i="2"/>
  <c r="D82" i="2" a="1"/>
  <c r="D82" i="2"/>
  <c r="J82" i="2" s="1" a="1"/>
  <c r="J82" i="2" s="1"/>
  <c r="J88" i="8" s="1" a="1"/>
  <c r="J88" i="8" s="1"/>
  <c r="G81" i="2" a="1"/>
  <c r="G81" i="2"/>
  <c r="I81" i="2" s="1" a="1"/>
  <c r="I81" i="2" s="1"/>
  <c r="I87" i="8" s="1" a="1"/>
  <c r="I87" i="8" s="1"/>
  <c r="F81" i="2" a="1"/>
  <c r="F81" i="2"/>
  <c r="E81" i="2" a="1"/>
  <c r="E81" i="2"/>
  <c r="D81" i="2" a="1"/>
  <c r="D81" i="2"/>
  <c r="J81" i="2" s="1" a="1"/>
  <c r="J81" i="2" s="1"/>
  <c r="J87" i="8" s="1" a="1"/>
  <c r="J87" i="8" s="1"/>
  <c r="G80" i="2" a="1"/>
  <c r="G80" i="2"/>
  <c r="I80" i="2" s="1" a="1"/>
  <c r="I80" i="2" s="1"/>
  <c r="I86" i="8" s="1" a="1"/>
  <c r="I86" i="8" s="1"/>
  <c r="F80" i="2" a="1"/>
  <c r="F80" i="2"/>
  <c r="E80" i="2" a="1"/>
  <c r="E80" i="2"/>
  <c r="D80" i="2" a="1"/>
  <c r="D80" i="2"/>
  <c r="J80" i="2" s="1" a="1"/>
  <c r="J80" i="2" s="1"/>
  <c r="J86" i="8" s="1" a="1"/>
  <c r="J86" i="8" s="1"/>
  <c r="G79" i="2" a="1"/>
  <c r="G79" i="2"/>
  <c r="I79" i="2" s="1" a="1"/>
  <c r="I79" i="2" s="1"/>
  <c r="I85" i="8" s="1" a="1"/>
  <c r="I85" i="8" s="1"/>
  <c r="F79" i="2" a="1"/>
  <c r="F79" i="2"/>
  <c r="E79" i="2" a="1"/>
  <c r="E79" i="2"/>
  <c r="D79" i="2" a="1"/>
  <c r="D79" i="2"/>
  <c r="J79" i="2" s="1" a="1"/>
  <c r="J79" i="2" s="1"/>
  <c r="J85" i="8" s="1" a="1"/>
  <c r="J85" i="8" s="1"/>
  <c r="G78" i="2" a="1"/>
  <c r="G78" i="2"/>
  <c r="I78" i="2" s="1" a="1"/>
  <c r="I78" i="2" s="1"/>
  <c r="I84" i="8" s="1" a="1"/>
  <c r="I84" i="8" s="1"/>
  <c r="F78" i="2" a="1"/>
  <c r="F78" i="2"/>
  <c r="E78" i="2" a="1"/>
  <c r="E78" i="2"/>
  <c r="D78" i="2" a="1"/>
  <c r="D78" i="2"/>
  <c r="J78" i="2" s="1" a="1"/>
  <c r="J78" i="2" s="1"/>
  <c r="J84" i="8" s="1" a="1"/>
  <c r="J84" i="8" s="1"/>
  <c r="G77" i="2" a="1"/>
  <c r="G77" i="2"/>
  <c r="I77" i="2" s="1" a="1"/>
  <c r="I77" i="2" s="1"/>
  <c r="I83" i="8" s="1" a="1"/>
  <c r="I83" i="8" s="1"/>
  <c r="F77" i="2" a="1"/>
  <c r="F77" i="2"/>
  <c r="E77" i="2" a="1"/>
  <c r="E77" i="2"/>
  <c r="D77" i="2" a="1"/>
  <c r="D77" i="2"/>
  <c r="J77" i="2" s="1" a="1"/>
  <c r="J77" i="2" s="1"/>
  <c r="J83" i="8" s="1" a="1"/>
  <c r="J83" i="8" s="1"/>
  <c r="G76" i="2" a="1"/>
  <c r="G76" i="2"/>
  <c r="I76" i="2" s="1" a="1"/>
  <c r="I76" i="2" s="1"/>
  <c r="I82" i="8" s="1" a="1"/>
  <c r="I82" i="8" s="1"/>
  <c r="F76" i="2" a="1"/>
  <c r="F76" i="2"/>
  <c r="E76" i="2" a="1"/>
  <c r="E76" i="2"/>
  <c r="D76" i="2" a="1"/>
  <c r="D76" i="2"/>
  <c r="J76" i="2" s="1" a="1"/>
  <c r="J76" i="2" s="1"/>
  <c r="J82" i="8" s="1" a="1"/>
  <c r="J82" i="8" s="1"/>
  <c r="G75" i="2" a="1"/>
  <c r="G75" i="2"/>
  <c r="I75" i="2" s="1" a="1"/>
  <c r="I75" i="2" s="1"/>
  <c r="I81" i="8" s="1" a="1"/>
  <c r="I81" i="8" s="1"/>
  <c r="F75" i="2" a="1"/>
  <c r="F75" i="2"/>
  <c r="E75" i="2" a="1"/>
  <c r="E75" i="2"/>
  <c r="D75" i="2" a="1"/>
  <c r="D75" i="2"/>
  <c r="J75" i="2" s="1" a="1"/>
  <c r="J75" i="2" s="1"/>
  <c r="J81" i="8" s="1" a="1"/>
  <c r="J81" i="8" s="1"/>
  <c r="G74" i="2" a="1"/>
  <c r="G74" i="2"/>
  <c r="I74" i="2" s="1" a="1"/>
  <c r="I74" i="2" s="1"/>
  <c r="I80" i="8" s="1" a="1"/>
  <c r="I80" i="8" s="1"/>
  <c r="F74" i="2" a="1"/>
  <c r="F74" i="2"/>
  <c r="E74" i="2" a="1"/>
  <c r="E74" i="2"/>
  <c r="D74" i="2" a="1"/>
  <c r="D74" i="2"/>
  <c r="J74" i="2" s="1" a="1"/>
  <c r="J74" i="2" s="1"/>
  <c r="J80" i="8" s="1" a="1"/>
  <c r="J80" i="8" s="1"/>
  <c r="G73" i="2" a="1"/>
  <c r="G73" i="2"/>
  <c r="I73" i="2" s="1" a="1"/>
  <c r="I73" i="2" s="1"/>
  <c r="I79" i="8" s="1" a="1"/>
  <c r="I79" i="8" s="1"/>
  <c r="F73" i="2" a="1"/>
  <c r="F73" i="2"/>
  <c r="E73" i="2" a="1"/>
  <c r="E73" i="2"/>
  <c r="D73" i="2" a="1"/>
  <c r="D73" i="2"/>
  <c r="J73" i="2" s="1" a="1"/>
  <c r="J73" i="2" s="1"/>
  <c r="J79" i="8" s="1" a="1"/>
  <c r="J79" i="8" s="1"/>
  <c r="G72" i="2" a="1"/>
  <c r="G72" i="2"/>
  <c r="I72" i="2" s="1" a="1"/>
  <c r="I72" i="2" s="1"/>
  <c r="I78" i="8" s="1" a="1"/>
  <c r="I78" i="8" s="1"/>
  <c r="F72" i="2" a="1"/>
  <c r="F72" i="2"/>
  <c r="E72" i="2" a="1"/>
  <c r="E72" i="2"/>
  <c r="D72" i="2" a="1"/>
  <c r="D72" i="2"/>
  <c r="J72" i="2" s="1" a="1"/>
  <c r="J72" i="2" s="1"/>
  <c r="J78" i="8" s="1" a="1"/>
  <c r="J78" i="8" s="1"/>
  <c r="G71" i="2" a="1"/>
  <c r="G71" i="2"/>
  <c r="I71" i="2" s="1" a="1"/>
  <c r="I71" i="2" s="1"/>
  <c r="I77" i="8" s="1" a="1"/>
  <c r="I77" i="8" s="1"/>
  <c r="F71" i="2" a="1"/>
  <c r="F71" i="2"/>
  <c r="E71" i="2" a="1"/>
  <c r="E71" i="2"/>
  <c r="D71" i="2" a="1"/>
  <c r="D71" i="2"/>
  <c r="J71" i="2" s="1" a="1"/>
  <c r="J71" i="2" s="1"/>
  <c r="J77" i="8" s="1" a="1"/>
  <c r="J77" i="8" s="1"/>
  <c r="G70" i="2" a="1"/>
  <c r="G70" i="2"/>
  <c r="I70" i="2" s="1" a="1"/>
  <c r="I70" i="2" s="1"/>
  <c r="I76" i="8" s="1" a="1"/>
  <c r="I76" i="8" s="1"/>
  <c r="F70" i="2" a="1"/>
  <c r="F70" i="2"/>
  <c r="E70" i="2" a="1"/>
  <c r="E70" i="2"/>
  <c r="D70" i="2" a="1"/>
  <c r="D70" i="2"/>
  <c r="J70" i="2" s="1" a="1"/>
  <c r="J70" i="2" s="1"/>
  <c r="J76" i="8" s="1" a="1"/>
  <c r="J76" i="8" s="1"/>
  <c r="G69" i="2" a="1"/>
  <c r="G69" i="2"/>
  <c r="I69" i="2" s="1" a="1"/>
  <c r="I69" i="2" s="1"/>
  <c r="I75" i="8" s="1" a="1"/>
  <c r="I75" i="8" s="1"/>
  <c r="F69" i="2" a="1"/>
  <c r="F69" i="2"/>
  <c r="E69" i="2" a="1"/>
  <c r="E69" i="2"/>
  <c r="D69" i="2" a="1"/>
  <c r="D69" i="2"/>
  <c r="J69" i="2" s="1" a="1"/>
  <c r="J69" i="2" s="1"/>
  <c r="J75" i="8" s="1" a="1"/>
  <c r="J75" i="8" s="1"/>
  <c r="G68" i="2" a="1"/>
  <c r="G68" i="2" s="1"/>
  <c r="F68" i="2" a="1"/>
  <c r="F68" i="2" s="1"/>
  <c r="F74" i="8" s="1" a="1"/>
  <c r="F74" i="8" s="1"/>
  <c r="E68" i="2" a="1"/>
  <c r="E68" i="2"/>
  <c r="D68" i="2" a="1"/>
  <c r="D68" i="2" s="1"/>
  <c r="G67" i="2" a="1"/>
  <c r="G67" i="2" s="1"/>
  <c r="F67" i="2" a="1"/>
  <c r="F67" i="2" s="1"/>
  <c r="F73" i="8" s="1" a="1"/>
  <c r="F73" i="8" s="1"/>
  <c r="E67" i="2" a="1"/>
  <c r="E67" i="2" s="1"/>
  <c r="D67" i="2" a="1"/>
  <c r="D67" i="2" s="1"/>
  <c r="G66" i="2" a="1"/>
  <c r="G66" i="2" s="1"/>
  <c r="F66" i="2" a="1"/>
  <c r="F66" i="2" s="1"/>
  <c r="F72" i="8" s="1" a="1"/>
  <c r="F72" i="8" s="1"/>
  <c r="E66" i="2" a="1"/>
  <c r="E66" i="2" s="1"/>
  <c r="D66" i="2" a="1"/>
  <c r="D66" i="2" s="1"/>
  <c r="G65" i="2" a="1"/>
  <c r="G65" i="2" s="1"/>
  <c r="F65" i="2" a="1"/>
  <c r="F65" i="2" s="1"/>
  <c r="F71" i="8" s="1" a="1"/>
  <c r="F71" i="8" s="1"/>
  <c r="E65" i="2" a="1"/>
  <c r="E65" i="2" s="1"/>
  <c r="D65" i="2" a="1"/>
  <c r="D65" i="2" s="1"/>
  <c r="G64" i="2" a="1"/>
  <c r="G64" i="2" s="1"/>
  <c r="F64" i="2" a="1"/>
  <c r="F64" i="2"/>
  <c r="E64" i="2" a="1"/>
  <c r="E64" i="2" s="1"/>
  <c r="D64" i="2" a="1"/>
  <c r="D64" i="2"/>
  <c r="J64" i="2" s="1" a="1"/>
  <c r="J64" i="2" s="1"/>
  <c r="J70" i="8" s="1" a="1"/>
  <c r="J70" i="8" s="1"/>
  <c r="G63" i="2" a="1"/>
  <c r="G63" i="2" s="1"/>
  <c r="F63" i="2" a="1"/>
  <c r="F63" i="2"/>
  <c r="E63" i="2" a="1"/>
  <c r="E63" i="2" s="1"/>
  <c r="D63" i="2" a="1"/>
  <c r="D63" i="2" s="1"/>
  <c r="G62" i="2" a="1"/>
  <c r="G62" i="2" s="1"/>
  <c r="F62" i="2" a="1"/>
  <c r="F62" i="2"/>
  <c r="E62" i="2" a="1"/>
  <c r="E62" i="2" s="1"/>
  <c r="D62" i="2" a="1"/>
  <c r="D62" i="2" s="1"/>
  <c r="G61" i="2" a="1"/>
  <c r="G61" i="2" s="1"/>
  <c r="F61" i="2" a="1"/>
  <c r="F61" i="2" s="1"/>
  <c r="F67" i="8" s="1" a="1"/>
  <c r="F67" i="8" s="1"/>
  <c r="E61" i="2" a="1"/>
  <c r="E61" i="2" s="1"/>
  <c r="D61" i="2" a="1"/>
  <c r="D61" i="2" s="1"/>
  <c r="G60" i="2" a="1"/>
  <c r="G60" i="2" s="1"/>
  <c r="F60" i="2" a="1"/>
  <c r="F60" i="2"/>
  <c r="E60" i="2" a="1"/>
  <c r="E60" i="2" s="1"/>
  <c r="D60" i="2" a="1"/>
  <c r="D60" i="2"/>
  <c r="J60" i="2" s="1" a="1"/>
  <c r="J60" i="2" s="1"/>
  <c r="J66" i="8" s="1" a="1"/>
  <c r="J66" i="8" s="1"/>
  <c r="G59" i="2" a="1"/>
  <c r="G59" i="2" s="1"/>
  <c r="F59" i="2" a="1"/>
  <c r="F59" i="2"/>
  <c r="E59" i="2" a="1"/>
  <c r="E59" i="2" s="1"/>
  <c r="D59" i="2" a="1"/>
  <c r="D59" i="2" s="1"/>
  <c r="G58" i="2" a="1"/>
  <c r="G58" i="2" s="1"/>
  <c r="F58" i="2" a="1"/>
  <c r="F58" i="2"/>
  <c r="E58" i="2" a="1"/>
  <c r="E58" i="2" s="1"/>
  <c r="D58" i="2" a="1"/>
  <c r="D58" i="2" s="1"/>
  <c r="G57" i="2" a="1"/>
  <c r="G57" i="2" s="1"/>
  <c r="F57" i="2" a="1"/>
  <c r="F57" i="2"/>
  <c r="E57" i="2" a="1"/>
  <c r="E57" i="2" s="1"/>
  <c r="D57" i="2" a="1"/>
  <c r="D57" i="2" s="1"/>
  <c r="G56" i="2" a="1"/>
  <c r="G56" i="2" s="1"/>
  <c r="F56" i="2" a="1"/>
  <c r="F56" i="2"/>
  <c r="E56" i="2" a="1"/>
  <c r="E56" i="2"/>
  <c r="D56" i="2" a="1"/>
  <c r="D56" i="2" s="1"/>
  <c r="G55" i="2" a="1"/>
  <c r="G55" i="2" s="1"/>
  <c r="F55" i="2" a="1"/>
  <c r="F55" i="2" s="1"/>
  <c r="F61" i="8" s="1" a="1"/>
  <c r="F61" i="8" s="1"/>
  <c r="E55" i="2" a="1"/>
  <c r="E55" i="2" s="1"/>
  <c r="D55" i="2" a="1"/>
  <c r="D55" i="2"/>
  <c r="J55" i="2" s="1" a="1"/>
  <c r="J55" i="2" s="1"/>
  <c r="J61" i="8" s="1" a="1"/>
  <c r="J61" i="8" s="1"/>
  <c r="G54" i="2" a="1"/>
  <c r="G54" i="2" s="1"/>
  <c r="F54" i="2" a="1"/>
  <c r="F54" i="2" s="1"/>
  <c r="F60" i="8" s="1" a="1"/>
  <c r="F60" i="8" s="1"/>
  <c r="E54" i="2" a="1"/>
  <c r="E54" i="2" s="1"/>
  <c r="D54" i="2" a="1"/>
  <c r="D54" i="2" s="1"/>
  <c r="G53" i="2" a="1"/>
  <c r="G53" i="2" s="1"/>
  <c r="F53" i="2" a="1"/>
  <c r="F53" i="2"/>
  <c r="E53" i="2" a="1"/>
  <c r="E53" i="2" s="1"/>
  <c r="D53" i="2" a="1"/>
  <c r="D53" i="2" s="1"/>
  <c r="G52" i="2" a="1"/>
  <c r="G52" i="2" s="1"/>
  <c r="F52" i="2" a="1"/>
  <c r="F52" i="2" s="1"/>
  <c r="F58" i="8" s="1" a="1"/>
  <c r="F58" i="8" s="1"/>
  <c r="E52" i="2" a="1"/>
  <c r="E52" i="2" s="1"/>
  <c r="D52" i="2" a="1"/>
  <c r="D52" i="2" s="1"/>
  <c r="G51" i="2" a="1"/>
  <c r="G51" i="2" s="1"/>
  <c r="F51" i="2" a="1"/>
  <c r="F51" i="2"/>
  <c r="E51" i="2" a="1"/>
  <c r="E51" i="2" s="1"/>
  <c r="D51" i="2" a="1"/>
  <c r="D51" i="2"/>
  <c r="J51" i="2" s="1" a="1"/>
  <c r="J51" i="2" s="1"/>
  <c r="J57" i="8" s="1" a="1"/>
  <c r="J57" i="8" s="1"/>
  <c r="G50" i="2" a="1"/>
  <c r="G50" i="2" s="1"/>
  <c r="F50" i="2" a="1"/>
  <c r="F50" i="2"/>
  <c r="E50" i="2" a="1"/>
  <c r="E50" i="2" s="1"/>
  <c r="D50" i="2" a="1"/>
  <c r="D50" i="2" s="1"/>
  <c r="G49" i="2" a="1"/>
  <c r="G49" i="2" s="1"/>
  <c r="F49" i="2" a="1"/>
  <c r="F49" i="2" s="1"/>
  <c r="F55" i="8" s="1" a="1"/>
  <c r="F55" i="8" s="1"/>
  <c r="E49" i="2" a="1"/>
  <c r="E49" i="2" s="1"/>
  <c r="D49" i="2" a="1"/>
  <c r="D49" i="2" s="1"/>
  <c r="G48" i="2" a="1"/>
  <c r="G48" i="2" s="1"/>
  <c r="F48" i="2" a="1"/>
  <c r="F48" i="2"/>
  <c r="E48" i="2" a="1"/>
  <c r="E48" i="2" s="1"/>
  <c r="D48" i="2" a="1"/>
  <c r="D48" i="2" s="1"/>
  <c r="G47" i="2" a="1"/>
  <c r="G47" i="2" s="1"/>
  <c r="F47" i="2" a="1"/>
  <c r="F47" i="2"/>
  <c r="E47" i="2" a="1"/>
  <c r="E47" i="2" s="1"/>
  <c r="D47" i="2" a="1"/>
  <c r="D47" i="2" s="1"/>
  <c r="G46" i="2" a="1"/>
  <c r="G46" i="2" s="1"/>
  <c r="F46" i="2" a="1"/>
  <c r="F46" i="2"/>
  <c r="E46" i="2" a="1"/>
  <c r="E46" i="2" s="1"/>
  <c r="D46" i="2" a="1"/>
  <c r="D46" i="2" s="1"/>
  <c r="G45" i="2" a="1"/>
  <c r="G45" i="2" s="1"/>
  <c r="F45" i="2" a="1"/>
  <c r="F45" i="2"/>
  <c r="E45" i="2" a="1"/>
  <c r="E45" i="2" s="1"/>
  <c r="D45" i="2" a="1"/>
  <c r="D45" i="2"/>
  <c r="J45" i="2" s="1" a="1"/>
  <c r="J45" i="2" s="1"/>
  <c r="J51" i="8" s="1" a="1"/>
  <c r="J51" i="8" s="1"/>
  <c r="G44" i="2" a="1"/>
  <c r="G44" i="2" s="1"/>
  <c r="F44" i="2" a="1"/>
  <c r="F44" i="2"/>
  <c r="E44" i="2" a="1"/>
  <c r="E44" i="2" s="1"/>
  <c r="D44" i="2" a="1"/>
  <c r="D44" i="2" s="1"/>
  <c r="G43" i="2" a="1"/>
  <c r="G43" i="2" s="1"/>
  <c r="F43" i="2" a="1"/>
  <c r="F43" i="2"/>
  <c r="E43" i="2" a="1"/>
  <c r="E43" i="2"/>
  <c r="D43" i="2" a="1"/>
  <c r="D43" i="2"/>
  <c r="J43" i="2" s="1" a="1"/>
  <c r="J43" i="2" s="1"/>
  <c r="J49" i="8" s="1" a="1"/>
  <c r="J49" i="8" s="1"/>
  <c r="G42" i="2" a="1"/>
  <c r="G42" i="2" s="1"/>
  <c r="F42" i="2" a="1"/>
  <c r="F42" i="2" s="1"/>
  <c r="F48" i="8" s="1" a="1"/>
  <c r="F48" i="8" s="1"/>
  <c r="E42" i="2" a="1"/>
  <c r="E42" i="2" s="1"/>
  <c r="D42" i="2" a="1"/>
  <c r="D42" i="2" s="1"/>
  <c r="G41" i="2" a="1"/>
  <c r="G41" i="2" s="1"/>
  <c r="F41" i="2" a="1"/>
  <c r="F41" i="2" s="1"/>
  <c r="F47" i="8" s="1" a="1"/>
  <c r="F47" i="8" s="1"/>
  <c r="E41" i="2" a="1"/>
  <c r="E41" i="2" s="1"/>
  <c r="D41" i="2" a="1"/>
  <c r="D41" i="2" s="1"/>
  <c r="G40" i="2" a="1"/>
  <c r="G40" i="2" s="1"/>
  <c r="F40" i="2" a="1"/>
  <c r="F40" i="2"/>
  <c r="F46" i="8" s="1" a="1"/>
  <c r="F46" i="8" s="1"/>
  <c r="E40" i="2" a="1"/>
  <c r="E40" i="2" s="1"/>
  <c r="D40" i="2" a="1"/>
  <c r="D40" i="2" s="1"/>
  <c r="G39" i="2" a="1"/>
  <c r="G39" i="2" s="1"/>
  <c r="F39" i="2" a="1"/>
  <c r="F39" i="2"/>
  <c r="F45" i="8" s="1" a="1"/>
  <c r="F45" i="8" s="1"/>
  <c r="E39" i="2" a="1"/>
  <c r="E39" i="2" s="1"/>
  <c r="D39" i="2" a="1"/>
  <c r="D39" i="2" s="1"/>
  <c r="G38" i="2" a="1"/>
  <c r="G38" i="2" s="1"/>
  <c r="F38" i="2" a="1"/>
  <c r="F38" i="2" s="1"/>
  <c r="F44" i="8" s="1" a="1"/>
  <c r="F44" i="8" s="1"/>
  <c r="E38" i="2" a="1"/>
  <c r="E38" i="2" s="1"/>
  <c r="D38" i="2" a="1"/>
  <c r="D38" i="2" s="1"/>
  <c r="G37" i="2" a="1"/>
  <c r="G37" i="2" s="1"/>
  <c r="F37" i="2" a="1"/>
  <c r="F37" i="2"/>
  <c r="F43" i="8" s="1" a="1"/>
  <c r="F43" i="8" s="1"/>
  <c r="E37" i="2" a="1"/>
  <c r="E37" i="2" s="1"/>
  <c r="D37" i="2" a="1"/>
  <c r="D37" i="2"/>
  <c r="G36" i="2" a="1"/>
  <c r="G36" i="2" s="1"/>
  <c r="F36" i="2" a="1"/>
  <c r="F36" i="2"/>
  <c r="F42" i="8" s="1" a="1"/>
  <c r="F42" i="8" s="1"/>
  <c r="E36" i="2" a="1"/>
  <c r="E36" i="2" s="1"/>
  <c r="D36" i="2" a="1"/>
  <c r="D36" i="2" s="1"/>
  <c r="G35" i="2" a="1"/>
  <c r="G35" i="2" s="1"/>
  <c r="F35" i="2" a="1"/>
  <c r="F35" i="2" s="1"/>
  <c r="F41" i="8" s="1" a="1"/>
  <c r="F41" i="8" s="1"/>
  <c r="E35" i="2" a="1"/>
  <c r="E35" i="2" s="1"/>
  <c r="D35" i="2" a="1"/>
  <c r="D35" i="2" s="1"/>
  <c r="G34" i="2" a="1"/>
  <c r="G34" i="2" s="1"/>
  <c r="F34" i="2" a="1"/>
  <c r="F34" i="2" s="1"/>
  <c r="F40" i="8" s="1" a="1"/>
  <c r="F40" i="8" s="1"/>
  <c r="E34" i="2" a="1"/>
  <c r="E34" i="2" s="1"/>
  <c r="D34" i="2" a="1"/>
  <c r="D34" i="2"/>
  <c r="G33" i="2" a="1"/>
  <c r="G33" i="2" s="1"/>
  <c r="F33" i="2" a="1"/>
  <c r="F33" i="2" s="1"/>
  <c r="F39" i="8" s="1" a="1"/>
  <c r="F39" i="8" s="1"/>
  <c r="E33" i="2" a="1"/>
  <c r="E33" i="2" s="1"/>
  <c r="D33" i="2" a="1"/>
  <c r="D33" i="2" s="1"/>
  <c r="G32" i="2" a="1"/>
  <c r="G32" i="2" s="1"/>
  <c r="F32" i="2" a="1"/>
  <c r="F32" i="2"/>
  <c r="F38" i="8" s="1" a="1"/>
  <c r="F38" i="8" s="1"/>
  <c r="E32" i="2" a="1"/>
  <c r="E32" i="2" s="1"/>
  <c r="D32" i="2" a="1"/>
  <c r="D32" i="2" s="1"/>
  <c r="G31" i="2" a="1"/>
  <c r="G31" i="2" s="1"/>
  <c r="F31" i="2" a="1"/>
  <c r="F31" i="2"/>
  <c r="F37" i="8" s="1" a="1"/>
  <c r="F37" i="8" s="1"/>
  <c r="E31" i="2" a="1"/>
  <c r="E31" i="2" s="1"/>
  <c r="D31" i="2" a="1"/>
  <c r="D31" i="2" s="1"/>
  <c r="G30" i="2" a="1"/>
  <c r="G30" i="2" s="1"/>
  <c r="F30" i="2" a="1"/>
  <c r="F30" i="2"/>
  <c r="F36" i="8" s="1" a="1"/>
  <c r="F36" i="8" s="1"/>
  <c r="E30" i="2" a="1"/>
  <c r="E30" i="2"/>
  <c r="D30" i="2" a="1"/>
  <c r="D30" i="2"/>
  <c r="G29" i="2" a="1"/>
  <c r="G29" i="2"/>
  <c r="F29" i="2" a="1"/>
  <c r="F29" i="2"/>
  <c r="F35" i="8" s="1" a="1"/>
  <c r="F35" i="8" s="1"/>
  <c r="E29" i="2" a="1"/>
  <c r="E29" i="2"/>
  <c r="D29" i="2" a="1"/>
  <c r="D29" i="2"/>
  <c r="G28" i="2" a="1"/>
  <c r="G28" i="2"/>
  <c r="F28" i="2" a="1"/>
  <c r="F28" i="2"/>
  <c r="F34" i="8" s="1" a="1"/>
  <c r="F34" i="8" s="1"/>
  <c r="E28" i="2" a="1"/>
  <c r="E28" i="2"/>
  <c r="D28" i="2" a="1"/>
  <c r="D28" i="2"/>
  <c r="G27" i="2" a="1"/>
  <c r="G27" i="2" s="1"/>
  <c r="F27" i="2" a="1"/>
  <c r="F27" i="2"/>
  <c r="F33" i="8" s="1" a="1"/>
  <c r="F33" i="8" s="1"/>
  <c r="E27" i="2" a="1"/>
  <c r="E27" i="2" s="1"/>
  <c r="D27" i="2" a="1"/>
  <c r="D27" i="2" s="1"/>
  <c r="G26" i="2" a="1"/>
  <c r="G26" i="2"/>
  <c r="F26" i="2" a="1"/>
  <c r="F26" i="2"/>
  <c r="F32" i="8" s="1" a="1"/>
  <c r="F32" i="8" s="1"/>
  <c r="E26" i="2" a="1"/>
  <c r="E26" i="2" s="1"/>
  <c r="D26" i="2" a="1"/>
  <c r="D26" i="2" s="1"/>
  <c r="G25" i="2" a="1"/>
  <c r="G25" i="2" s="1"/>
  <c r="F25" i="2" a="1"/>
  <c r="F25" i="2"/>
  <c r="F31" i="8" s="1" a="1"/>
  <c r="F31" i="8" s="1"/>
  <c r="E25" i="2" a="1"/>
  <c r="E25" i="2" s="1"/>
  <c r="D25" i="2" a="1"/>
  <c r="D25" i="2" s="1"/>
  <c r="G24" i="2" a="1"/>
  <c r="G24" i="2" s="1"/>
  <c r="F24" i="2" a="1"/>
  <c r="F24" i="2" s="1"/>
  <c r="E24" i="2" a="1"/>
  <c r="E24" i="2" s="1"/>
  <c r="D24" i="2" a="1"/>
  <c r="D24" i="2" s="1"/>
  <c r="G23" i="2" a="1"/>
  <c r="G23" i="2" s="1"/>
  <c r="F23" i="2" a="1"/>
  <c r="F23" i="2" s="1"/>
  <c r="F29" i="8" s="1" a="1"/>
  <c r="F29" i="8" s="1"/>
  <c r="E23" i="2" a="1"/>
  <c r="E23" i="2" s="1"/>
  <c r="D23" i="2" a="1"/>
  <c r="D23" i="2" s="1"/>
  <c r="G22" i="2" a="1"/>
  <c r="G22" i="2" s="1"/>
  <c r="F22" i="2" a="1"/>
  <c r="F22" i="2"/>
  <c r="F28" i="8" s="1" a="1"/>
  <c r="F28" i="8" s="1"/>
  <c r="E22" i="2" a="1"/>
  <c r="E22" i="2" s="1"/>
  <c r="D22" i="2" a="1"/>
  <c r="D22" i="2" s="1"/>
  <c r="G21" i="2" a="1"/>
  <c r="G21" i="2" s="1"/>
  <c r="F21" i="2" a="1"/>
  <c r="F21" i="2"/>
  <c r="F27" i="8" s="1" a="1"/>
  <c r="F27" i="8" s="1"/>
  <c r="E21" i="2" a="1"/>
  <c r="E21" i="2" s="1"/>
  <c r="D21" i="2" a="1"/>
  <c r="D21" i="2" s="1"/>
  <c r="G20" i="2" a="1"/>
  <c r="G20" i="2" s="1"/>
  <c r="F20" i="2" a="1"/>
  <c r="F20" i="2" s="1"/>
  <c r="F26" i="8" s="1" a="1"/>
  <c r="F26" i="8" s="1"/>
  <c r="E20" i="2" a="1"/>
  <c r="E20" i="2" s="1"/>
  <c r="D20" i="2" a="1"/>
  <c r="D20" i="2" s="1"/>
  <c r="G19" i="2" a="1"/>
  <c r="G19" i="2" s="1"/>
  <c r="F19" i="2" a="1"/>
  <c r="F19" i="2"/>
  <c r="F25" i="8" s="1" a="1"/>
  <c r="F25" i="8" s="1"/>
  <c r="E19" i="2" a="1"/>
  <c r="E19" i="2" s="1"/>
  <c r="D19" i="2" a="1"/>
  <c r="D19" i="2"/>
  <c r="G18" i="2" a="1"/>
  <c r="G18" i="2" s="1"/>
  <c r="F18" i="2" a="1"/>
  <c r="F18" i="2"/>
  <c r="F24" i="8" s="1" a="1"/>
  <c r="F24" i="8" s="1"/>
  <c r="E18" i="2" a="1"/>
  <c r="E18" i="2" s="1"/>
  <c r="D18" i="2" a="1"/>
  <c r="D18" i="2" s="1"/>
  <c r="G17" i="2" a="1"/>
  <c r="G17" i="2"/>
  <c r="F17" i="2" a="1"/>
  <c r="F17" i="2"/>
  <c r="F23" i="8" s="1" a="1"/>
  <c r="F23" i="8" s="1"/>
  <c r="E17" i="2" a="1"/>
  <c r="E17" i="2"/>
  <c r="D17" i="2" a="1"/>
  <c r="D17" i="2" s="1"/>
  <c r="G16" i="2" a="1"/>
  <c r="G16" i="2" s="1"/>
  <c r="F16" i="2" a="1"/>
  <c r="F16" i="2"/>
  <c r="F22" i="8" s="1" a="1"/>
  <c r="F22" i="8" s="1"/>
  <c r="E16" i="2" a="1"/>
  <c r="E16" i="2" s="1"/>
  <c r="D16" i="2" a="1"/>
  <c r="D16" i="2"/>
  <c r="G15" i="2" a="1"/>
  <c r="G15" i="2" s="1"/>
  <c r="F15" i="2" a="1"/>
  <c r="F15" i="2" s="1"/>
  <c r="F21" i="8" s="1" a="1"/>
  <c r="F21" i="8" s="1"/>
  <c r="E15" i="2" a="1"/>
  <c r="E15" i="2" s="1"/>
  <c r="D15" i="2" a="1"/>
  <c r="D15" i="2" s="1"/>
  <c r="G14" i="2" a="1"/>
  <c r="G14" i="2" s="1"/>
  <c r="F14" i="2" a="1"/>
  <c r="F14" i="2" s="1"/>
  <c r="F20" i="8" s="1" a="1"/>
  <c r="F20" i="8" s="1"/>
  <c r="E14" i="2" a="1"/>
  <c r="E14" i="2" s="1"/>
  <c r="D14" i="2" a="1"/>
  <c r="D14" i="2" s="1"/>
  <c r="G13" i="2" a="1"/>
  <c r="G13" i="2" s="1"/>
  <c r="F13" i="2" a="1"/>
  <c r="F13" i="2"/>
  <c r="F19" i="8" s="1" a="1"/>
  <c r="F19" i="8" s="1"/>
  <c r="E13" i="2" a="1"/>
  <c r="E13" i="2" s="1"/>
  <c r="D13" i="2" a="1"/>
  <c r="D13" i="2" s="1"/>
  <c r="G12" i="2" a="1"/>
  <c r="G12" i="2" s="1"/>
  <c r="F12" i="2" a="1"/>
  <c r="F12" i="2"/>
  <c r="F18" i="8" s="1" a="1"/>
  <c r="F18" i="8" s="1"/>
  <c r="E12" i="2" a="1"/>
  <c r="E12" i="2" s="1"/>
  <c r="D12" i="2" a="1"/>
  <c r="D12" i="2" s="1"/>
  <c r="G11" i="2" a="1"/>
  <c r="G11" i="2" s="1"/>
  <c r="F11" i="2" a="1"/>
  <c r="F11" i="2" s="1"/>
  <c r="F17" i="8" s="1" a="1"/>
  <c r="F17" i="8" s="1"/>
  <c r="E11" i="2" a="1"/>
  <c r="E11" i="2" s="1"/>
  <c r="D11" i="2" a="1"/>
  <c r="D11" i="2" s="1"/>
  <c r="G10" i="2" a="1"/>
  <c r="G10" i="2" s="1"/>
  <c r="F10" i="2" a="1"/>
  <c r="F10" i="2"/>
  <c r="F16" i="8" s="1" a="1"/>
  <c r="F16" i="8" s="1"/>
  <c r="E10" i="2" a="1"/>
  <c r="E10" i="2" s="1"/>
  <c r="D10" i="2" a="1"/>
  <c r="D10" i="2" s="1"/>
  <c r="G9" i="2" a="1"/>
  <c r="G9" i="2" s="1"/>
  <c r="F9" i="2" a="1"/>
  <c r="F9" i="2"/>
  <c r="E9" i="2" a="1"/>
  <c r="E9" i="2" s="1"/>
  <c r="D9" i="2" a="1"/>
  <c r="D9" i="2" s="1"/>
  <c r="B3" i="2" a="1"/>
  <c r="B3" i="2" s="1"/>
  <c r="C62" i="1" a="1"/>
  <c r="C62" i="1" s="1"/>
  <c r="C11" i="8" s="1" a="1"/>
  <c r="C11" i="8" s="1"/>
  <c r="C51" i="1" a="1"/>
  <c r="C51" i="1" s="1"/>
  <c r="C9" i="8" s="1" a="1"/>
  <c r="C9" i="8" s="1"/>
  <c r="C33" i="1" a="1"/>
  <c r="C33" i="1" s="1"/>
  <c r="B3" i="1" a="1"/>
  <c r="B3" i="1" s="1"/>
  <c r="H172" i="7" l="1" a="1"/>
  <c r="H172" i="7" s="1"/>
  <c r="C96" i="7" a="1"/>
  <c r="C96" i="7" s="1"/>
  <c r="C172" i="7" s="1" a="1"/>
  <c r="C172" i="7" s="1"/>
  <c r="I85" i="7" a="1"/>
  <c r="I85" i="7" s="1"/>
  <c r="C57" i="7" a="1"/>
  <c r="C57" i="7" s="1"/>
  <c r="C85" i="7" s="1" a="1"/>
  <c r="C85" i="7" s="1"/>
  <c r="I276" i="5" a="1"/>
  <c r="I276" i="5" s="1"/>
  <c r="G286" i="5" a="1"/>
  <c r="G286" i="5" s="1"/>
  <c r="H9" i="5" a="1"/>
  <c r="H9" i="5" s="1"/>
  <c r="E11" i="5" a="1"/>
  <c r="E11" i="5" s="1"/>
  <c r="E12" i="5" a="1"/>
  <c r="E12" i="5" s="1"/>
  <c r="E13" i="5" a="1"/>
  <c r="E13" i="5" s="1"/>
  <c r="E14" i="5" a="1"/>
  <c r="E14" i="5" s="1"/>
  <c r="E15" i="5" a="1"/>
  <c r="E15" i="5" s="1"/>
  <c r="E16" i="5" a="1"/>
  <c r="E16" i="5" s="1"/>
  <c r="E17" i="5" a="1"/>
  <c r="E17" i="5" s="1"/>
  <c r="E18" i="5" a="1"/>
  <c r="E18" i="5" s="1"/>
  <c r="E19" i="5" a="1"/>
  <c r="E19" i="5" s="1"/>
  <c r="E20" i="5" a="1"/>
  <c r="E20" i="5" s="1"/>
  <c r="E21" i="5" a="1"/>
  <c r="E21" i="5" s="1"/>
  <c r="E22" i="5" a="1"/>
  <c r="E22" i="5" s="1"/>
  <c r="E23" i="5" a="1"/>
  <c r="E23" i="5" s="1"/>
  <c r="E24" i="5" a="1"/>
  <c r="E24" i="5" s="1"/>
  <c r="E25" i="5" a="1"/>
  <c r="E25" i="5" s="1"/>
  <c r="E26" i="5" a="1"/>
  <c r="E26" i="5" s="1"/>
  <c r="E27" i="5" a="1"/>
  <c r="E27" i="5" s="1"/>
  <c r="E28" i="5" a="1"/>
  <c r="E28" i="5" s="1"/>
  <c r="E29" i="5" a="1"/>
  <c r="E29" i="5" s="1"/>
  <c r="E30" i="5" a="1"/>
  <c r="E30" i="5" s="1"/>
  <c r="E31" i="5" a="1"/>
  <c r="E31" i="5" s="1"/>
  <c r="E32" i="5" a="1"/>
  <c r="E32" i="5" s="1"/>
  <c r="E33" i="5" a="1"/>
  <c r="E33" i="5" s="1"/>
  <c r="E34" i="5" a="1"/>
  <c r="E34" i="5" s="1"/>
  <c r="E35" i="5" a="1"/>
  <c r="E35" i="5" s="1"/>
  <c r="E36" i="5" a="1"/>
  <c r="E36" i="5" s="1"/>
  <c r="E37" i="5" a="1"/>
  <c r="E37" i="5" s="1"/>
  <c r="E38" i="5" a="1"/>
  <c r="E38" i="5" s="1"/>
  <c r="E39" i="5" a="1"/>
  <c r="E39" i="5" s="1"/>
  <c r="E40" i="5" a="1"/>
  <c r="E40" i="5" s="1"/>
  <c r="E41" i="5" a="1"/>
  <c r="E41" i="5" s="1"/>
  <c r="E42" i="5" a="1"/>
  <c r="E42" i="5" s="1"/>
  <c r="E43" i="5" a="1"/>
  <c r="E43" i="5" s="1"/>
  <c r="E44" i="5" a="1"/>
  <c r="E44" i="5" s="1"/>
  <c r="E45" i="5" a="1"/>
  <c r="E45" i="5" s="1"/>
  <c r="E46" i="5" a="1"/>
  <c r="E46" i="5" s="1"/>
  <c r="E47" i="5" a="1"/>
  <c r="E47" i="5" s="1"/>
  <c r="E48" i="5" a="1"/>
  <c r="E48" i="5" s="1"/>
  <c r="E49" i="5" a="1"/>
  <c r="E49" i="5" s="1"/>
  <c r="E50" i="5" a="1"/>
  <c r="E50" i="5" s="1"/>
  <c r="E51" i="5" a="1"/>
  <c r="E51" i="5" s="1"/>
  <c r="E52" i="5" a="1"/>
  <c r="E52" i="5" s="1"/>
  <c r="E53" i="5" a="1"/>
  <c r="E53" i="5" s="1"/>
  <c r="E54" i="5" a="1"/>
  <c r="E54" i="5" s="1"/>
  <c r="E55" i="5" a="1"/>
  <c r="E55" i="5" s="1"/>
  <c r="E56" i="5" a="1"/>
  <c r="E56" i="5" s="1"/>
  <c r="E57" i="5" a="1"/>
  <c r="E57" i="5" s="1"/>
  <c r="E58" i="5" a="1"/>
  <c r="E58" i="5" s="1"/>
  <c r="E59" i="5" a="1"/>
  <c r="E59" i="5" s="1"/>
  <c r="E60" i="5" a="1"/>
  <c r="E60" i="5" s="1"/>
  <c r="E61" i="5" a="1"/>
  <c r="E61" i="5" s="1"/>
  <c r="E62" i="5" a="1"/>
  <c r="E62" i="5" s="1"/>
  <c r="E63" i="5" a="1"/>
  <c r="E63" i="5" s="1"/>
  <c r="E64" i="5" a="1"/>
  <c r="E64" i="5" s="1"/>
  <c r="E65" i="5" a="1"/>
  <c r="E65" i="5" s="1"/>
  <c r="E66" i="5" a="1"/>
  <c r="E66" i="5" s="1"/>
  <c r="E67" i="5" a="1"/>
  <c r="E67" i="5" s="1"/>
  <c r="E68" i="5" a="1"/>
  <c r="E68" i="5" s="1"/>
  <c r="E69" i="5" a="1"/>
  <c r="E69" i="5" s="1"/>
  <c r="E70" i="5" a="1"/>
  <c r="E70" i="5" s="1"/>
  <c r="E71" i="5" a="1"/>
  <c r="E71" i="5" s="1"/>
  <c r="E72" i="5" a="1"/>
  <c r="E72" i="5" s="1"/>
  <c r="E73" i="5" a="1"/>
  <c r="E73" i="5" s="1"/>
  <c r="E74" i="5" a="1"/>
  <c r="E74" i="5" s="1"/>
  <c r="E75" i="5" a="1"/>
  <c r="E75" i="5" s="1"/>
  <c r="E76" i="5" a="1"/>
  <c r="E76" i="5" s="1"/>
  <c r="E77" i="5" a="1"/>
  <c r="E77" i="5" s="1"/>
  <c r="E78" i="5" a="1"/>
  <c r="E78" i="5" s="1"/>
  <c r="E79" i="5" a="1"/>
  <c r="E79" i="5" s="1"/>
  <c r="E80" i="5" a="1"/>
  <c r="E80" i="5" s="1"/>
  <c r="E81" i="5" a="1"/>
  <c r="E81" i="5" s="1"/>
  <c r="E82" i="5" a="1"/>
  <c r="E82" i="5" s="1"/>
  <c r="E83" i="5" a="1"/>
  <c r="E83" i="5" s="1"/>
  <c r="E84" i="5" a="1"/>
  <c r="E84" i="5" s="1"/>
  <c r="E85" i="5" a="1"/>
  <c r="E85" i="5" s="1"/>
  <c r="E86" i="5" a="1"/>
  <c r="E86" i="5" s="1"/>
  <c r="E87" i="5" a="1"/>
  <c r="E87" i="5" s="1"/>
  <c r="E88" i="5" a="1"/>
  <c r="E88" i="5" s="1"/>
  <c r="E89" i="5" a="1"/>
  <c r="E89" i="5" s="1"/>
  <c r="E90" i="5" a="1"/>
  <c r="E90" i="5" s="1"/>
  <c r="E91" i="5" a="1"/>
  <c r="E91" i="5" s="1"/>
  <c r="E92" i="5" a="1"/>
  <c r="E92" i="5" s="1"/>
  <c r="E93" i="5" a="1"/>
  <c r="E93" i="5" s="1"/>
  <c r="E94" i="5" a="1"/>
  <c r="E94" i="5" s="1"/>
  <c r="E95" i="5" a="1"/>
  <c r="E95" i="5" s="1"/>
  <c r="E96" i="5" a="1"/>
  <c r="E96" i="5" s="1"/>
  <c r="E97" i="5" a="1"/>
  <c r="E97" i="5" s="1"/>
  <c r="E98" i="5" a="1"/>
  <c r="E98" i="5" s="1"/>
  <c r="E99" i="5" a="1"/>
  <c r="E99" i="5" s="1"/>
  <c r="E100" i="5" a="1"/>
  <c r="E100" i="5" s="1"/>
  <c r="E101" i="5" a="1"/>
  <c r="E101" i="5" s="1"/>
  <c r="E102" i="5" a="1"/>
  <c r="E102" i="5" s="1"/>
  <c r="E103" i="5" a="1"/>
  <c r="E103" i="5" s="1"/>
  <c r="E104" i="5" a="1"/>
  <c r="E104" i="5" s="1"/>
  <c r="E105" i="5" a="1"/>
  <c r="E105" i="5" s="1"/>
  <c r="E106" i="5" a="1"/>
  <c r="E106" i="5" s="1"/>
  <c r="E109" i="5" a="1"/>
  <c r="E109" i="5" s="1"/>
  <c r="E108" i="5" a="1"/>
  <c r="E108" i="5" s="1"/>
  <c r="E110" i="5" a="1"/>
  <c r="E110" i="5" s="1"/>
  <c r="E265" i="8" a="1"/>
  <c r="E265" i="8" s="1"/>
  <c r="E107" i="5" a="1"/>
  <c r="E107" i="5" s="1"/>
  <c r="J9" i="5" a="1"/>
  <c r="J9" i="5" s="1"/>
  <c r="J265" i="8" s="1" a="1"/>
  <c r="J265" i="8" s="1"/>
  <c r="D11" i="5" a="1"/>
  <c r="D11" i="5" s="1"/>
  <c r="D12" i="5" a="1"/>
  <c r="D12" i="5" s="1"/>
  <c r="D13" i="5" a="1"/>
  <c r="D13" i="5" s="1"/>
  <c r="D14" i="5" a="1"/>
  <c r="D14" i="5" s="1"/>
  <c r="D15" i="5" a="1"/>
  <c r="D15" i="5" s="1"/>
  <c r="D16" i="5" a="1"/>
  <c r="D16" i="5" s="1"/>
  <c r="D17" i="5" a="1"/>
  <c r="D17" i="5" s="1"/>
  <c r="D18" i="5" a="1"/>
  <c r="D18" i="5" s="1"/>
  <c r="D19" i="5" a="1"/>
  <c r="D19" i="5" s="1"/>
  <c r="D20" i="5" a="1"/>
  <c r="D20" i="5" s="1"/>
  <c r="D21" i="5" a="1"/>
  <c r="D21" i="5" s="1"/>
  <c r="D22" i="5" a="1"/>
  <c r="D22" i="5" s="1"/>
  <c r="D23" i="5" a="1"/>
  <c r="D23" i="5" s="1"/>
  <c r="D24" i="5" a="1"/>
  <c r="D24" i="5" s="1"/>
  <c r="D25" i="5" a="1"/>
  <c r="D25" i="5" s="1"/>
  <c r="D26" i="5" a="1"/>
  <c r="D26" i="5" s="1"/>
  <c r="D27" i="5" a="1"/>
  <c r="D27" i="5" s="1"/>
  <c r="D28" i="5" a="1"/>
  <c r="D28" i="5" s="1"/>
  <c r="D29" i="5" a="1"/>
  <c r="D29" i="5" s="1"/>
  <c r="D30" i="5" a="1"/>
  <c r="D30" i="5" s="1"/>
  <c r="D31" i="5" a="1"/>
  <c r="D31" i="5" s="1"/>
  <c r="D32" i="5" a="1"/>
  <c r="D32" i="5" s="1"/>
  <c r="D33" i="5" a="1"/>
  <c r="D33" i="5" s="1"/>
  <c r="D34" i="5" a="1"/>
  <c r="D34" i="5" s="1"/>
  <c r="D35" i="5" a="1"/>
  <c r="D35" i="5" s="1"/>
  <c r="D36" i="5" a="1"/>
  <c r="D36" i="5" s="1"/>
  <c r="D37" i="5" a="1"/>
  <c r="D37" i="5" s="1"/>
  <c r="D38" i="5" a="1"/>
  <c r="D38" i="5" s="1"/>
  <c r="D39" i="5" a="1"/>
  <c r="D39" i="5" s="1"/>
  <c r="D40" i="5" a="1"/>
  <c r="D40" i="5" s="1"/>
  <c r="D41" i="5" a="1"/>
  <c r="D41" i="5" s="1"/>
  <c r="D42" i="5" a="1"/>
  <c r="D42" i="5" s="1"/>
  <c r="D43" i="5" a="1"/>
  <c r="D43" i="5" s="1"/>
  <c r="D44" i="5" a="1"/>
  <c r="D44" i="5" s="1"/>
  <c r="D45" i="5" a="1"/>
  <c r="D45" i="5" s="1"/>
  <c r="D46" i="5" a="1"/>
  <c r="D46" i="5" s="1"/>
  <c r="D47" i="5" a="1"/>
  <c r="D47" i="5" s="1"/>
  <c r="D48" i="5" a="1"/>
  <c r="D48" i="5" s="1"/>
  <c r="D49" i="5" a="1"/>
  <c r="D49" i="5" s="1"/>
  <c r="D50" i="5" a="1"/>
  <c r="D50" i="5" s="1"/>
  <c r="D51" i="5" a="1"/>
  <c r="D51" i="5" s="1"/>
  <c r="D52" i="5" a="1"/>
  <c r="D52" i="5" s="1"/>
  <c r="D53" i="5" a="1"/>
  <c r="D53" i="5" s="1"/>
  <c r="D54" i="5" a="1"/>
  <c r="D54" i="5" s="1"/>
  <c r="D55" i="5" a="1"/>
  <c r="D55" i="5" s="1"/>
  <c r="D56" i="5" a="1"/>
  <c r="D56" i="5" s="1"/>
  <c r="D57" i="5" a="1"/>
  <c r="D57" i="5" s="1"/>
  <c r="D58" i="5" a="1"/>
  <c r="D58" i="5" s="1"/>
  <c r="D59" i="5" a="1"/>
  <c r="D59" i="5" s="1"/>
  <c r="D60" i="5" a="1"/>
  <c r="D60" i="5" s="1"/>
  <c r="D61" i="5" a="1"/>
  <c r="D61" i="5" s="1"/>
  <c r="D62" i="5" a="1"/>
  <c r="D62" i="5" s="1"/>
  <c r="D63" i="5" a="1"/>
  <c r="D63" i="5" s="1"/>
  <c r="D64" i="5" a="1"/>
  <c r="D64" i="5" s="1"/>
  <c r="D65" i="5" a="1"/>
  <c r="D65" i="5" s="1"/>
  <c r="D66" i="5" a="1"/>
  <c r="D66" i="5" s="1"/>
  <c r="D67" i="5" a="1"/>
  <c r="D67" i="5" s="1"/>
  <c r="D68" i="5" a="1"/>
  <c r="D68" i="5" s="1"/>
  <c r="D69" i="5" a="1"/>
  <c r="D69" i="5" s="1"/>
  <c r="D70" i="5" a="1"/>
  <c r="D70" i="5" s="1"/>
  <c r="D71" i="5" a="1"/>
  <c r="D71" i="5" s="1"/>
  <c r="D72" i="5" a="1"/>
  <c r="D72" i="5" s="1"/>
  <c r="D73" i="5" a="1"/>
  <c r="D73" i="5" s="1"/>
  <c r="D74" i="5" a="1"/>
  <c r="D74" i="5" s="1"/>
  <c r="D75" i="5" a="1"/>
  <c r="D75" i="5" s="1"/>
  <c r="D76" i="5" a="1"/>
  <c r="D76" i="5" s="1"/>
  <c r="D77" i="5" a="1"/>
  <c r="D77" i="5" s="1"/>
  <c r="D78" i="5" a="1"/>
  <c r="D78" i="5" s="1"/>
  <c r="D79" i="5" a="1"/>
  <c r="D79" i="5" s="1"/>
  <c r="D80" i="5" a="1"/>
  <c r="D80" i="5" s="1"/>
  <c r="D81" i="5" a="1"/>
  <c r="D81" i="5" s="1"/>
  <c r="D82" i="5" a="1"/>
  <c r="D82" i="5" s="1"/>
  <c r="D83" i="5" a="1"/>
  <c r="D83" i="5" s="1"/>
  <c r="D84" i="5" a="1"/>
  <c r="D84" i="5" s="1"/>
  <c r="D85" i="5" a="1"/>
  <c r="D85" i="5" s="1"/>
  <c r="D86" i="5" a="1"/>
  <c r="D86" i="5" s="1"/>
  <c r="D87" i="5" a="1"/>
  <c r="D87" i="5" s="1"/>
  <c r="D88" i="5" a="1"/>
  <c r="D88" i="5" s="1"/>
  <c r="D89" i="5" a="1"/>
  <c r="D89" i="5" s="1"/>
  <c r="D90" i="5" a="1"/>
  <c r="D90" i="5" s="1"/>
  <c r="D91" i="5" a="1"/>
  <c r="D91" i="5" s="1"/>
  <c r="D92" i="5" a="1"/>
  <c r="D92" i="5" s="1"/>
  <c r="D93" i="5" a="1"/>
  <c r="D93" i="5" s="1"/>
  <c r="D94" i="5" a="1"/>
  <c r="D94" i="5" s="1"/>
  <c r="D95" i="5" a="1"/>
  <c r="D95" i="5" s="1"/>
  <c r="D96" i="5" a="1"/>
  <c r="D96" i="5" s="1"/>
  <c r="D97" i="5" a="1"/>
  <c r="D97" i="5" s="1"/>
  <c r="D98" i="5" a="1"/>
  <c r="D98" i="5" s="1"/>
  <c r="D99" i="5" a="1"/>
  <c r="D99" i="5" s="1"/>
  <c r="D100" i="5" a="1"/>
  <c r="D100" i="5" s="1"/>
  <c r="D101" i="5" a="1"/>
  <c r="D101" i="5" s="1"/>
  <c r="D102" i="5" a="1"/>
  <c r="D102" i="5" s="1"/>
  <c r="D103" i="5" a="1"/>
  <c r="D103" i="5" s="1"/>
  <c r="D104" i="5" a="1"/>
  <c r="D104" i="5" s="1"/>
  <c r="D105" i="5" a="1"/>
  <c r="D105" i="5" s="1"/>
  <c r="D108" i="5" a="1"/>
  <c r="D108" i="5" s="1"/>
  <c r="D109" i="5" a="1"/>
  <c r="D109" i="5" s="1"/>
  <c r="D110" i="5" a="1"/>
  <c r="D110" i="5" s="1"/>
  <c r="D265" i="8" a="1"/>
  <c r="D265" i="8" s="1"/>
  <c r="D106" i="5" a="1"/>
  <c r="D106" i="5" s="1"/>
  <c r="D107" i="5" a="1"/>
  <c r="D107" i="5" s="1"/>
  <c r="G199" i="5" a="1"/>
  <c r="G199" i="5" s="1"/>
  <c r="G9" i="5" s="1" a="1"/>
  <c r="G9" i="5" s="1"/>
  <c r="K9" i="5" s="1" a="1"/>
  <c r="K9" i="5" s="1"/>
  <c r="K265" i="8" s="1" a="1"/>
  <c r="K265" i="8" s="1"/>
  <c r="I189" i="5" a="1"/>
  <c r="I189" i="5" s="1"/>
  <c r="F11" i="5" a="1"/>
  <c r="F11" i="5" s="1"/>
  <c r="F12" i="5" a="1"/>
  <c r="F12" i="5" s="1"/>
  <c r="F267" i="8" s="1" a="1"/>
  <c r="F267" i="8" s="1"/>
  <c r="F13" i="5" a="1"/>
  <c r="F13" i="5" s="1"/>
  <c r="F268" i="8" s="1" a="1"/>
  <c r="F268" i="8" s="1"/>
  <c r="F14" i="5" a="1"/>
  <c r="F14" i="5" s="1"/>
  <c r="F269" i="8" s="1" a="1"/>
  <c r="F269" i="8" s="1"/>
  <c r="F15" i="5" a="1"/>
  <c r="F15" i="5" s="1"/>
  <c r="F270" i="8" s="1" a="1"/>
  <c r="F270" i="8" s="1"/>
  <c r="F16" i="5" a="1"/>
  <c r="F16" i="5" s="1"/>
  <c r="F271" i="8" s="1" a="1"/>
  <c r="F271" i="8" s="1"/>
  <c r="F17" i="5" a="1"/>
  <c r="F17" i="5" s="1"/>
  <c r="F272" i="8" s="1" a="1"/>
  <c r="F272" i="8" s="1"/>
  <c r="F18" i="5" a="1"/>
  <c r="F18" i="5" s="1"/>
  <c r="F273" i="8" s="1" a="1"/>
  <c r="F273" i="8" s="1"/>
  <c r="F19" i="5" a="1"/>
  <c r="F19" i="5" s="1"/>
  <c r="F274" i="8" s="1" a="1"/>
  <c r="F274" i="8" s="1"/>
  <c r="F20" i="5" a="1"/>
  <c r="F20" i="5" s="1"/>
  <c r="F275" i="8" s="1" a="1"/>
  <c r="F275" i="8" s="1"/>
  <c r="F21" i="5" a="1"/>
  <c r="F21" i="5" s="1"/>
  <c r="F276" i="8" s="1" a="1"/>
  <c r="F276" i="8" s="1"/>
  <c r="F22" i="5" a="1"/>
  <c r="F22" i="5" s="1"/>
  <c r="F277" i="8" s="1" a="1"/>
  <c r="F277" i="8" s="1"/>
  <c r="F23" i="5" a="1"/>
  <c r="F23" i="5" s="1"/>
  <c r="F278" i="8" s="1" a="1"/>
  <c r="F278" i="8" s="1"/>
  <c r="F24" i="5" a="1"/>
  <c r="F24" i="5" s="1"/>
  <c r="F279" i="8" s="1" a="1"/>
  <c r="F279" i="8" s="1"/>
  <c r="F25" i="5" a="1"/>
  <c r="F25" i="5" s="1"/>
  <c r="F280" i="8" s="1" a="1"/>
  <c r="F280" i="8" s="1"/>
  <c r="F26" i="5" a="1"/>
  <c r="F26" i="5" s="1"/>
  <c r="F281" i="8" s="1" a="1"/>
  <c r="F281" i="8" s="1"/>
  <c r="F27" i="5" a="1"/>
  <c r="F27" i="5" s="1"/>
  <c r="F282" i="8" s="1" a="1"/>
  <c r="F282" i="8" s="1"/>
  <c r="F28" i="5" a="1"/>
  <c r="F28" i="5" s="1"/>
  <c r="F283" i="8" s="1" a="1"/>
  <c r="F283" i="8" s="1"/>
  <c r="F29" i="5" a="1"/>
  <c r="F29" i="5" s="1"/>
  <c r="F284" i="8" s="1" a="1"/>
  <c r="F284" i="8" s="1"/>
  <c r="F30" i="5" a="1"/>
  <c r="F30" i="5" s="1"/>
  <c r="F285" i="8" s="1" a="1"/>
  <c r="F285" i="8" s="1"/>
  <c r="F31" i="5" a="1"/>
  <c r="F31" i="5" s="1"/>
  <c r="F286" i="8" s="1" a="1"/>
  <c r="F286" i="8" s="1"/>
  <c r="F32" i="5" a="1"/>
  <c r="F32" i="5" s="1"/>
  <c r="F287" i="8" s="1" a="1"/>
  <c r="F287" i="8" s="1"/>
  <c r="F33" i="5" a="1"/>
  <c r="F33" i="5" s="1"/>
  <c r="F288" i="8" s="1" a="1"/>
  <c r="F288" i="8" s="1"/>
  <c r="F34" i="5" a="1"/>
  <c r="F34" i="5" s="1"/>
  <c r="F289" i="8" s="1" a="1"/>
  <c r="F289" i="8" s="1"/>
  <c r="F35" i="5" a="1"/>
  <c r="F35" i="5" s="1"/>
  <c r="F290" i="8" s="1" a="1"/>
  <c r="F290" i="8" s="1"/>
  <c r="F36" i="5" a="1"/>
  <c r="F36" i="5" s="1"/>
  <c r="F291" i="8" s="1" a="1"/>
  <c r="F291" i="8" s="1"/>
  <c r="F37" i="5" a="1"/>
  <c r="F37" i="5" s="1"/>
  <c r="F292" i="8" s="1" a="1"/>
  <c r="F292" i="8" s="1"/>
  <c r="F38" i="5" a="1"/>
  <c r="F38" i="5" s="1"/>
  <c r="F293" i="8" s="1" a="1"/>
  <c r="F293" i="8" s="1"/>
  <c r="F39" i="5" a="1"/>
  <c r="F39" i="5" s="1"/>
  <c r="F294" i="8" s="1" a="1"/>
  <c r="F294" i="8" s="1"/>
  <c r="F40" i="5" a="1"/>
  <c r="F40" i="5" s="1"/>
  <c r="F295" i="8" s="1" a="1"/>
  <c r="F295" i="8" s="1"/>
  <c r="F41" i="5" a="1"/>
  <c r="F41" i="5" s="1"/>
  <c r="F296" i="8" s="1" a="1"/>
  <c r="F296" i="8" s="1"/>
  <c r="F42" i="5" a="1"/>
  <c r="F42" i="5" s="1"/>
  <c r="F297" i="8" s="1" a="1"/>
  <c r="F297" i="8" s="1"/>
  <c r="F43" i="5" a="1"/>
  <c r="F43" i="5" s="1"/>
  <c r="F298" i="8" s="1" a="1"/>
  <c r="F298" i="8" s="1"/>
  <c r="F44" i="5" a="1"/>
  <c r="F44" i="5" s="1"/>
  <c r="F299" i="8" s="1" a="1"/>
  <c r="F299" i="8" s="1"/>
  <c r="F45" i="5" a="1"/>
  <c r="F45" i="5" s="1"/>
  <c r="F300" i="8" s="1" a="1"/>
  <c r="F300" i="8" s="1"/>
  <c r="F46" i="5" a="1"/>
  <c r="F46" i="5" s="1"/>
  <c r="F301" i="8" s="1" a="1"/>
  <c r="F301" i="8" s="1"/>
  <c r="F47" i="5" a="1"/>
  <c r="F47" i="5" s="1"/>
  <c r="F302" i="8" s="1" a="1"/>
  <c r="F302" i="8" s="1"/>
  <c r="F48" i="5" a="1"/>
  <c r="F48" i="5" s="1"/>
  <c r="F303" i="8" s="1" a="1"/>
  <c r="F303" i="8" s="1"/>
  <c r="F49" i="5" a="1"/>
  <c r="F49" i="5" s="1"/>
  <c r="F304" i="8" s="1" a="1"/>
  <c r="F304" i="8" s="1"/>
  <c r="F50" i="5" a="1"/>
  <c r="F50" i="5" s="1"/>
  <c r="F305" i="8" s="1" a="1"/>
  <c r="F305" i="8" s="1"/>
  <c r="F51" i="5" a="1"/>
  <c r="F51" i="5" s="1"/>
  <c r="F306" i="8" s="1" a="1"/>
  <c r="F306" i="8" s="1"/>
  <c r="F52" i="5" a="1"/>
  <c r="F52" i="5" s="1"/>
  <c r="F307" i="8" s="1" a="1"/>
  <c r="F307" i="8" s="1"/>
  <c r="F53" i="5" a="1"/>
  <c r="F53" i="5" s="1"/>
  <c r="F308" i="8" s="1" a="1"/>
  <c r="F308" i="8" s="1"/>
  <c r="F54" i="5" a="1"/>
  <c r="F54" i="5" s="1"/>
  <c r="F309" i="8" s="1" a="1"/>
  <c r="F309" i="8" s="1"/>
  <c r="F55" i="5" a="1"/>
  <c r="F55" i="5" s="1"/>
  <c r="F310" i="8" s="1" a="1"/>
  <c r="F310" i="8" s="1"/>
  <c r="F56" i="5" a="1"/>
  <c r="F56" i="5" s="1"/>
  <c r="F311" i="8" s="1" a="1"/>
  <c r="F311" i="8" s="1"/>
  <c r="F57" i="5" a="1"/>
  <c r="F57" i="5" s="1"/>
  <c r="F312" i="8" s="1" a="1"/>
  <c r="F312" i="8" s="1"/>
  <c r="F58" i="5" a="1"/>
  <c r="F58" i="5" s="1"/>
  <c r="F313" i="8" s="1" a="1"/>
  <c r="F313" i="8" s="1"/>
  <c r="F59" i="5" a="1"/>
  <c r="F59" i="5" s="1"/>
  <c r="F314" i="8" s="1" a="1"/>
  <c r="F314" i="8" s="1"/>
  <c r="F60" i="5" a="1"/>
  <c r="F60" i="5" s="1"/>
  <c r="F315" i="8" s="1" a="1"/>
  <c r="F315" i="8" s="1"/>
  <c r="F61" i="5" a="1"/>
  <c r="F61" i="5" s="1"/>
  <c r="F316" i="8" s="1" a="1"/>
  <c r="F316" i="8" s="1"/>
  <c r="F62" i="5" a="1"/>
  <c r="F62" i="5" s="1"/>
  <c r="F317" i="8" s="1" a="1"/>
  <c r="F317" i="8" s="1"/>
  <c r="F63" i="5" a="1"/>
  <c r="F63" i="5" s="1"/>
  <c r="F318" i="8" s="1" a="1"/>
  <c r="F318" i="8" s="1"/>
  <c r="F64" i="5" a="1"/>
  <c r="F64" i="5" s="1"/>
  <c r="F319" i="8" s="1" a="1"/>
  <c r="F319" i="8" s="1"/>
  <c r="F65" i="5" a="1"/>
  <c r="F65" i="5" s="1"/>
  <c r="F320" i="8" s="1" a="1"/>
  <c r="F320" i="8" s="1"/>
  <c r="F66" i="5" a="1"/>
  <c r="F66" i="5" s="1"/>
  <c r="F321" i="8" s="1" a="1"/>
  <c r="F321" i="8" s="1"/>
  <c r="F67" i="5" a="1"/>
  <c r="F67" i="5" s="1"/>
  <c r="F322" i="8" s="1" a="1"/>
  <c r="F322" i="8" s="1"/>
  <c r="F68" i="5" a="1"/>
  <c r="F68" i="5" s="1"/>
  <c r="F323" i="8" s="1" a="1"/>
  <c r="F323" i="8" s="1"/>
  <c r="F69" i="5" a="1"/>
  <c r="F69" i="5" s="1"/>
  <c r="F324" i="8" s="1" a="1"/>
  <c r="F324" i="8" s="1"/>
  <c r="F70" i="5" a="1"/>
  <c r="F70" i="5" s="1"/>
  <c r="F325" i="8" s="1" a="1"/>
  <c r="F325" i="8" s="1"/>
  <c r="F71" i="5" a="1"/>
  <c r="F71" i="5" s="1"/>
  <c r="F326" i="8" s="1" a="1"/>
  <c r="F326" i="8" s="1"/>
  <c r="F72" i="5" a="1"/>
  <c r="F72" i="5" s="1"/>
  <c r="F327" i="8" s="1" a="1"/>
  <c r="F327" i="8" s="1"/>
  <c r="F73" i="5" a="1"/>
  <c r="F73" i="5" s="1"/>
  <c r="F328" i="8" s="1" a="1"/>
  <c r="F328" i="8" s="1"/>
  <c r="F74" i="5" a="1"/>
  <c r="F74" i="5" s="1"/>
  <c r="F329" i="8" s="1" a="1"/>
  <c r="F329" i="8" s="1"/>
  <c r="F75" i="5" a="1"/>
  <c r="F75" i="5" s="1"/>
  <c r="F330" i="8" s="1" a="1"/>
  <c r="F330" i="8" s="1"/>
  <c r="F76" i="5" a="1"/>
  <c r="F76" i="5" s="1"/>
  <c r="F331" i="8" s="1" a="1"/>
  <c r="F331" i="8" s="1"/>
  <c r="F77" i="5" a="1"/>
  <c r="F77" i="5" s="1"/>
  <c r="F332" i="8" s="1" a="1"/>
  <c r="F332" i="8" s="1"/>
  <c r="F78" i="5" a="1"/>
  <c r="F78" i="5" s="1"/>
  <c r="F333" i="8" s="1" a="1"/>
  <c r="F333" i="8" s="1"/>
  <c r="F79" i="5" a="1"/>
  <c r="F79" i="5" s="1"/>
  <c r="F334" i="8" s="1" a="1"/>
  <c r="F334" i="8" s="1"/>
  <c r="F80" i="5" a="1"/>
  <c r="F80" i="5" s="1"/>
  <c r="F335" i="8" s="1" a="1"/>
  <c r="F335" i="8" s="1"/>
  <c r="F81" i="5" a="1"/>
  <c r="F81" i="5" s="1"/>
  <c r="F336" i="8" s="1" a="1"/>
  <c r="F336" i="8" s="1"/>
  <c r="F82" i="5" a="1"/>
  <c r="F82" i="5" s="1"/>
  <c r="F337" i="8" s="1" a="1"/>
  <c r="F337" i="8" s="1"/>
  <c r="F83" i="5" a="1"/>
  <c r="F83" i="5" s="1"/>
  <c r="F338" i="8" s="1" a="1"/>
  <c r="F338" i="8" s="1"/>
  <c r="F84" i="5" a="1"/>
  <c r="F84" i="5" s="1"/>
  <c r="F339" i="8" s="1" a="1"/>
  <c r="F339" i="8" s="1"/>
  <c r="F85" i="5" a="1"/>
  <c r="F85" i="5" s="1"/>
  <c r="F340" i="8" s="1" a="1"/>
  <c r="F340" i="8" s="1"/>
  <c r="F86" i="5" a="1"/>
  <c r="F86" i="5" s="1"/>
  <c r="F341" i="8" s="1" a="1"/>
  <c r="F341" i="8" s="1"/>
  <c r="F87" i="5" a="1"/>
  <c r="F87" i="5" s="1"/>
  <c r="F342" i="8" s="1" a="1"/>
  <c r="F342" i="8" s="1"/>
  <c r="F88" i="5" a="1"/>
  <c r="F88" i="5" s="1"/>
  <c r="F343" i="8" s="1" a="1"/>
  <c r="F343" i="8" s="1"/>
  <c r="F89" i="5" a="1"/>
  <c r="F89" i="5" s="1"/>
  <c r="F344" i="8" s="1" a="1"/>
  <c r="F344" i="8" s="1"/>
  <c r="F90" i="5" a="1"/>
  <c r="F90" i="5" s="1"/>
  <c r="F345" i="8" s="1" a="1"/>
  <c r="F345" i="8" s="1"/>
  <c r="F91" i="5" a="1"/>
  <c r="F91" i="5" s="1"/>
  <c r="F346" i="8" s="1" a="1"/>
  <c r="F346" i="8" s="1"/>
  <c r="F92" i="5" a="1"/>
  <c r="F92" i="5" s="1"/>
  <c r="F347" i="8" s="1" a="1"/>
  <c r="F347" i="8" s="1"/>
  <c r="F93" i="5" a="1"/>
  <c r="F93" i="5" s="1"/>
  <c r="F348" i="8" s="1" a="1"/>
  <c r="F348" i="8" s="1"/>
  <c r="F94" i="5" a="1"/>
  <c r="F94" i="5" s="1"/>
  <c r="F349" i="8" s="1" a="1"/>
  <c r="F349" i="8" s="1"/>
  <c r="F95" i="5" a="1"/>
  <c r="F95" i="5" s="1"/>
  <c r="F350" i="8" s="1" a="1"/>
  <c r="F350" i="8" s="1"/>
  <c r="F96" i="5" a="1"/>
  <c r="F96" i="5" s="1"/>
  <c r="F351" i="8" s="1" a="1"/>
  <c r="F351" i="8" s="1"/>
  <c r="F97" i="5" a="1"/>
  <c r="F97" i="5" s="1"/>
  <c r="F352" i="8" s="1" a="1"/>
  <c r="F352" i="8" s="1"/>
  <c r="F98" i="5" a="1"/>
  <c r="F98" i="5" s="1"/>
  <c r="F353" i="8" s="1" a="1"/>
  <c r="F353" i="8" s="1"/>
  <c r="F99" i="5" a="1"/>
  <c r="F99" i="5" s="1"/>
  <c r="F354" i="8" s="1" a="1"/>
  <c r="F354" i="8" s="1"/>
  <c r="F100" i="5" a="1"/>
  <c r="F100" i="5" s="1"/>
  <c r="F355" i="8" s="1" a="1"/>
  <c r="F355" i="8" s="1"/>
  <c r="F101" i="5" a="1"/>
  <c r="F101" i="5" s="1"/>
  <c r="F356" i="8" s="1" a="1"/>
  <c r="F356" i="8" s="1"/>
  <c r="F102" i="5" a="1"/>
  <c r="F102" i="5" s="1"/>
  <c r="F357" i="8" s="1" a="1"/>
  <c r="F357" i="8" s="1"/>
  <c r="F103" i="5" a="1"/>
  <c r="F103" i="5" s="1"/>
  <c r="F358" i="8" s="1" a="1"/>
  <c r="F358" i="8" s="1"/>
  <c r="F104" i="5" a="1"/>
  <c r="F104" i="5" s="1"/>
  <c r="F359" i="8" s="1" a="1"/>
  <c r="F359" i="8" s="1"/>
  <c r="F106" i="5" a="1"/>
  <c r="F106" i="5" s="1"/>
  <c r="F361" i="8" s="1" a="1"/>
  <c r="F361" i="8" s="1"/>
  <c r="F107" i="5" a="1"/>
  <c r="F107" i="5" s="1"/>
  <c r="F362" i="8" s="1" a="1"/>
  <c r="F362" i="8" s="1"/>
  <c r="F109" i="5" a="1"/>
  <c r="F109" i="5" s="1"/>
  <c r="F364" i="8" s="1" a="1"/>
  <c r="F364" i="8" s="1"/>
  <c r="F265" i="8" a="1"/>
  <c r="F265" i="8" s="1"/>
  <c r="F108" i="5" a="1"/>
  <c r="F108" i="5" s="1"/>
  <c r="F363" i="8" s="1" a="1"/>
  <c r="F363" i="8" s="1"/>
  <c r="F105" i="5" a="1"/>
  <c r="F105" i="5" s="1"/>
  <c r="F360" i="8" s="1" a="1"/>
  <c r="F360" i="8" s="1"/>
  <c r="F110" i="5" a="1"/>
  <c r="F110" i="5" s="1"/>
  <c r="F365" i="8" s="1" a="1"/>
  <c r="F365" i="8" s="1"/>
  <c r="I106" i="4" a="1"/>
  <c r="I106" i="4" s="1"/>
  <c r="I260" i="8" s="1" a="1"/>
  <c r="I260" i="8" s="1"/>
  <c r="G260" i="8" a="1"/>
  <c r="G260" i="8" s="1"/>
  <c r="H106" i="4" a="1"/>
  <c r="H106" i="4" s="1"/>
  <c r="K106" i="4" a="1"/>
  <c r="K106" i="4" s="1"/>
  <c r="K260" i="8" s="1" a="1"/>
  <c r="K260" i="8" s="1"/>
  <c r="E260" i="8" a="1"/>
  <c r="E260" i="8" s="1"/>
  <c r="J106" i="4" a="1"/>
  <c r="J106" i="4" s="1"/>
  <c r="J260" i="8" s="1" a="1"/>
  <c r="J260" i="8" s="1"/>
  <c r="D260" i="8" a="1"/>
  <c r="D260" i="8" s="1"/>
  <c r="I105" i="4" a="1"/>
  <c r="I105" i="4" s="1"/>
  <c r="I259" i="8" s="1" a="1"/>
  <c r="I259" i="8" s="1"/>
  <c r="G259" i="8" a="1"/>
  <c r="G259" i="8" s="1"/>
  <c r="H105" i="4" a="1"/>
  <c r="H105" i="4" s="1"/>
  <c r="E259" i="8" a="1"/>
  <c r="E259" i="8" s="1"/>
  <c r="K105" i="4" a="1"/>
  <c r="K105" i="4" s="1"/>
  <c r="K259" i="8" s="1" a="1"/>
  <c r="K259" i="8" s="1"/>
  <c r="J105" i="4" a="1"/>
  <c r="J105" i="4" s="1"/>
  <c r="J259" i="8" s="1" a="1"/>
  <c r="J259" i="8" s="1"/>
  <c r="D259" i="8" a="1"/>
  <c r="D259" i="8" s="1"/>
  <c r="G258" i="8" a="1"/>
  <c r="G258" i="8" s="1"/>
  <c r="I104" i="4" a="1"/>
  <c r="I104" i="4" s="1"/>
  <c r="I258" i="8" s="1" a="1"/>
  <c r="I258" i="8" s="1"/>
  <c r="H104" i="4" a="1"/>
  <c r="H104" i="4" s="1"/>
  <c r="K104" i="4" a="1"/>
  <c r="K104" i="4" s="1"/>
  <c r="K258" i="8" s="1" a="1"/>
  <c r="K258" i="8" s="1"/>
  <c r="E258" i="8" a="1"/>
  <c r="E258" i="8" s="1"/>
  <c r="J104" i="4" a="1"/>
  <c r="J104" i="4" s="1"/>
  <c r="J258" i="8" s="1" a="1"/>
  <c r="J258" i="8" s="1"/>
  <c r="D258" i="8" a="1"/>
  <c r="D258" i="8" s="1"/>
  <c r="G257" i="8" a="1"/>
  <c r="G257" i="8" s="1"/>
  <c r="I103" i="4" a="1"/>
  <c r="I103" i="4" s="1"/>
  <c r="I257" i="8" s="1" a="1"/>
  <c r="I257" i="8" s="1"/>
  <c r="E257" i="8" a="1"/>
  <c r="E257" i="8" s="1"/>
  <c r="H103" i="4" a="1"/>
  <c r="H103" i="4" s="1"/>
  <c r="K103" i="4" a="1"/>
  <c r="K103" i="4" s="1"/>
  <c r="K257" i="8" s="1" a="1"/>
  <c r="K257" i="8" s="1"/>
  <c r="J103" i="4" a="1"/>
  <c r="J103" i="4" s="1"/>
  <c r="J257" i="8" s="1" a="1"/>
  <c r="J257" i="8" s="1"/>
  <c r="D257" i="8" a="1"/>
  <c r="D257" i="8" s="1"/>
  <c r="I102" i="4" a="1"/>
  <c r="I102" i="4" s="1"/>
  <c r="I256" i="8" s="1" a="1"/>
  <c r="I256" i="8" s="1"/>
  <c r="G256" i="8" a="1"/>
  <c r="G256" i="8" s="1"/>
  <c r="H102" i="4" a="1"/>
  <c r="H102" i="4" s="1"/>
  <c r="K102" i="4" a="1"/>
  <c r="K102" i="4" s="1"/>
  <c r="K256" i="8" s="1" a="1"/>
  <c r="K256" i="8" s="1"/>
  <c r="E256" i="8" a="1"/>
  <c r="E256" i="8" s="1"/>
  <c r="J102" i="4" a="1"/>
  <c r="J102" i="4" s="1"/>
  <c r="J256" i="8" s="1" a="1"/>
  <c r="J256" i="8" s="1"/>
  <c r="D256" i="8" a="1"/>
  <c r="D256" i="8" s="1"/>
  <c r="G255" i="8" a="1"/>
  <c r="G255" i="8" s="1"/>
  <c r="I101" i="4" a="1"/>
  <c r="I101" i="4" s="1"/>
  <c r="I255" i="8" s="1" a="1"/>
  <c r="I255" i="8" s="1"/>
  <c r="H101" i="4" a="1"/>
  <c r="H101" i="4" s="1"/>
  <c r="E255" i="8" a="1"/>
  <c r="E255" i="8" s="1"/>
  <c r="K101" i="4" a="1"/>
  <c r="K101" i="4" s="1"/>
  <c r="K255" i="8" s="1" a="1"/>
  <c r="K255" i="8" s="1"/>
  <c r="J101" i="4" a="1"/>
  <c r="J101" i="4" s="1"/>
  <c r="J255" i="8" s="1" a="1"/>
  <c r="J255" i="8" s="1"/>
  <c r="D255" i="8" a="1"/>
  <c r="D255" i="8" s="1"/>
  <c r="G254" i="8" a="1"/>
  <c r="G254" i="8" s="1"/>
  <c r="I100" i="4" a="1"/>
  <c r="I100" i="4" s="1"/>
  <c r="I254" i="8" s="1" a="1"/>
  <c r="I254" i="8" s="1"/>
  <c r="K100" i="4" a="1"/>
  <c r="K100" i="4" s="1"/>
  <c r="K254" i="8" s="1" a="1"/>
  <c r="K254" i="8" s="1"/>
  <c r="E254" i="8" a="1"/>
  <c r="E254" i="8" s="1"/>
  <c r="H100" i="4" a="1"/>
  <c r="H100" i="4" s="1"/>
  <c r="J100" i="4" a="1"/>
  <c r="J100" i="4" s="1"/>
  <c r="J254" i="8" s="1" a="1"/>
  <c r="J254" i="8" s="1"/>
  <c r="D254" i="8" a="1"/>
  <c r="D254" i="8" s="1"/>
  <c r="G253" i="8" a="1"/>
  <c r="G253" i="8" s="1"/>
  <c r="I99" i="4" a="1"/>
  <c r="I99" i="4" s="1"/>
  <c r="I253" i="8" s="1" a="1"/>
  <c r="I253" i="8" s="1"/>
  <c r="E253" i="8" a="1"/>
  <c r="E253" i="8" s="1"/>
  <c r="H99" i="4" a="1"/>
  <c r="H99" i="4" s="1"/>
  <c r="K99" i="4" a="1"/>
  <c r="K99" i="4" s="1"/>
  <c r="K253" i="8" s="1" a="1"/>
  <c r="K253" i="8" s="1"/>
  <c r="D253" i="8" a="1"/>
  <c r="D253" i="8" s="1"/>
  <c r="J99" i="4" a="1"/>
  <c r="J99" i="4" s="1"/>
  <c r="J253" i="8" s="1" a="1"/>
  <c r="J253" i="8" s="1"/>
  <c r="G252" i="8" a="1"/>
  <c r="G252" i="8" s="1"/>
  <c r="I98" i="4" a="1"/>
  <c r="I98" i="4" s="1"/>
  <c r="I252" i="8" s="1" a="1"/>
  <c r="I252" i="8" s="1"/>
  <c r="E252" i="8" a="1"/>
  <c r="E252" i="8" s="1"/>
  <c r="H98" i="4" a="1"/>
  <c r="H98" i="4" s="1"/>
  <c r="K98" i="4" a="1"/>
  <c r="K98" i="4" s="1"/>
  <c r="K252" i="8" s="1" a="1"/>
  <c r="K252" i="8" s="1"/>
  <c r="D252" i="8" a="1"/>
  <c r="D252" i="8" s="1"/>
  <c r="J98" i="4" a="1"/>
  <c r="J98" i="4" s="1"/>
  <c r="J252" i="8" s="1" a="1"/>
  <c r="J252" i="8" s="1"/>
  <c r="G251" i="8" a="1"/>
  <c r="G251" i="8" s="1"/>
  <c r="I97" i="4" a="1"/>
  <c r="I97" i="4" s="1"/>
  <c r="I251" i="8" s="1" a="1"/>
  <c r="I251" i="8" s="1"/>
  <c r="E251" i="8" a="1"/>
  <c r="E251" i="8" s="1"/>
  <c r="H97" i="4" a="1"/>
  <c r="H97" i="4" s="1"/>
  <c r="K97" i="4" a="1"/>
  <c r="K97" i="4" s="1"/>
  <c r="K251" i="8" s="1" a="1"/>
  <c r="K251" i="8" s="1"/>
  <c r="D251" i="8" a="1"/>
  <c r="D251" i="8" s="1"/>
  <c r="J97" i="4" a="1"/>
  <c r="J97" i="4" s="1"/>
  <c r="J251" i="8" s="1" a="1"/>
  <c r="J251" i="8" s="1"/>
  <c r="G250" i="8" a="1"/>
  <c r="G250" i="8" s="1"/>
  <c r="I96" i="4" a="1"/>
  <c r="I96" i="4" s="1"/>
  <c r="I250" i="8" s="1" a="1"/>
  <c r="I250" i="8" s="1"/>
  <c r="E250" i="8" a="1"/>
  <c r="E250" i="8" s="1"/>
  <c r="K96" i="4" a="1"/>
  <c r="K96" i="4" s="1"/>
  <c r="K250" i="8" s="1" a="1"/>
  <c r="K250" i="8" s="1"/>
  <c r="H96" i="4" a="1"/>
  <c r="H96" i="4" s="1"/>
  <c r="J96" i="4" a="1"/>
  <c r="J96" i="4" s="1"/>
  <c r="J250" i="8" s="1" a="1"/>
  <c r="J250" i="8" s="1"/>
  <c r="D250" i="8" a="1"/>
  <c r="D250" i="8" s="1"/>
  <c r="G249" i="8" a="1"/>
  <c r="G249" i="8" s="1"/>
  <c r="I95" i="4" a="1"/>
  <c r="I95" i="4" s="1"/>
  <c r="I249" i="8" s="1" a="1"/>
  <c r="I249" i="8" s="1"/>
  <c r="H95" i="4" a="1"/>
  <c r="H95" i="4" s="1"/>
  <c r="E249" i="8" a="1"/>
  <c r="E249" i="8" s="1"/>
  <c r="K95" i="4" a="1"/>
  <c r="K95" i="4" s="1"/>
  <c r="K249" i="8" s="1" a="1"/>
  <c r="K249" i="8" s="1"/>
  <c r="D249" i="8" a="1"/>
  <c r="D249" i="8" s="1"/>
  <c r="J95" i="4" a="1"/>
  <c r="J95" i="4" s="1"/>
  <c r="J249" i="8" s="1" a="1"/>
  <c r="J249" i="8" s="1"/>
  <c r="G248" i="8" a="1"/>
  <c r="G248" i="8" s="1"/>
  <c r="I94" i="4" a="1"/>
  <c r="I94" i="4" s="1"/>
  <c r="I248" i="8" s="1" a="1"/>
  <c r="I248" i="8" s="1"/>
  <c r="E248" i="8" a="1"/>
  <c r="E248" i="8" s="1"/>
  <c r="H94" i="4" a="1"/>
  <c r="H94" i="4" s="1"/>
  <c r="K94" i="4" a="1"/>
  <c r="K94" i="4" s="1"/>
  <c r="K248" i="8" s="1" a="1"/>
  <c r="K248" i="8" s="1"/>
  <c r="J94" i="4" a="1"/>
  <c r="J94" i="4" s="1"/>
  <c r="J248" i="8" s="1" a="1"/>
  <c r="J248" i="8" s="1"/>
  <c r="D248" i="8" a="1"/>
  <c r="D248" i="8" s="1"/>
  <c r="I93" i="4" a="1"/>
  <c r="I93" i="4" s="1"/>
  <c r="I247" i="8" s="1" a="1"/>
  <c r="I247" i="8" s="1"/>
  <c r="G247" i="8" a="1"/>
  <c r="G247" i="8" s="1"/>
  <c r="H93" i="4" a="1"/>
  <c r="H93" i="4" s="1"/>
  <c r="K93" i="4" a="1"/>
  <c r="K93" i="4" s="1"/>
  <c r="K247" i="8" s="1" a="1"/>
  <c r="K247" i="8" s="1"/>
  <c r="E247" i="8" a="1"/>
  <c r="E247" i="8" s="1"/>
  <c r="J93" i="4" a="1"/>
  <c r="J93" i="4" s="1"/>
  <c r="J247" i="8" s="1" a="1"/>
  <c r="J247" i="8" s="1"/>
  <c r="D247" i="8" a="1"/>
  <c r="D247" i="8" s="1"/>
  <c r="I92" i="4" a="1"/>
  <c r="I92" i="4" s="1"/>
  <c r="I246" i="8" s="1" a="1"/>
  <c r="I246" i="8" s="1"/>
  <c r="G246" i="8" a="1"/>
  <c r="G246" i="8" s="1"/>
  <c r="K92" i="4" a="1"/>
  <c r="K92" i="4" s="1"/>
  <c r="K246" i="8" s="1" a="1"/>
  <c r="K246" i="8" s="1"/>
  <c r="H92" i="4" a="1"/>
  <c r="H92" i="4" s="1"/>
  <c r="E246" i="8" a="1"/>
  <c r="E246" i="8" s="1"/>
  <c r="J92" i="4" a="1"/>
  <c r="J92" i="4" s="1"/>
  <c r="J246" i="8" s="1" a="1"/>
  <c r="J246" i="8" s="1"/>
  <c r="D246" i="8" a="1"/>
  <c r="D246" i="8" s="1"/>
  <c r="G245" i="8" a="1"/>
  <c r="G245" i="8" s="1"/>
  <c r="I91" i="4" a="1"/>
  <c r="I91" i="4" s="1"/>
  <c r="I245" i="8" s="1" a="1"/>
  <c r="I245" i="8" s="1"/>
  <c r="K91" i="4" a="1"/>
  <c r="K91" i="4" s="1"/>
  <c r="K245" i="8" s="1" a="1"/>
  <c r="K245" i="8" s="1"/>
  <c r="H91" i="4" a="1"/>
  <c r="H91" i="4" s="1"/>
  <c r="E245" i="8" a="1"/>
  <c r="E245" i="8" s="1"/>
  <c r="D245" i="8" a="1"/>
  <c r="D245" i="8" s="1"/>
  <c r="J91" i="4" a="1"/>
  <c r="J91" i="4" s="1"/>
  <c r="J245" i="8" s="1" a="1"/>
  <c r="J245" i="8" s="1"/>
  <c r="G244" i="8" a="1"/>
  <c r="G244" i="8" s="1"/>
  <c r="I90" i="4" a="1"/>
  <c r="I90" i="4" s="1"/>
  <c r="I244" i="8" s="1" a="1"/>
  <c r="I244" i="8" s="1"/>
  <c r="E244" i="8" a="1"/>
  <c r="E244" i="8" s="1"/>
  <c r="K90" i="4" a="1"/>
  <c r="K90" i="4" s="1"/>
  <c r="K244" i="8" s="1" a="1"/>
  <c r="K244" i="8" s="1"/>
  <c r="H90" i="4" a="1"/>
  <c r="H90" i="4" s="1"/>
  <c r="D244" i="8" a="1"/>
  <c r="D244" i="8" s="1"/>
  <c r="J90" i="4" a="1"/>
  <c r="J90" i="4" s="1"/>
  <c r="J244" i="8" s="1" a="1"/>
  <c r="J244" i="8" s="1"/>
  <c r="H243" i="8" a="1"/>
  <c r="H243" i="8" s="1"/>
  <c r="G243" i="8" a="1"/>
  <c r="G243" i="8" s="1"/>
  <c r="I89" i="4" a="1"/>
  <c r="I89" i="4" s="1"/>
  <c r="K89" i="4" a="1"/>
  <c r="K89" i="4" s="1"/>
  <c r="K243" i="8" s="1" a="1"/>
  <c r="K243" i="8" s="1"/>
  <c r="F243" i="8" a="1"/>
  <c r="F243" i="8" s="1"/>
  <c r="J89" i="4" a="1"/>
  <c r="J89" i="4" s="1"/>
  <c r="J243" i="8" s="1" a="1"/>
  <c r="J243" i="8" s="1"/>
  <c r="G242" i="8" a="1"/>
  <c r="G242" i="8" s="1"/>
  <c r="I88" i="4" a="1"/>
  <c r="I88" i="4" s="1"/>
  <c r="I242" i="8" s="1" a="1"/>
  <c r="I242" i="8" s="1"/>
  <c r="E242" i="8" a="1"/>
  <c r="E242" i="8" s="1"/>
  <c r="K88" i="4" a="1"/>
  <c r="K88" i="4" s="1"/>
  <c r="K242" i="8" s="1" a="1"/>
  <c r="K242" i="8" s="1"/>
  <c r="H88" i="4" a="1"/>
  <c r="H88" i="4" s="1"/>
  <c r="D242" i="8" a="1"/>
  <c r="D242" i="8" s="1"/>
  <c r="J88" i="4" a="1"/>
  <c r="J88" i="4" s="1"/>
  <c r="J242" i="8" s="1" a="1"/>
  <c r="J242" i="8" s="1"/>
  <c r="H87" i="4" a="1"/>
  <c r="H87" i="4" s="1"/>
  <c r="K87" i="4" a="1"/>
  <c r="K87" i="4" s="1"/>
  <c r="K241" i="8" s="1" a="1"/>
  <c r="K241" i="8" s="1"/>
  <c r="K86" i="4" a="1"/>
  <c r="K86" i="4" s="1"/>
  <c r="K240" i="8" s="1" a="1"/>
  <c r="K240" i="8" s="1"/>
  <c r="H86" i="4" a="1"/>
  <c r="H86" i="4" s="1"/>
  <c r="K85" i="4" a="1"/>
  <c r="K85" i="4" s="1"/>
  <c r="K239" i="8" s="1" a="1"/>
  <c r="K239" i="8" s="1"/>
  <c r="H85" i="4" a="1"/>
  <c r="H85" i="4" s="1"/>
  <c r="K84" i="4" a="1"/>
  <c r="K84" i="4" s="1"/>
  <c r="K238" i="8" s="1" a="1"/>
  <c r="K238" i="8" s="1"/>
  <c r="H84" i="4" a="1"/>
  <c r="H84" i="4" s="1"/>
  <c r="H83" i="4" a="1"/>
  <c r="H83" i="4" s="1"/>
  <c r="K83" i="4" a="1"/>
  <c r="K83" i="4" s="1"/>
  <c r="K237" i="8" s="1" a="1"/>
  <c r="K237" i="8" s="1"/>
  <c r="K82" i="4" a="1"/>
  <c r="K82" i="4" s="1"/>
  <c r="K236" i="8" s="1" a="1"/>
  <c r="K236" i="8" s="1"/>
  <c r="H82" i="4" a="1"/>
  <c r="H82" i="4" s="1"/>
  <c r="K81" i="4" a="1"/>
  <c r="K81" i="4" s="1"/>
  <c r="K235" i="8" s="1" a="1"/>
  <c r="K235" i="8" s="1"/>
  <c r="H81" i="4" a="1"/>
  <c r="H81" i="4" s="1"/>
  <c r="K80" i="4" a="1"/>
  <c r="K80" i="4" s="1"/>
  <c r="K234" i="8" s="1" a="1"/>
  <c r="K234" i="8" s="1"/>
  <c r="H80" i="4" a="1"/>
  <c r="H80" i="4" s="1"/>
  <c r="H79" i="4" a="1"/>
  <c r="H79" i="4" s="1"/>
  <c r="K79" i="4" a="1"/>
  <c r="K79" i="4" s="1"/>
  <c r="K233" i="8" s="1" a="1"/>
  <c r="K233" i="8" s="1"/>
  <c r="K78" i="4" a="1"/>
  <c r="K78" i="4" s="1"/>
  <c r="K232" i="8" s="1" a="1"/>
  <c r="K232" i="8" s="1"/>
  <c r="H78" i="4" a="1"/>
  <c r="H78" i="4" s="1"/>
  <c r="H77" i="4" a="1"/>
  <c r="H77" i="4" s="1"/>
  <c r="K77" i="4" a="1"/>
  <c r="K77" i="4" s="1"/>
  <c r="K231" i="8" s="1" a="1"/>
  <c r="K231" i="8" s="1"/>
  <c r="H76" i="4" a="1"/>
  <c r="H76" i="4" s="1"/>
  <c r="K76" i="4" a="1"/>
  <c r="K76" i="4" s="1"/>
  <c r="K230" i="8" s="1" a="1"/>
  <c r="K230" i="8" s="1"/>
  <c r="K75" i="4" a="1"/>
  <c r="K75" i="4" s="1"/>
  <c r="K229" i="8" s="1" a="1"/>
  <c r="K229" i="8" s="1"/>
  <c r="H75" i="4" a="1"/>
  <c r="H75" i="4" s="1"/>
  <c r="K74" i="4" a="1"/>
  <c r="K74" i="4" s="1"/>
  <c r="K228" i="8" s="1" a="1"/>
  <c r="K228" i="8" s="1"/>
  <c r="H74" i="4" a="1"/>
  <c r="H74" i="4" s="1"/>
  <c r="K73" i="4" a="1"/>
  <c r="K73" i="4" s="1"/>
  <c r="K227" i="8" s="1" a="1"/>
  <c r="K227" i="8" s="1"/>
  <c r="H73" i="4" a="1"/>
  <c r="H73" i="4" s="1"/>
  <c r="H72" i="4" a="1"/>
  <c r="H72" i="4" s="1"/>
  <c r="K72" i="4" a="1"/>
  <c r="K72" i="4" s="1"/>
  <c r="K226" i="8" s="1" a="1"/>
  <c r="K226" i="8" s="1"/>
  <c r="K71" i="4" a="1"/>
  <c r="K71" i="4" s="1"/>
  <c r="K225" i="8" s="1" a="1"/>
  <c r="K225" i="8" s="1"/>
  <c r="H71" i="4" a="1"/>
  <c r="H71" i="4" s="1"/>
  <c r="H70" i="4" a="1"/>
  <c r="H70" i="4" s="1"/>
  <c r="K70" i="4" a="1"/>
  <c r="K70" i="4" s="1"/>
  <c r="K224" i="8" s="1" a="1"/>
  <c r="K224" i="8" s="1"/>
  <c r="H69" i="4" a="1"/>
  <c r="H69" i="4" s="1"/>
  <c r="K69" i="4" a="1"/>
  <c r="K69" i="4" s="1"/>
  <c r="K223" i="8" s="1" a="1"/>
  <c r="K223" i="8" s="1"/>
  <c r="J69" i="4" a="1"/>
  <c r="J69" i="4" s="1"/>
  <c r="J223" i="8" s="1" a="1"/>
  <c r="J223" i="8" s="1"/>
  <c r="D223" i="8" a="1"/>
  <c r="D223" i="8" s="1"/>
  <c r="H68" i="4" a="1"/>
  <c r="H68" i="4" s="1"/>
  <c r="E222" i="8" a="1"/>
  <c r="E222" i="8" s="1"/>
  <c r="K68" i="4" a="1"/>
  <c r="K68" i="4" s="1"/>
  <c r="K222" i="8" s="1" a="1"/>
  <c r="K222" i="8" s="1"/>
  <c r="D222" i="8" a="1"/>
  <c r="D222" i="8" s="1"/>
  <c r="J68" i="4" a="1"/>
  <c r="J68" i="4" s="1"/>
  <c r="J222" i="8" s="1" a="1"/>
  <c r="J222" i="8" s="1"/>
  <c r="G221" i="8" a="1"/>
  <c r="G221" i="8" s="1"/>
  <c r="I67" i="4" a="1"/>
  <c r="I67" i="4" s="1"/>
  <c r="I221" i="8" s="1" a="1"/>
  <c r="I221" i="8" s="1"/>
  <c r="E221" i="8" a="1"/>
  <c r="E221" i="8" s="1"/>
  <c r="H67" i="4" a="1"/>
  <c r="H67" i="4" s="1"/>
  <c r="K67" i="4" a="1"/>
  <c r="K67" i="4" s="1"/>
  <c r="K221" i="8" s="1" a="1"/>
  <c r="K221" i="8" s="1"/>
  <c r="J67" i="4" a="1"/>
  <c r="J67" i="4" s="1"/>
  <c r="J221" i="8" s="1" a="1"/>
  <c r="J221" i="8" s="1"/>
  <c r="D221" i="8" a="1"/>
  <c r="D221" i="8" s="1"/>
  <c r="G220" i="8" a="1"/>
  <c r="G220" i="8" s="1"/>
  <c r="I66" i="4" a="1"/>
  <c r="I66" i="4" s="1"/>
  <c r="I220" i="8" s="1" a="1"/>
  <c r="I220" i="8" s="1"/>
  <c r="E220" i="8" a="1"/>
  <c r="E220" i="8" s="1"/>
  <c r="H66" i="4" a="1"/>
  <c r="H66" i="4" s="1"/>
  <c r="K66" i="4" a="1"/>
  <c r="K66" i="4" s="1"/>
  <c r="K220" i="8" s="1" a="1"/>
  <c r="K220" i="8" s="1"/>
  <c r="D220" i="8" a="1"/>
  <c r="D220" i="8" s="1"/>
  <c r="J66" i="4" a="1"/>
  <c r="J66" i="4" s="1"/>
  <c r="J220" i="8" s="1" a="1"/>
  <c r="J220" i="8" s="1"/>
  <c r="I65" i="4" a="1"/>
  <c r="I65" i="4" s="1"/>
  <c r="I219" i="8" s="1" a="1"/>
  <c r="I219" i="8" s="1"/>
  <c r="G219" i="8" a="1"/>
  <c r="G219" i="8" s="1"/>
  <c r="K65" i="4" a="1"/>
  <c r="K65" i="4" s="1"/>
  <c r="K219" i="8" s="1" a="1"/>
  <c r="K219" i="8" s="1"/>
  <c r="H65" i="4" a="1"/>
  <c r="H65" i="4" s="1"/>
  <c r="E219" i="8" a="1"/>
  <c r="E219" i="8" s="1"/>
  <c r="J65" i="4" a="1"/>
  <c r="J65" i="4" s="1"/>
  <c r="J219" i="8" s="1" a="1"/>
  <c r="J219" i="8" s="1"/>
  <c r="D219" i="8" a="1"/>
  <c r="D219" i="8" s="1"/>
  <c r="I64" i="4" a="1"/>
  <c r="I64" i="4" s="1"/>
  <c r="I218" i="8" s="1" a="1"/>
  <c r="I218" i="8" s="1"/>
  <c r="G218" i="8" a="1"/>
  <c r="G218" i="8" s="1"/>
  <c r="E218" i="8" a="1"/>
  <c r="E218" i="8" s="1"/>
  <c r="K64" i="4" a="1"/>
  <c r="K64" i="4" s="1"/>
  <c r="K218" i="8" s="1" a="1"/>
  <c r="K218" i="8" s="1"/>
  <c r="H64" i="4" a="1"/>
  <c r="H64" i="4" s="1"/>
  <c r="D218" i="8" a="1"/>
  <c r="D218" i="8" s="1"/>
  <c r="J64" i="4" a="1"/>
  <c r="J64" i="4" s="1"/>
  <c r="J218" i="8" s="1" a="1"/>
  <c r="J218" i="8" s="1"/>
  <c r="I63" i="4" a="1"/>
  <c r="I63" i="4" s="1"/>
  <c r="I217" i="8" s="1" a="1"/>
  <c r="I217" i="8" s="1"/>
  <c r="G217" i="8" a="1"/>
  <c r="G217" i="8" s="1"/>
  <c r="K63" i="4" a="1"/>
  <c r="K63" i="4" s="1"/>
  <c r="K217" i="8" s="1" a="1"/>
  <c r="K217" i="8" s="1"/>
  <c r="E217" i="8" a="1"/>
  <c r="E217" i="8" s="1"/>
  <c r="H63" i="4" a="1"/>
  <c r="H63" i="4" s="1"/>
  <c r="J63" i="4" a="1"/>
  <c r="J63" i="4" s="1"/>
  <c r="J217" i="8" s="1" a="1"/>
  <c r="J217" i="8" s="1"/>
  <c r="D217" i="8" a="1"/>
  <c r="D217" i="8" s="1"/>
  <c r="I62" i="4" a="1"/>
  <c r="I62" i="4" s="1"/>
  <c r="I216" i="8" s="1" a="1"/>
  <c r="I216" i="8" s="1"/>
  <c r="G216" i="8" a="1"/>
  <c r="G216" i="8" s="1"/>
  <c r="H62" i="4" a="1"/>
  <c r="H62" i="4" s="1"/>
  <c r="K62" i="4" a="1"/>
  <c r="K62" i="4" s="1"/>
  <c r="K216" i="8" s="1" a="1"/>
  <c r="K216" i="8" s="1"/>
  <c r="E216" i="8" a="1"/>
  <c r="E216" i="8" s="1"/>
  <c r="J62" i="4" a="1"/>
  <c r="J62" i="4" s="1"/>
  <c r="J216" i="8" s="1" a="1"/>
  <c r="J216" i="8" s="1"/>
  <c r="D216" i="8" a="1"/>
  <c r="D216" i="8" s="1"/>
  <c r="I61" i="4" a="1"/>
  <c r="I61" i="4" s="1"/>
  <c r="I215" i="8" s="1" a="1"/>
  <c r="I215" i="8" s="1"/>
  <c r="G215" i="8" a="1"/>
  <c r="G215" i="8" s="1"/>
  <c r="H61" i="4" a="1"/>
  <c r="H61" i="4" s="1"/>
  <c r="K61" i="4" a="1"/>
  <c r="K61" i="4" s="1"/>
  <c r="K215" i="8" s="1" a="1"/>
  <c r="K215" i="8" s="1"/>
  <c r="E215" i="8" a="1"/>
  <c r="E215" i="8" s="1"/>
  <c r="D215" i="8" a="1"/>
  <c r="D215" i="8" s="1"/>
  <c r="J61" i="4" a="1"/>
  <c r="J61" i="4" s="1"/>
  <c r="J215" i="8" s="1" a="1"/>
  <c r="J215" i="8" s="1"/>
  <c r="G214" i="8" a="1"/>
  <c r="G214" i="8" s="1"/>
  <c r="I60" i="4" a="1"/>
  <c r="I60" i="4" s="1"/>
  <c r="I214" i="8" s="1" a="1"/>
  <c r="I214" i="8" s="1"/>
  <c r="E214" i="8" a="1"/>
  <c r="E214" i="8" s="1"/>
  <c r="K60" i="4" a="1"/>
  <c r="K60" i="4" s="1"/>
  <c r="K214" i="8" s="1" a="1"/>
  <c r="K214" i="8" s="1"/>
  <c r="H60" i="4" a="1"/>
  <c r="H60" i="4" s="1"/>
  <c r="D214" i="8" a="1"/>
  <c r="D214" i="8" s="1"/>
  <c r="J60" i="4" a="1"/>
  <c r="J60" i="4" s="1"/>
  <c r="J214" i="8" s="1" a="1"/>
  <c r="J214" i="8" s="1"/>
  <c r="G213" i="8" a="1"/>
  <c r="G213" i="8" s="1"/>
  <c r="I59" i="4" a="1"/>
  <c r="I59" i="4" s="1"/>
  <c r="I213" i="8" s="1" a="1"/>
  <c r="I213" i="8" s="1"/>
  <c r="E213" i="8" a="1"/>
  <c r="E213" i="8" s="1"/>
  <c r="K59" i="4" a="1"/>
  <c r="K59" i="4" s="1"/>
  <c r="K213" i="8" s="1" a="1"/>
  <c r="K213" i="8" s="1"/>
  <c r="H59" i="4" a="1"/>
  <c r="H59" i="4" s="1"/>
  <c r="D213" i="8" a="1"/>
  <c r="D213" i="8" s="1"/>
  <c r="J59" i="4" a="1"/>
  <c r="J59" i="4" s="1"/>
  <c r="J213" i="8" s="1" a="1"/>
  <c r="J213" i="8" s="1"/>
  <c r="G212" i="8" a="1"/>
  <c r="G212" i="8" s="1"/>
  <c r="I58" i="4" a="1"/>
  <c r="I58" i="4" s="1"/>
  <c r="I212" i="8" s="1" a="1"/>
  <c r="I212" i="8" s="1"/>
  <c r="E212" i="8" a="1"/>
  <c r="E212" i="8" s="1"/>
  <c r="H58" i="4" a="1"/>
  <c r="H58" i="4" s="1"/>
  <c r="K58" i="4" a="1"/>
  <c r="K58" i="4" s="1"/>
  <c r="K212" i="8" s="1" a="1"/>
  <c r="K212" i="8" s="1"/>
  <c r="D212" i="8" a="1"/>
  <c r="D212" i="8" s="1"/>
  <c r="J58" i="4" a="1"/>
  <c r="J58" i="4" s="1"/>
  <c r="J212" i="8" s="1" a="1"/>
  <c r="J212" i="8" s="1"/>
  <c r="G211" i="8" a="1"/>
  <c r="G211" i="8" s="1"/>
  <c r="I57" i="4" a="1"/>
  <c r="I57" i="4" s="1"/>
  <c r="I211" i="8" s="1" a="1"/>
  <c r="I211" i="8" s="1"/>
  <c r="E211" i="8" a="1"/>
  <c r="E211" i="8" s="1"/>
  <c r="K57" i="4" a="1"/>
  <c r="K57" i="4" s="1"/>
  <c r="K211" i="8" s="1" a="1"/>
  <c r="K211" i="8" s="1"/>
  <c r="H57" i="4" a="1"/>
  <c r="H57" i="4" s="1"/>
  <c r="D211" i="8" a="1"/>
  <c r="D211" i="8" s="1"/>
  <c r="J57" i="4" a="1"/>
  <c r="J57" i="4" s="1"/>
  <c r="J211" i="8" s="1" a="1"/>
  <c r="J211" i="8" s="1"/>
  <c r="G210" i="8" a="1"/>
  <c r="G210" i="8" s="1"/>
  <c r="I56" i="4" a="1"/>
  <c r="I56" i="4" s="1"/>
  <c r="I210" i="8" s="1" a="1"/>
  <c r="I210" i="8" s="1"/>
  <c r="E210" i="8" a="1"/>
  <c r="E210" i="8" s="1"/>
  <c r="K56" i="4" a="1"/>
  <c r="K56" i="4" s="1"/>
  <c r="K210" i="8" s="1" a="1"/>
  <c r="K210" i="8" s="1"/>
  <c r="H56" i="4" a="1"/>
  <c r="H56" i="4" s="1"/>
  <c r="J56" i="4" a="1"/>
  <c r="J56" i="4" s="1"/>
  <c r="J210" i="8" s="1" a="1"/>
  <c r="J210" i="8" s="1"/>
  <c r="D210" i="8" a="1"/>
  <c r="D210" i="8" s="1"/>
  <c r="I55" i="4" a="1"/>
  <c r="I55" i="4" s="1"/>
  <c r="I209" i="8" s="1" a="1"/>
  <c r="I209" i="8" s="1"/>
  <c r="G209" i="8" a="1"/>
  <c r="G209" i="8" s="1"/>
  <c r="H55" i="4" a="1"/>
  <c r="H55" i="4" s="1"/>
  <c r="E209" i="8" a="1"/>
  <c r="E209" i="8" s="1"/>
  <c r="K55" i="4" a="1"/>
  <c r="K55" i="4" s="1"/>
  <c r="K209" i="8" s="1" a="1"/>
  <c r="K209" i="8" s="1"/>
  <c r="J55" i="4" a="1"/>
  <c r="J55" i="4" s="1"/>
  <c r="J209" i="8" s="1" a="1"/>
  <c r="J209" i="8" s="1"/>
  <c r="D209" i="8" a="1"/>
  <c r="D209" i="8" s="1"/>
  <c r="I54" i="4" a="1"/>
  <c r="I54" i="4" s="1"/>
  <c r="I208" i="8" s="1" a="1"/>
  <c r="I208" i="8" s="1"/>
  <c r="G208" i="8" a="1"/>
  <c r="G208" i="8" s="1"/>
  <c r="E208" i="8" a="1"/>
  <c r="E208" i="8" s="1"/>
  <c r="H54" i="4" a="1"/>
  <c r="H54" i="4" s="1"/>
  <c r="K54" i="4" a="1"/>
  <c r="K54" i="4" s="1"/>
  <c r="K208" i="8" s="1" a="1"/>
  <c r="K208" i="8" s="1"/>
  <c r="J54" i="4" a="1"/>
  <c r="J54" i="4" s="1"/>
  <c r="J208" i="8" s="1" a="1"/>
  <c r="J208" i="8" s="1"/>
  <c r="D208" i="8" a="1"/>
  <c r="D208" i="8" s="1"/>
  <c r="I53" i="4" a="1"/>
  <c r="I53" i="4" s="1"/>
  <c r="I207" i="8" s="1" a="1"/>
  <c r="I207" i="8" s="1"/>
  <c r="G207" i="8" a="1"/>
  <c r="G207" i="8" s="1"/>
  <c r="K53" i="4" a="1"/>
  <c r="K53" i="4" s="1"/>
  <c r="K207" i="8" s="1" a="1"/>
  <c r="K207" i="8" s="1"/>
  <c r="H53" i="4" a="1"/>
  <c r="H53" i="4" s="1"/>
  <c r="E207" i="8" a="1"/>
  <c r="E207" i="8" s="1"/>
  <c r="D207" i="8" a="1"/>
  <c r="D207" i="8" s="1"/>
  <c r="J53" i="4" a="1"/>
  <c r="J53" i="4" s="1"/>
  <c r="J207" i="8" s="1" a="1"/>
  <c r="J207" i="8" s="1"/>
  <c r="G206" i="8" a="1"/>
  <c r="G206" i="8" s="1"/>
  <c r="I52" i="4" a="1"/>
  <c r="I52" i="4" s="1"/>
  <c r="I206" i="8" s="1" a="1"/>
  <c r="I206" i="8" s="1"/>
  <c r="K52" i="4" a="1"/>
  <c r="K52" i="4" s="1"/>
  <c r="K206" i="8" s="1" a="1"/>
  <c r="K206" i="8" s="1"/>
  <c r="H52" i="4" a="1"/>
  <c r="H52" i="4" s="1"/>
  <c r="E206" i="8" a="1"/>
  <c r="E206" i="8" s="1"/>
  <c r="D206" i="8" a="1"/>
  <c r="D206" i="8" s="1"/>
  <c r="J52" i="4" a="1"/>
  <c r="J52" i="4" s="1"/>
  <c r="J206" i="8" s="1" a="1"/>
  <c r="J206" i="8" s="1"/>
  <c r="I51" i="4" a="1"/>
  <c r="I51" i="4" s="1"/>
  <c r="I205" i="8" s="1" a="1"/>
  <c r="I205" i="8" s="1"/>
  <c r="G205" i="8" a="1"/>
  <c r="G205" i="8" s="1"/>
  <c r="E205" i="8" a="1"/>
  <c r="E205" i="8" s="1"/>
  <c r="K51" i="4" a="1"/>
  <c r="K51" i="4" s="1"/>
  <c r="K205" i="8" s="1" a="1"/>
  <c r="K205" i="8" s="1"/>
  <c r="H51" i="4" a="1"/>
  <c r="H51" i="4" s="1"/>
  <c r="D205" i="8" a="1"/>
  <c r="D205" i="8" s="1"/>
  <c r="J51" i="4" a="1"/>
  <c r="J51" i="4" s="1"/>
  <c r="J205" i="8" s="1" a="1"/>
  <c r="J205" i="8" s="1"/>
  <c r="G204" i="8" a="1"/>
  <c r="G204" i="8" s="1"/>
  <c r="I50" i="4" a="1"/>
  <c r="I50" i="4" s="1"/>
  <c r="I204" i="8" s="1" a="1"/>
  <c r="I204" i="8" s="1"/>
  <c r="E204" i="8" a="1"/>
  <c r="E204" i="8" s="1"/>
  <c r="K50" i="4" a="1"/>
  <c r="K50" i="4" s="1"/>
  <c r="K204" i="8" s="1" a="1"/>
  <c r="K204" i="8" s="1"/>
  <c r="H50" i="4" a="1"/>
  <c r="H50" i="4" s="1"/>
  <c r="D204" i="8" a="1"/>
  <c r="D204" i="8" s="1"/>
  <c r="J50" i="4" a="1"/>
  <c r="J50" i="4" s="1"/>
  <c r="J204" i="8" s="1" a="1"/>
  <c r="J204" i="8" s="1"/>
  <c r="K49" i="4" a="1"/>
  <c r="K49" i="4" s="1"/>
  <c r="K203" i="8" s="1" a="1"/>
  <c r="K203" i="8" s="1"/>
  <c r="H49" i="4" a="1"/>
  <c r="H49" i="4" s="1"/>
  <c r="K48" i="4" a="1"/>
  <c r="K48" i="4" s="1"/>
  <c r="K202" i="8" s="1" a="1"/>
  <c r="K202" i="8" s="1"/>
  <c r="H48" i="4" a="1"/>
  <c r="H48" i="4" s="1"/>
  <c r="K47" i="4" a="1"/>
  <c r="K47" i="4" s="1"/>
  <c r="K201" i="8" s="1" a="1"/>
  <c r="K201" i="8" s="1"/>
  <c r="H47" i="4" a="1"/>
  <c r="H47" i="4" s="1"/>
  <c r="H46" i="4" a="1"/>
  <c r="H46" i="4" s="1"/>
  <c r="K46" i="4" a="1"/>
  <c r="K46" i="4" s="1"/>
  <c r="K200" i="8" s="1" a="1"/>
  <c r="K200" i="8" s="1"/>
  <c r="K45" i="4" a="1"/>
  <c r="K45" i="4" s="1"/>
  <c r="K199" i="8" s="1" a="1"/>
  <c r="K199" i="8" s="1"/>
  <c r="H45" i="4" a="1"/>
  <c r="H45" i="4" s="1"/>
  <c r="K44" i="4" a="1"/>
  <c r="K44" i="4" s="1"/>
  <c r="K198" i="8" s="1" a="1"/>
  <c r="K198" i="8" s="1"/>
  <c r="H44" i="4" a="1"/>
  <c r="H44" i="4" s="1"/>
  <c r="H43" i="4" a="1"/>
  <c r="H43" i="4" s="1"/>
  <c r="K43" i="4" a="1"/>
  <c r="K43" i="4" s="1"/>
  <c r="K197" i="8" s="1" a="1"/>
  <c r="K197" i="8" s="1"/>
  <c r="K42" i="4" a="1"/>
  <c r="K42" i="4" s="1"/>
  <c r="K196" i="8" s="1" a="1"/>
  <c r="K196" i="8" s="1"/>
  <c r="H42" i="4" a="1"/>
  <c r="H42" i="4" s="1"/>
  <c r="K41" i="4" a="1"/>
  <c r="K41" i="4" s="1"/>
  <c r="K195" i="8" s="1" a="1"/>
  <c r="K195" i="8" s="1"/>
  <c r="H41" i="4" a="1"/>
  <c r="H41" i="4" s="1"/>
  <c r="H40" i="4" a="1"/>
  <c r="H40" i="4" s="1"/>
  <c r="K40" i="4" a="1"/>
  <c r="K40" i="4" s="1"/>
  <c r="K194" i="8" s="1" a="1"/>
  <c r="K194" i="8" s="1"/>
  <c r="K39" i="4" a="1"/>
  <c r="K39" i="4" s="1"/>
  <c r="K193" i="8" s="1" a="1"/>
  <c r="K193" i="8" s="1"/>
  <c r="H39" i="4" a="1"/>
  <c r="H39" i="4" s="1"/>
  <c r="H38" i="4" a="1"/>
  <c r="H38" i="4" s="1"/>
  <c r="K38" i="4" a="1"/>
  <c r="K38" i="4" s="1"/>
  <c r="K192" i="8" s="1" a="1"/>
  <c r="K192" i="8" s="1"/>
  <c r="H37" i="4" a="1"/>
  <c r="H37" i="4" s="1"/>
  <c r="K37" i="4" a="1"/>
  <c r="K37" i="4" s="1"/>
  <c r="K191" i="8" s="1" a="1"/>
  <c r="K191" i="8" s="1"/>
  <c r="K36" i="4" a="1"/>
  <c r="K36" i="4" s="1"/>
  <c r="K190" i="8" s="1" a="1"/>
  <c r="K190" i="8" s="1"/>
  <c r="H36" i="4" a="1"/>
  <c r="H36" i="4" s="1"/>
  <c r="K35" i="4" a="1"/>
  <c r="K35" i="4" s="1"/>
  <c r="K189" i="8" s="1" a="1"/>
  <c r="K189" i="8" s="1"/>
  <c r="H35" i="4" a="1"/>
  <c r="H35" i="4" s="1"/>
  <c r="K34" i="4" a="1"/>
  <c r="K34" i="4" s="1"/>
  <c r="K188" i="8" s="1" a="1"/>
  <c r="K188" i="8" s="1"/>
  <c r="H34" i="4" a="1"/>
  <c r="H34" i="4" s="1"/>
  <c r="K33" i="4" a="1"/>
  <c r="K33" i="4" s="1"/>
  <c r="K187" i="8" s="1" a="1"/>
  <c r="K187" i="8" s="1"/>
  <c r="H33" i="4" a="1"/>
  <c r="H33" i="4" s="1"/>
  <c r="H32" i="4" a="1"/>
  <c r="H32" i="4" s="1"/>
  <c r="K32" i="4" a="1"/>
  <c r="K32" i="4" s="1"/>
  <c r="K186" i="8" s="1" a="1"/>
  <c r="K186" i="8" s="1"/>
  <c r="H31" i="4" a="1"/>
  <c r="H31" i="4" s="1"/>
  <c r="K31" i="4" a="1"/>
  <c r="K31" i="4" s="1"/>
  <c r="K185" i="8" s="1" a="1"/>
  <c r="K185" i="8" s="1"/>
  <c r="K30" i="4" a="1"/>
  <c r="K30" i="4" s="1"/>
  <c r="K184" i="8" s="1" a="1"/>
  <c r="K184" i="8" s="1"/>
  <c r="H30" i="4" a="1"/>
  <c r="H30" i="4" s="1"/>
  <c r="K29" i="4" a="1"/>
  <c r="K29" i="4" s="1"/>
  <c r="K183" i="8" s="1" a="1"/>
  <c r="K183" i="8" s="1"/>
  <c r="H29" i="4" a="1"/>
  <c r="H29" i="4" s="1"/>
  <c r="K28" i="4" a="1"/>
  <c r="K28" i="4" s="1"/>
  <c r="K182" i="8" s="1" a="1"/>
  <c r="K182" i="8" s="1"/>
  <c r="H28" i="4" a="1"/>
  <c r="H28" i="4" s="1"/>
  <c r="K27" i="4" a="1"/>
  <c r="K27" i="4" s="1"/>
  <c r="K181" i="8" s="1" a="1"/>
  <c r="K181" i="8" s="1"/>
  <c r="H27" i="4" a="1"/>
  <c r="H27" i="4" s="1"/>
  <c r="J27" i="4" a="1"/>
  <c r="J27" i="4" s="1"/>
  <c r="J181" i="8" s="1" a="1"/>
  <c r="J181" i="8" s="1"/>
  <c r="D181" i="8" a="1"/>
  <c r="D181" i="8" s="1"/>
  <c r="G180" i="8" a="1"/>
  <c r="G180" i="8" s="1"/>
  <c r="I26" i="4" a="1"/>
  <c r="I26" i="4" s="1"/>
  <c r="I180" i="8" s="1" a="1"/>
  <c r="I180" i="8" s="1"/>
  <c r="H26" i="4" a="1"/>
  <c r="H26" i="4" s="1"/>
  <c r="E180" i="8" a="1"/>
  <c r="E180" i="8" s="1"/>
  <c r="K26" i="4" a="1"/>
  <c r="K26" i="4" s="1"/>
  <c r="K180" i="8" s="1" a="1"/>
  <c r="K180" i="8" s="1"/>
  <c r="J26" i="4" a="1"/>
  <c r="J26" i="4" s="1"/>
  <c r="J180" i="8" s="1" a="1"/>
  <c r="J180" i="8" s="1"/>
  <c r="D180" i="8" a="1"/>
  <c r="D180" i="8" s="1"/>
  <c r="I25" i="4" a="1"/>
  <c r="I25" i="4" s="1"/>
  <c r="I179" i="8" s="1" a="1"/>
  <c r="I179" i="8" s="1"/>
  <c r="G179" i="8" a="1"/>
  <c r="G179" i="8" s="1"/>
  <c r="K25" i="4" a="1"/>
  <c r="K25" i="4" s="1"/>
  <c r="K179" i="8" s="1" a="1"/>
  <c r="K179" i="8" s="1"/>
  <c r="E179" i="8" a="1"/>
  <c r="E179" i="8" s="1"/>
  <c r="H25" i="4" a="1"/>
  <c r="H25" i="4" s="1"/>
  <c r="I24" i="4" a="1"/>
  <c r="I24" i="4" s="1"/>
  <c r="I178" i="8" s="1" a="1"/>
  <c r="I178" i="8" s="1"/>
  <c r="G178" i="8" a="1"/>
  <c r="G178" i="8" s="1"/>
  <c r="E178" i="8" a="1"/>
  <c r="E178" i="8" s="1"/>
  <c r="H24" i="4" a="1"/>
  <c r="H24" i="4" s="1"/>
  <c r="K24" i="4" a="1"/>
  <c r="K24" i="4" s="1"/>
  <c r="K178" i="8" s="1" a="1"/>
  <c r="K178" i="8" s="1"/>
  <c r="J24" i="4" a="1"/>
  <c r="J24" i="4" s="1"/>
  <c r="J178" i="8" s="1" a="1"/>
  <c r="J178" i="8" s="1"/>
  <c r="D178" i="8" a="1"/>
  <c r="D178" i="8" s="1"/>
  <c r="I23" i="4" a="1"/>
  <c r="I23" i="4" s="1"/>
  <c r="I177" i="8" s="1" a="1"/>
  <c r="I177" i="8" s="1"/>
  <c r="G177" i="8" a="1"/>
  <c r="G177" i="8" s="1"/>
  <c r="K23" i="4" a="1"/>
  <c r="K23" i="4" s="1"/>
  <c r="K177" i="8" s="1" a="1"/>
  <c r="K177" i="8" s="1"/>
  <c r="E177" i="8" a="1"/>
  <c r="E177" i="8" s="1"/>
  <c r="H23" i="4" a="1"/>
  <c r="H23" i="4" s="1"/>
  <c r="I22" i="4" a="1"/>
  <c r="I22" i="4" s="1"/>
  <c r="I176" i="8" s="1" a="1"/>
  <c r="I176" i="8" s="1"/>
  <c r="G176" i="8" a="1"/>
  <c r="G176" i="8" s="1"/>
  <c r="H22" i="4" a="1"/>
  <c r="H22" i="4" s="1"/>
  <c r="K22" i="4" a="1"/>
  <c r="K22" i="4" s="1"/>
  <c r="K176" i="8" s="1" a="1"/>
  <c r="K176" i="8" s="1"/>
  <c r="E176" i="8" a="1"/>
  <c r="E176" i="8" s="1"/>
  <c r="J22" i="4" a="1"/>
  <c r="J22" i="4" s="1"/>
  <c r="J176" i="8" s="1" a="1"/>
  <c r="J176" i="8" s="1"/>
  <c r="D176" i="8" a="1"/>
  <c r="D176" i="8" s="1"/>
  <c r="I21" i="4" a="1"/>
  <c r="I21" i="4" s="1"/>
  <c r="I175" i="8" s="1" a="1"/>
  <c r="I175" i="8" s="1"/>
  <c r="G175" i="8" a="1"/>
  <c r="G175" i="8" s="1"/>
  <c r="H21" i="4" a="1"/>
  <c r="H21" i="4" s="1"/>
  <c r="K21" i="4" a="1"/>
  <c r="K21" i="4" s="1"/>
  <c r="K175" i="8" s="1" a="1"/>
  <c r="K175" i="8" s="1"/>
  <c r="E175" i="8" a="1"/>
  <c r="E175" i="8" s="1"/>
  <c r="I20" i="4" a="1"/>
  <c r="I20" i="4" s="1"/>
  <c r="I174" i="8" s="1" a="1"/>
  <c r="I174" i="8" s="1"/>
  <c r="G174" i="8" a="1"/>
  <c r="G174" i="8" s="1"/>
  <c r="H20" i="4" a="1"/>
  <c r="H20" i="4" s="1"/>
  <c r="K20" i="4" a="1"/>
  <c r="K20" i="4" s="1"/>
  <c r="K174" i="8" s="1" a="1"/>
  <c r="K174" i="8" s="1"/>
  <c r="E174" i="8" a="1"/>
  <c r="E174" i="8" s="1"/>
  <c r="D174" i="8" a="1"/>
  <c r="D174" i="8" s="1"/>
  <c r="J20" i="4" a="1"/>
  <c r="J20" i="4" s="1"/>
  <c r="J174" i="8" s="1" a="1"/>
  <c r="J174" i="8" s="1"/>
  <c r="I19" i="4" a="1"/>
  <c r="I19" i="4" s="1"/>
  <c r="I173" i="8" s="1" a="1"/>
  <c r="I173" i="8" s="1"/>
  <c r="G173" i="8" a="1"/>
  <c r="G173" i="8" s="1"/>
  <c r="E173" i="8" a="1"/>
  <c r="E173" i="8" s="1"/>
  <c r="H19" i="4" a="1"/>
  <c r="H19" i="4" s="1"/>
  <c r="K19" i="4" a="1"/>
  <c r="K19" i="4" s="1"/>
  <c r="K173" i="8" s="1" a="1"/>
  <c r="K173" i="8" s="1"/>
  <c r="G172" i="8" a="1"/>
  <c r="G172" i="8" s="1"/>
  <c r="I18" i="4" a="1"/>
  <c r="I18" i="4" s="1"/>
  <c r="I172" i="8" s="1" a="1"/>
  <c r="I172" i="8" s="1"/>
  <c r="H18" i="4" a="1"/>
  <c r="H18" i="4" s="1"/>
  <c r="E172" i="8" a="1"/>
  <c r="E172" i="8" s="1"/>
  <c r="K18" i="4" a="1"/>
  <c r="K18" i="4" s="1"/>
  <c r="K172" i="8" s="1" a="1"/>
  <c r="K172" i="8" s="1"/>
  <c r="J18" i="4" a="1"/>
  <c r="J18" i="4" s="1"/>
  <c r="J172" i="8" s="1" a="1"/>
  <c r="J172" i="8" s="1"/>
  <c r="D172" i="8" a="1"/>
  <c r="D172" i="8" s="1"/>
  <c r="K17" i="4" a="1"/>
  <c r="K17" i="4" s="1"/>
  <c r="K171" i="8" s="1" a="1"/>
  <c r="K171" i="8" s="1"/>
  <c r="H17" i="4" a="1"/>
  <c r="H17" i="4" s="1"/>
  <c r="H16" i="4" a="1"/>
  <c r="H16" i="4" s="1"/>
  <c r="K16" i="4" a="1"/>
  <c r="K16" i="4" s="1"/>
  <c r="K170" i="8" s="1" a="1"/>
  <c r="K170" i="8" s="1"/>
  <c r="H15" i="4" a="1"/>
  <c r="H15" i="4" s="1"/>
  <c r="K15" i="4" a="1"/>
  <c r="K15" i="4" s="1"/>
  <c r="K169" i="8" s="1" a="1"/>
  <c r="K169" i="8" s="1"/>
  <c r="H14" i="4" a="1"/>
  <c r="H14" i="4" s="1"/>
  <c r="K14" i="4" a="1"/>
  <c r="K14" i="4" s="1"/>
  <c r="K168" i="8" s="1" a="1"/>
  <c r="K168" i="8" s="1"/>
  <c r="K13" i="4" a="1"/>
  <c r="K13" i="4" s="1"/>
  <c r="K167" i="8" s="1" a="1"/>
  <c r="K167" i="8" s="1"/>
  <c r="H13" i="4" a="1"/>
  <c r="H13" i="4" s="1"/>
  <c r="H12" i="4" a="1"/>
  <c r="H12" i="4" s="1"/>
  <c r="K12" i="4" a="1"/>
  <c r="K12" i="4" s="1"/>
  <c r="K166" i="8" s="1" a="1"/>
  <c r="K166" i="8" s="1"/>
  <c r="K11" i="4" a="1"/>
  <c r="K11" i="4" s="1"/>
  <c r="K165" i="8" s="1" a="1"/>
  <c r="K165" i="8" s="1"/>
  <c r="H11" i="4" a="1"/>
  <c r="H11" i="4" s="1"/>
  <c r="K10" i="4" a="1"/>
  <c r="K10" i="4" s="1"/>
  <c r="K164" i="8" s="1" a="1"/>
  <c r="K164" i="8" s="1"/>
  <c r="H10" i="4" a="1"/>
  <c r="H10" i="4" s="1"/>
  <c r="H9" i="4" a="1"/>
  <c r="H9" i="4" s="1"/>
  <c r="K9" i="4" a="1"/>
  <c r="K9" i="4" s="1"/>
  <c r="K163" i="8" s="1" a="1"/>
  <c r="K163" i="8" s="1"/>
  <c r="E163" i="8" a="1"/>
  <c r="E163" i="8" s="1"/>
  <c r="J9" i="4" a="1"/>
  <c r="J9" i="4" s="1"/>
  <c r="J163" i="8" s="1" a="1"/>
  <c r="J163" i="8" s="1"/>
  <c r="D163" i="8" a="1"/>
  <c r="D163" i="8" s="1"/>
  <c r="H8" i="4" a="1"/>
  <c r="H8" i="4" s="1"/>
  <c r="K8" i="4" a="1"/>
  <c r="K8" i="4" s="1"/>
  <c r="K162" i="8" s="1" a="1"/>
  <c r="K162" i="8" s="1"/>
  <c r="E162" i="8" a="1"/>
  <c r="E162" i="8" s="1"/>
  <c r="D162" i="8" a="1"/>
  <c r="D162" i="8" s="1"/>
  <c r="J8" i="4" a="1"/>
  <c r="J8" i="4" s="1"/>
  <c r="J162" i="8" s="1" a="1"/>
  <c r="J162" i="8" s="1"/>
  <c r="G107" i="4" a="1"/>
  <c r="G107" i="4" s="1"/>
  <c r="G261" i="8" s="1" a="1"/>
  <c r="G261" i="8" s="1"/>
  <c r="G161" i="8" a="1"/>
  <c r="G161" i="8" s="1"/>
  <c r="I7" i="4" a="1"/>
  <c r="I7" i="4" s="1"/>
  <c r="K7" i="4" a="1"/>
  <c r="K7" i="4" s="1"/>
  <c r="K161" i="8" s="1" a="1"/>
  <c r="K161" i="8" s="1"/>
  <c r="H7" i="4" a="1"/>
  <c r="H7" i="4" s="1"/>
  <c r="E107" i="4" a="1"/>
  <c r="E107" i="4" s="1"/>
  <c r="E161" i="8" a="1"/>
  <c r="E161" i="8" s="1"/>
  <c r="J7" i="4" a="1"/>
  <c r="J7" i="4" s="1"/>
  <c r="J161" i="8" s="1" a="1"/>
  <c r="J161" i="8" s="1"/>
  <c r="D107" i="4" a="1"/>
  <c r="D107" i="4" s="1"/>
  <c r="D161" i="8" a="1"/>
  <c r="D161" i="8" s="1"/>
  <c r="I57" i="3" a="1"/>
  <c r="I57" i="3" s="1"/>
  <c r="I157" i="8" s="1" a="1"/>
  <c r="I157" i="8" s="1"/>
  <c r="I122" i="8" a="1"/>
  <c r="I122" i="8" s="1"/>
  <c r="H57" i="3" a="1"/>
  <c r="H57" i="3" s="1"/>
  <c r="H157" i="8" s="1" a="1"/>
  <c r="H157" i="8" s="1"/>
  <c r="H122" i="8" a="1"/>
  <c r="H122" i="8" s="1"/>
  <c r="I108" i="2" a="1"/>
  <c r="I108" i="2" s="1"/>
  <c r="I114" i="8" s="1" a="1"/>
  <c r="I114" i="8" s="1"/>
  <c r="G114" i="8" a="1"/>
  <c r="G114" i="8" s="1"/>
  <c r="K108" i="2" a="1"/>
  <c r="K108" i="2" s="1"/>
  <c r="K114" i="8" s="1" a="1"/>
  <c r="K114" i="8" s="1"/>
  <c r="E114" i="8" a="1"/>
  <c r="E114" i="8" s="1"/>
  <c r="H108" i="2" a="1"/>
  <c r="H108" i="2" s="1"/>
  <c r="J108" i="2" a="1"/>
  <c r="J108" i="2" s="1"/>
  <c r="J114" i="8" s="1" a="1"/>
  <c r="J114" i="8" s="1"/>
  <c r="D114" i="8" a="1"/>
  <c r="D114" i="8" s="1"/>
  <c r="G113" i="8" a="1"/>
  <c r="G113" i="8" s="1"/>
  <c r="I107" i="2" a="1"/>
  <c r="I107" i="2" s="1"/>
  <c r="I113" i="8" s="1" a="1"/>
  <c r="I113" i="8" s="1"/>
  <c r="E113" i="8" a="1"/>
  <c r="E113" i="8" s="1"/>
  <c r="H107" i="2" a="1"/>
  <c r="H107" i="2" s="1"/>
  <c r="K107" i="2" a="1"/>
  <c r="K107" i="2" s="1"/>
  <c r="K113" i="8" s="1" a="1"/>
  <c r="K113" i="8" s="1"/>
  <c r="G112" i="8" a="1"/>
  <c r="G112" i="8" s="1"/>
  <c r="I106" i="2" a="1"/>
  <c r="I106" i="2" s="1"/>
  <c r="I112" i="8" s="1" a="1"/>
  <c r="I112" i="8" s="1"/>
  <c r="K106" i="2" a="1"/>
  <c r="K106" i="2" s="1"/>
  <c r="K112" i="8" s="1" a="1"/>
  <c r="K112" i="8" s="1"/>
  <c r="H106" i="2" a="1"/>
  <c r="H106" i="2" s="1"/>
  <c r="E112" i="8" a="1"/>
  <c r="E112" i="8" s="1"/>
  <c r="J106" i="2" a="1"/>
  <c r="J106" i="2" s="1"/>
  <c r="J112" i="8" s="1" a="1"/>
  <c r="J112" i="8" s="1"/>
  <c r="D112" i="8" a="1"/>
  <c r="D112" i="8" s="1"/>
  <c r="I105" i="2" a="1"/>
  <c r="I105" i="2" s="1"/>
  <c r="I111" i="8" s="1" a="1"/>
  <c r="I111" i="8" s="1"/>
  <c r="G111" i="8" a="1"/>
  <c r="G111" i="8" s="1"/>
  <c r="K105" i="2" a="1"/>
  <c r="K105" i="2" s="1"/>
  <c r="K111" i="8" s="1" a="1"/>
  <c r="K111" i="8" s="1"/>
  <c r="H105" i="2" a="1"/>
  <c r="H105" i="2" s="1"/>
  <c r="E111" i="8" a="1"/>
  <c r="E111" i="8" s="1"/>
  <c r="D111" i="8" a="1"/>
  <c r="D111" i="8" s="1"/>
  <c r="J105" i="2" a="1"/>
  <c r="J105" i="2" s="1"/>
  <c r="J111" i="8" s="1" a="1"/>
  <c r="J111" i="8" s="1"/>
  <c r="G110" i="8" a="1"/>
  <c r="G110" i="8" s="1"/>
  <c r="I104" i="2" a="1"/>
  <c r="I104" i="2" s="1"/>
  <c r="I110" i="8" s="1" a="1"/>
  <c r="I110" i="8" s="1"/>
  <c r="E110" i="8" a="1"/>
  <c r="E110" i="8" s="1"/>
  <c r="K104" i="2" a="1"/>
  <c r="K104" i="2" s="1"/>
  <c r="K110" i="8" s="1" a="1"/>
  <c r="K110" i="8" s="1"/>
  <c r="H104" i="2" a="1"/>
  <c r="H104" i="2" s="1"/>
  <c r="D110" i="8" a="1"/>
  <c r="D110" i="8" s="1"/>
  <c r="J104" i="2" a="1"/>
  <c r="J104" i="2" s="1"/>
  <c r="J110" i="8" s="1" a="1"/>
  <c r="J110" i="8" s="1"/>
  <c r="G109" i="8" a="1"/>
  <c r="G109" i="8" s="1"/>
  <c r="I103" i="2" a="1"/>
  <c r="I103" i="2" s="1"/>
  <c r="I109" i="8" s="1" a="1"/>
  <c r="I109" i="8" s="1"/>
  <c r="E109" i="8" a="1"/>
  <c r="E109" i="8" s="1"/>
  <c r="K103" i="2" a="1"/>
  <c r="K103" i="2" s="1"/>
  <c r="K109" i="8" s="1" a="1"/>
  <c r="K109" i="8" s="1"/>
  <c r="H103" i="2" a="1"/>
  <c r="H103" i="2" s="1"/>
  <c r="D109" i="8" a="1"/>
  <c r="D109" i="8" s="1"/>
  <c r="J103" i="2" a="1"/>
  <c r="J103" i="2" s="1"/>
  <c r="J109" i="8" s="1" a="1"/>
  <c r="J109" i="8" s="1"/>
  <c r="G108" i="8" a="1"/>
  <c r="G108" i="8" s="1"/>
  <c r="I102" i="2" a="1"/>
  <c r="I102" i="2" s="1"/>
  <c r="I108" i="8" s="1" a="1"/>
  <c r="I108" i="8" s="1"/>
  <c r="H102" i="2" a="1"/>
  <c r="H102" i="2" s="1"/>
  <c r="K102" i="2" a="1"/>
  <c r="K102" i="2" s="1"/>
  <c r="K108" i="8" s="1" a="1"/>
  <c r="K108" i="8" s="1"/>
  <c r="E108" i="8" a="1"/>
  <c r="E108" i="8" s="1"/>
  <c r="J102" i="2" a="1"/>
  <c r="J102" i="2" s="1"/>
  <c r="J108" i="8" s="1" a="1"/>
  <c r="J108" i="8" s="1"/>
  <c r="D108" i="8" a="1"/>
  <c r="D108" i="8" s="1"/>
  <c r="G107" i="8" a="1"/>
  <c r="G107" i="8" s="1"/>
  <c r="I101" i="2" a="1"/>
  <c r="I101" i="2" s="1"/>
  <c r="I107" i="8" s="1" a="1"/>
  <c r="I107" i="8" s="1"/>
  <c r="K101" i="2" a="1"/>
  <c r="K101" i="2" s="1"/>
  <c r="K107" i="8" s="1" a="1"/>
  <c r="K107" i="8" s="1"/>
  <c r="H101" i="2" a="1"/>
  <c r="H101" i="2" s="1"/>
  <c r="E107" i="8" a="1"/>
  <c r="E107" i="8" s="1"/>
  <c r="J101" i="2" a="1"/>
  <c r="J101" i="2" s="1"/>
  <c r="J107" i="8" s="1" a="1"/>
  <c r="J107" i="8" s="1"/>
  <c r="D107" i="8" a="1"/>
  <c r="D107" i="8" s="1"/>
  <c r="I100" i="2" a="1"/>
  <c r="I100" i="2" s="1"/>
  <c r="I106" i="8" s="1" a="1"/>
  <c r="I106" i="8" s="1"/>
  <c r="G106" i="8" a="1"/>
  <c r="G106" i="8" s="1"/>
  <c r="H100" i="2" a="1"/>
  <c r="H100" i="2" s="1"/>
  <c r="K100" i="2" a="1"/>
  <c r="K100" i="2" s="1"/>
  <c r="K106" i="8" s="1" a="1"/>
  <c r="K106" i="8" s="1"/>
  <c r="E106" i="8" a="1"/>
  <c r="E106" i="8" s="1"/>
  <c r="D106" i="8" a="1"/>
  <c r="D106" i="8" s="1"/>
  <c r="J100" i="2" a="1"/>
  <c r="J100" i="2" s="1"/>
  <c r="J106" i="8" s="1" a="1"/>
  <c r="J106" i="8" s="1"/>
  <c r="G105" i="8" a="1"/>
  <c r="G105" i="8" s="1"/>
  <c r="I99" i="2" a="1"/>
  <c r="I99" i="2" s="1"/>
  <c r="I105" i="8" s="1" a="1"/>
  <c r="I105" i="8" s="1"/>
  <c r="H99" i="2" a="1"/>
  <c r="H99" i="2" s="1"/>
  <c r="E105" i="8" a="1"/>
  <c r="E105" i="8" s="1"/>
  <c r="K99" i="2" a="1"/>
  <c r="K99" i="2" s="1"/>
  <c r="K105" i="8" s="1" a="1"/>
  <c r="K105" i="8" s="1"/>
  <c r="G104" i="8" a="1"/>
  <c r="G104" i="8" s="1"/>
  <c r="I98" i="2" a="1"/>
  <c r="I98" i="2" s="1"/>
  <c r="I104" i="8" s="1" a="1"/>
  <c r="I104" i="8" s="1"/>
  <c r="H98" i="2" a="1"/>
  <c r="H98" i="2" s="1"/>
  <c r="E104" i="8" a="1"/>
  <c r="E104" i="8" s="1"/>
  <c r="K98" i="2" a="1"/>
  <c r="K98" i="2" s="1"/>
  <c r="K104" i="8" s="1" a="1"/>
  <c r="K104" i="8" s="1"/>
  <c r="G103" i="8" a="1"/>
  <c r="G103" i="8" s="1"/>
  <c r="I97" i="2" a="1"/>
  <c r="I97" i="2" s="1"/>
  <c r="I103" i="8" s="1" a="1"/>
  <c r="I103" i="8" s="1"/>
  <c r="H97" i="2" a="1"/>
  <c r="H97" i="2" s="1"/>
  <c r="E103" i="8" a="1"/>
  <c r="E103" i="8" s="1"/>
  <c r="K97" i="2" a="1"/>
  <c r="K97" i="2" s="1"/>
  <c r="K103" i="8" s="1" a="1"/>
  <c r="K103" i="8" s="1"/>
  <c r="J97" i="2" a="1"/>
  <c r="J97" i="2" s="1"/>
  <c r="J103" i="8" s="1" a="1"/>
  <c r="J103" i="8" s="1"/>
  <c r="D103" i="8" a="1"/>
  <c r="D103" i="8" s="1"/>
  <c r="I96" i="2" a="1"/>
  <c r="I96" i="2" s="1"/>
  <c r="I102" i="8" s="1" a="1"/>
  <c r="I102" i="8" s="1"/>
  <c r="G102" i="8" a="1"/>
  <c r="G102" i="8" s="1"/>
  <c r="K96" i="2" a="1"/>
  <c r="K96" i="2" s="1"/>
  <c r="K102" i="8" s="1" a="1"/>
  <c r="K102" i="8" s="1"/>
  <c r="E102" i="8" a="1"/>
  <c r="E102" i="8" s="1"/>
  <c r="H96" i="2" a="1"/>
  <c r="H96" i="2" s="1"/>
  <c r="I95" i="2" a="1"/>
  <c r="I95" i="2" s="1"/>
  <c r="I101" i="8" s="1" a="1"/>
  <c r="I101" i="8" s="1"/>
  <c r="G101" i="8" a="1"/>
  <c r="G101" i="8" s="1"/>
  <c r="H95" i="2" a="1"/>
  <c r="H95" i="2" s="1"/>
  <c r="K95" i="2" a="1"/>
  <c r="K95" i="2" s="1"/>
  <c r="K101" i="8" s="1" a="1"/>
  <c r="K101" i="8" s="1"/>
  <c r="E101" i="8" a="1"/>
  <c r="E101" i="8" s="1"/>
  <c r="I94" i="2" a="1"/>
  <c r="I94" i="2" s="1"/>
  <c r="I100" i="8" s="1" a="1"/>
  <c r="I100" i="8" s="1"/>
  <c r="G100" i="8" a="1"/>
  <c r="G100" i="8" s="1"/>
  <c r="H94" i="2" a="1"/>
  <c r="H94" i="2" s="1"/>
  <c r="K94" i="2" a="1"/>
  <c r="K94" i="2" s="1"/>
  <c r="K100" i="8" s="1" a="1"/>
  <c r="K100" i="8" s="1"/>
  <c r="E100" i="8" a="1"/>
  <c r="E100" i="8" s="1"/>
  <c r="D100" i="8" a="1"/>
  <c r="D100" i="8" s="1"/>
  <c r="J94" i="2" a="1"/>
  <c r="J94" i="2" s="1"/>
  <c r="J100" i="8" s="1" a="1"/>
  <c r="J100" i="8" s="1"/>
  <c r="G99" i="8" a="1"/>
  <c r="G99" i="8" s="1"/>
  <c r="I93" i="2" a="1"/>
  <c r="I93" i="2" s="1"/>
  <c r="I99" i="8" s="1" a="1"/>
  <c r="I99" i="8" s="1"/>
  <c r="H93" i="2" a="1"/>
  <c r="H93" i="2" s="1"/>
  <c r="E99" i="8" a="1"/>
  <c r="E99" i="8" s="1"/>
  <c r="K93" i="2" a="1"/>
  <c r="K93" i="2" s="1"/>
  <c r="K99" i="8" s="1" a="1"/>
  <c r="K99" i="8" s="1"/>
  <c r="I92" i="2" a="1"/>
  <c r="I92" i="2" s="1"/>
  <c r="I98" i="8" s="1" a="1"/>
  <c r="I98" i="8" s="1"/>
  <c r="G98" i="8" a="1"/>
  <c r="G98" i="8" s="1"/>
  <c r="H92" i="2" a="1"/>
  <c r="H92" i="2" s="1"/>
  <c r="K92" i="2" a="1"/>
  <c r="K92" i="2" s="1"/>
  <c r="K98" i="8" s="1" a="1"/>
  <c r="K98" i="8" s="1"/>
  <c r="E98" i="8" a="1"/>
  <c r="E98" i="8" s="1"/>
  <c r="D98" i="8" a="1"/>
  <c r="D98" i="8" s="1"/>
  <c r="J92" i="2" a="1"/>
  <c r="J92" i="2" s="1"/>
  <c r="J98" i="8" s="1" a="1"/>
  <c r="J98" i="8" s="1"/>
  <c r="G97" i="8" a="1"/>
  <c r="G97" i="8" s="1"/>
  <c r="I91" i="2" a="1"/>
  <c r="I91" i="2" s="1"/>
  <c r="I97" i="8" s="1" a="1"/>
  <c r="I97" i="8" s="1"/>
  <c r="H91" i="2" a="1"/>
  <c r="H91" i="2" s="1"/>
  <c r="E97" i="8" a="1"/>
  <c r="E97" i="8" s="1"/>
  <c r="K91" i="2" a="1"/>
  <c r="K91" i="2" s="1"/>
  <c r="K97" i="8" s="1" a="1"/>
  <c r="K97" i="8" s="1"/>
  <c r="J91" i="2" a="1"/>
  <c r="J91" i="2" s="1"/>
  <c r="J97" i="8" s="1" a="1"/>
  <c r="J97" i="8" s="1"/>
  <c r="D97" i="8" a="1"/>
  <c r="D97" i="8" s="1"/>
  <c r="I90" i="2" a="1"/>
  <c r="I90" i="2" s="1"/>
  <c r="I96" i="8" s="1" a="1"/>
  <c r="I96" i="8" s="1"/>
  <c r="G96" i="8" a="1"/>
  <c r="G96" i="8" s="1"/>
  <c r="H90" i="2" a="1"/>
  <c r="H90" i="2" s="1"/>
  <c r="K90" i="2" a="1"/>
  <c r="K90" i="2" s="1"/>
  <c r="K96" i="8" s="1" a="1"/>
  <c r="K96" i="8" s="1"/>
  <c r="E96" i="8" a="1"/>
  <c r="E96" i="8" s="1"/>
  <c r="I89" i="2" a="1"/>
  <c r="I89" i="2" s="1"/>
  <c r="I95" i="8" s="1" a="1"/>
  <c r="I95" i="8" s="1"/>
  <c r="G95" i="8" a="1"/>
  <c r="G95" i="8" s="1"/>
  <c r="H89" i="2" a="1"/>
  <c r="H89" i="2" s="1"/>
  <c r="K89" i="2" a="1"/>
  <c r="K89" i="2" s="1"/>
  <c r="K95" i="8" s="1" a="1"/>
  <c r="K95" i="8" s="1"/>
  <c r="E95" i="8" a="1"/>
  <c r="E95" i="8" s="1"/>
  <c r="D95" i="8" a="1"/>
  <c r="D95" i="8" s="1"/>
  <c r="J89" i="2" a="1"/>
  <c r="J89" i="2" s="1"/>
  <c r="J95" i="8" s="1" a="1"/>
  <c r="J95" i="8" s="1"/>
  <c r="G94" i="8" a="1"/>
  <c r="G94" i="8" s="1"/>
  <c r="I88" i="2" a="1"/>
  <c r="I88" i="2" s="1"/>
  <c r="I94" i="8" s="1" a="1"/>
  <c r="I94" i="8" s="1"/>
  <c r="H88" i="2" a="1"/>
  <c r="H88" i="2" s="1"/>
  <c r="E94" i="8" a="1"/>
  <c r="E94" i="8" s="1"/>
  <c r="K88" i="2" a="1"/>
  <c r="K88" i="2" s="1"/>
  <c r="K94" i="8" s="1" a="1"/>
  <c r="K94" i="8" s="1"/>
  <c r="J88" i="2" a="1"/>
  <c r="J88" i="2" s="1"/>
  <c r="J94" i="8" s="1" a="1"/>
  <c r="J94" i="8" s="1"/>
  <c r="D94" i="8" a="1"/>
  <c r="D94" i="8" s="1"/>
  <c r="G93" i="8" a="1"/>
  <c r="G93" i="8" s="1"/>
  <c r="I87" i="2" a="1"/>
  <c r="I87" i="2" s="1"/>
  <c r="I93" i="8" s="1" a="1"/>
  <c r="I93" i="8" s="1"/>
  <c r="H87" i="2" a="1"/>
  <c r="H87" i="2" s="1"/>
  <c r="K87" i="2" a="1"/>
  <c r="K87" i="2" s="1"/>
  <c r="K93" i="8" s="1" a="1"/>
  <c r="K93" i="8" s="1"/>
  <c r="E93" i="8" a="1"/>
  <c r="E93" i="8" s="1"/>
  <c r="I86" i="2" a="1"/>
  <c r="I86" i="2" s="1"/>
  <c r="I92" i="8" s="1" a="1"/>
  <c r="I92" i="8" s="1"/>
  <c r="G92" i="8" a="1"/>
  <c r="G92" i="8" s="1"/>
  <c r="H86" i="2" a="1"/>
  <c r="H86" i="2" s="1"/>
  <c r="E92" i="8" a="1"/>
  <c r="E92" i="8" s="1"/>
  <c r="K86" i="2" a="1"/>
  <c r="K86" i="2" s="1"/>
  <c r="K92" i="8" s="1" a="1"/>
  <c r="K92" i="8" s="1"/>
  <c r="J86" i="2" a="1"/>
  <c r="J86" i="2" s="1"/>
  <c r="J92" i="8" s="1" a="1"/>
  <c r="J92" i="8" s="1"/>
  <c r="D92" i="8" a="1"/>
  <c r="D92" i="8" s="1"/>
  <c r="G91" i="8" a="1"/>
  <c r="G91" i="8" s="1"/>
  <c r="I85" i="2" a="1"/>
  <c r="I85" i="2" s="1"/>
  <c r="I91" i="8" s="1" a="1"/>
  <c r="I91" i="8" s="1"/>
  <c r="H85" i="2" a="1"/>
  <c r="H85" i="2" s="1"/>
  <c r="K85" i="2" a="1"/>
  <c r="K85" i="2" s="1"/>
  <c r="K91" i="8" s="1" a="1"/>
  <c r="K91" i="8" s="1"/>
  <c r="E91" i="8" a="1"/>
  <c r="E91" i="8" s="1"/>
  <c r="J85" i="2" a="1"/>
  <c r="J85" i="2" s="1"/>
  <c r="J91" i="8" s="1" a="1"/>
  <c r="J91" i="8" s="1"/>
  <c r="D91" i="8" a="1"/>
  <c r="D91" i="8" s="1"/>
  <c r="I84" i="2" a="1"/>
  <c r="I84" i="2" s="1"/>
  <c r="I90" i="8" s="1" a="1"/>
  <c r="I90" i="8" s="1"/>
  <c r="G90" i="8" a="1"/>
  <c r="G90" i="8" s="1"/>
  <c r="K84" i="2" a="1"/>
  <c r="K84" i="2" s="1"/>
  <c r="K90" i="8" s="1" a="1"/>
  <c r="K90" i="8" s="1"/>
  <c r="E90" i="8" a="1"/>
  <c r="E90" i="8" s="1"/>
  <c r="H84" i="2" a="1"/>
  <c r="H84" i="2" s="1"/>
  <c r="J84" i="2" a="1"/>
  <c r="J84" i="2" s="1"/>
  <c r="J90" i="8" s="1" a="1"/>
  <c r="J90" i="8" s="1"/>
  <c r="D90" i="8" a="1"/>
  <c r="D90" i="8" s="1"/>
  <c r="I83" i="2" a="1"/>
  <c r="I83" i="2" s="1"/>
  <c r="I89" i="8" s="1" a="1"/>
  <c r="I89" i="8" s="1"/>
  <c r="G89" i="8" a="1"/>
  <c r="G89" i="8" s="1"/>
  <c r="H83" i="2" a="1"/>
  <c r="H83" i="2" s="1"/>
  <c r="K83" i="2" a="1"/>
  <c r="K83" i="2" s="1"/>
  <c r="K89" i="8" s="1" a="1"/>
  <c r="K89" i="8" s="1"/>
  <c r="H82" i="2" a="1"/>
  <c r="H82" i="2" s="1"/>
  <c r="K82" i="2" a="1"/>
  <c r="K82" i="2" s="1"/>
  <c r="K88" i="8" s="1" a="1"/>
  <c r="K88" i="8" s="1"/>
  <c r="H81" i="2" a="1"/>
  <c r="H81" i="2" s="1"/>
  <c r="K81" i="2" a="1"/>
  <c r="K81" i="2" s="1"/>
  <c r="K87" i="8" s="1" a="1"/>
  <c r="K87" i="8" s="1"/>
  <c r="K80" i="2" a="1"/>
  <c r="K80" i="2" s="1"/>
  <c r="K86" i="8" s="1" a="1"/>
  <c r="K86" i="8" s="1"/>
  <c r="H80" i="2" a="1"/>
  <c r="H80" i="2" s="1"/>
  <c r="H79" i="2" a="1"/>
  <c r="H79" i="2" s="1"/>
  <c r="K79" i="2" a="1"/>
  <c r="K79" i="2" s="1"/>
  <c r="K85" i="8" s="1" a="1"/>
  <c r="K85" i="8" s="1"/>
  <c r="K78" i="2" a="1"/>
  <c r="K78" i="2" s="1"/>
  <c r="K84" i="8" s="1" a="1"/>
  <c r="K84" i="8" s="1"/>
  <c r="H78" i="2" a="1"/>
  <c r="H78" i="2" s="1"/>
  <c r="K77" i="2" a="1"/>
  <c r="K77" i="2" s="1"/>
  <c r="K83" i="8" s="1" a="1"/>
  <c r="K83" i="8" s="1"/>
  <c r="H77" i="2" a="1"/>
  <c r="H77" i="2" s="1"/>
  <c r="H76" i="2" a="1"/>
  <c r="H76" i="2" s="1"/>
  <c r="K76" i="2" a="1"/>
  <c r="K76" i="2" s="1"/>
  <c r="K82" i="8" s="1" a="1"/>
  <c r="K82" i="8" s="1"/>
  <c r="H75" i="2" a="1"/>
  <c r="H75" i="2" s="1"/>
  <c r="K75" i="2" a="1"/>
  <c r="K75" i="2" s="1"/>
  <c r="K81" i="8" s="1" a="1"/>
  <c r="K81" i="8" s="1"/>
  <c r="H74" i="2" a="1"/>
  <c r="H74" i="2" s="1"/>
  <c r="K74" i="2" a="1"/>
  <c r="K74" i="2" s="1"/>
  <c r="K80" i="8" s="1" a="1"/>
  <c r="K80" i="8" s="1"/>
  <c r="K73" i="2" a="1"/>
  <c r="K73" i="2" s="1"/>
  <c r="K79" i="8" s="1" a="1"/>
  <c r="K79" i="8" s="1"/>
  <c r="H73" i="2" a="1"/>
  <c r="H73" i="2" s="1"/>
  <c r="H72" i="2" a="1"/>
  <c r="H72" i="2" s="1"/>
  <c r="K72" i="2" a="1"/>
  <c r="K72" i="2" s="1"/>
  <c r="K78" i="8" s="1" a="1"/>
  <c r="K78" i="8" s="1"/>
  <c r="K71" i="2" a="1"/>
  <c r="K71" i="2" s="1"/>
  <c r="K77" i="8" s="1" a="1"/>
  <c r="K77" i="8" s="1"/>
  <c r="H71" i="2" a="1"/>
  <c r="H71" i="2" s="1"/>
  <c r="H70" i="2" a="1"/>
  <c r="H70" i="2" s="1"/>
  <c r="K70" i="2" a="1"/>
  <c r="K70" i="2" s="1"/>
  <c r="K76" i="8" s="1" a="1"/>
  <c r="K76" i="8" s="1"/>
  <c r="K69" i="2" a="1"/>
  <c r="K69" i="2" s="1"/>
  <c r="K75" i="8" s="1" a="1"/>
  <c r="K75" i="8" s="1"/>
  <c r="H69" i="2" a="1"/>
  <c r="H69" i="2" s="1"/>
  <c r="G74" i="8" a="1"/>
  <c r="G74" i="8" s="1"/>
  <c r="I68" i="2" a="1"/>
  <c r="I68" i="2" s="1"/>
  <c r="I74" i="8" s="1" a="1"/>
  <c r="I74" i="8" s="1"/>
  <c r="K68" i="2" a="1"/>
  <c r="K68" i="2" s="1"/>
  <c r="K74" i="8" s="1" a="1"/>
  <c r="K74" i="8" s="1"/>
  <c r="H68" i="2" a="1"/>
  <c r="H68" i="2" s="1"/>
  <c r="D74" i="8" a="1"/>
  <c r="D74" i="8" s="1"/>
  <c r="J68" i="2" a="1"/>
  <c r="J68" i="2" s="1"/>
  <c r="J74" i="8" s="1" a="1"/>
  <c r="J74" i="8" s="1"/>
  <c r="I67" i="2" a="1"/>
  <c r="I67" i="2" s="1"/>
  <c r="I73" i="8" s="1" a="1"/>
  <c r="I73" i="8" s="1"/>
  <c r="G73" i="8" a="1"/>
  <c r="G73" i="8" s="1"/>
  <c r="H67" i="2" a="1"/>
  <c r="H67" i="2" s="1"/>
  <c r="K67" i="2" a="1"/>
  <c r="K67" i="2" s="1"/>
  <c r="K73" i="8" s="1" a="1"/>
  <c r="K73" i="8" s="1"/>
  <c r="E73" i="8" a="1"/>
  <c r="E73" i="8" s="1"/>
  <c r="D73" i="8" a="1"/>
  <c r="D73" i="8" s="1"/>
  <c r="J67" i="2" a="1"/>
  <c r="J67" i="2" s="1"/>
  <c r="J73" i="8" s="1" a="1"/>
  <c r="J73" i="8" s="1"/>
  <c r="I66" i="2" a="1"/>
  <c r="I66" i="2" s="1"/>
  <c r="I72" i="8" s="1" a="1"/>
  <c r="I72" i="8" s="1"/>
  <c r="G72" i="8" a="1"/>
  <c r="G72" i="8" s="1"/>
  <c r="H66" i="2" a="1"/>
  <c r="H66" i="2" s="1"/>
  <c r="K66" i="2" a="1"/>
  <c r="K66" i="2" s="1"/>
  <c r="K72" i="8" s="1" a="1"/>
  <c r="K72" i="8" s="1"/>
  <c r="E72" i="8" a="1"/>
  <c r="E72" i="8" s="1"/>
  <c r="J66" i="2" a="1"/>
  <c r="J66" i="2" s="1"/>
  <c r="J72" i="8" s="1" a="1"/>
  <c r="J72" i="8" s="1"/>
  <c r="D72" i="8" a="1"/>
  <c r="D72" i="8" s="1"/>
  <c r="G71" i="8" a="1"/>
  <c r="G71" i="8" s="1"/>
  <c r="I65" i="2" a="1"/>
  <c r="I65" i="2" s="1"/>
  <c r="I71" i="8" s="1" a="1"/>
  <c r="I71" i="8" s="1"/>
  <c r="H65" i="2" a="1"/>
  <c r="H65" i="2" s="1"/>
  <c r="E71" i="8" a="1"/>
  <c r="E71" i="8" s="1"/>
  <c r="K65" i="2" a="1"/>
  <c r="K65" i="2" s="1"/>
  <c r="K71" i="8" s="1" a="1"/>
  <c r="K71" i="8" s="1"/>
  <c r="J65" i="2" a="1"/>
  <c r="J65" i="2" s="1"/>
  <c r="J71" i="8" s="1" a="1"/>
  <c r="J71" i="8" s="1"/>
  <c r="D71" i="8" a="1"/>
  <c r="D71" i="8" s="1"/>
  <c r="G70" i="8" a="1"/>
  <c r="G70" i="8" s="1"/>
  <c r="I64" i="2" a="1"/>
  <c r="I64" i="2" s="1"/>
  <c r="I70" i="8" s="1" a="1"/>
  <c r="I70" i="8" s="1"/>
  <c r="H64" i="2" a="1"/>
  <c r="H64" i="2" s="1"/>
  <c r="K64" i="2" a="1"/>
  <c r="K64" i="2" s="1"/>
  <c r="K70" i="8" s="1" a="1"/>
  <c r="K70" i="8" s="1"/>
  <c r="E70" i="8" a="1"/>
  <c r="E70" i="8" s="1"/>
  <c r="I63" i="2" a="1"/>
  <c r="I63" i="2" s="1"/>
  <c r="I69" i="8" s="1" a="1"/>
  <c r="I69" i="8" s="1"/>
  <c r="G69" i="8" a="1"/>
  <c r="G69" i="8" s="1"/>
  <c r="K63" i="2" a="1"/>
  <c r="K63" i="2" s="1"/>
  <c r="K69" i="8" s="1" a="1"/>
  <c r="K69" i="8" s="1"/>
  <c r="H63" i="2" a="1"/>
  <c r="H63" i="2" s="1"/>
  <c r="E69" i="8" a="1"/>
  <c r="E69" i="8" s="1"/>
  <c r="J63" i="2" a="1"/>
  <c r="J63" i="2" s="1"/>
  <c r="J69" i="8" s="1" a="1"/>
  <c r="J69" i="8" s="1"/>
  <c r="D69" i="8" a="1"/>
  <c r="D69" i="8" s="1"/>
  <c r="I62" i="2" a="1"/>
  <c r="I62" i="2" s="1"/>
  <c r="I68" i="8" s="1" a="1"/>
  <c r="I68" i="8" s="1"/>
  <c r="G68" i="8" a="1"/>
  <c r="G68" i="8" s="1"/>
  <c r="E68" i="8" a="1"/>
  <c r="E68" i="8" s="1"/>
  <c r="H62" i="2" a="1"/>
  <c r="H62" i="2" s="1"/>
  <c r="K62" i="2" a="1"/>
  <c r="K62" i="2" s="1"/>
  <c r="K68" i="8" s="1" a="1"/>
  <c r="K68" i="8" s="1"/>
  <c r="J62" i="2" a="1"/>
  <c r="J62" i="2" s="1"/>
  <c r="J68" i="8" s="1" a="1"/>
  <c r="J68" i="8" s="1"/>
  <c r="D68" i="8" a="1"/>
  <c r="D68" i="8" s="1"/>
  <c r="I61" i="2" a="1"/>
  <c r="I61" i="2" s="1"/>
  <c r="I67" i="8" s="1" a="1"/>
  <c r="I67" i="8" s="1"/>
  <c r="G67" i="8" a="1"/>
  <c r="G67" i="8" s="1"/>
  <c r="H61" i="2" a="1"/>
  <c r="H61" i="2" s="1"/>
  <c r="K61" i="2" a="1"/>
  <c r="K61" i="2" s="1"/>
  <c r="K67" i="8" s="1" a="1"/>
  <c r="K67" i="8" s="1"/>
  <c r="E67" i="8" a="1"/>
  <c r="E67" i="8" s="1"/>
  <c r="D67" i="8" a="1"/>
  <c r="D67" i="8" s="1"/>
  <c r="J61" i="2" a="1"/>
  <c r="J61" i="2" s="1"/>
  <c r="J67" i="8" s="1" a="1"/>
  <c r="J67" i="8" s="1"/>
  <c r="I60" i="2" a="1"/>
  <c r="I60" i="2" s="1"/>
  <c r="I66" i="8" s="1" a="1"/>
  <c r="I66" i="8" s="1"/>
  <c r="G66" i="8" a="1"/>
  <c r="G66" i="8" s="1"/>
  <c r="H60" i="2" a="1"/>
  <c r="H60" i="2" s="1"/>
  <c r="K60" i="2" a="1"/>
  <c r="K60" i="2" s="1"/>
  <c r="K66" i="8" s="1" a="1"/>
  <c r="K66" i="8" s="1"/>
  <c r="E66" i="8" a="1"/>
  <c r="E66" i="8" s="1"/>
  <c r="I59" i="2" a="1"/>
  <c r="I59" i="2" s="1"/>
  <c r="I65" i="8" s="1" a="1"/>
  <c r="I65" i="8" s="1"/>
  <c r="G65" i="8" a="1"/>
  <c r="G65" i="8" s="1"/>
  <c r="E65" i="8" a="1"/>
  <c r="E65" i="8" s="1"/>
  <c r="H59" i="2" a="1"/>
  <c r="H59" i="2" s="1"/>
  <c r="K59" i="2" a="1"/>
  <c r="K59" i="2" s="1"/>
  <c r="K65" i="8" s="1" a="1"/>
  <c r="K65" i="8" s="1"/>
  <c r="J59" i="2" a="1"/>
  <c r="J59" i="2" s="1"/>
  <c r="J65" i="8" s="1" a="1"/>
  <c r="J65" i="8" s="1"/>
  <c r="D65" i="8" a="1"/>
  <c r="D65" i="8" s="1"/>
  <c r="I58" i="2" a="1"/>
  <c r="I58" i="2" s="1"/>
  <c r="I64" i="8" s="1" a="1"/>
  <c r="I64" i="8" s="1"/>
  <c r="G64" i="8" a="1"/>
  <c r="G64" i="8" s="1"/>
  <c r="K58" i="2" a="1"/>
  <c r="K58" i="2" s="1"/>
  <c r="K64" i="8" s="1" a="1"/>
  <c r="K64" i="8" s="1"/>
  <c r="H58" i="2" a="1"/>
  <c r="H58" i="2" s="1"/>
  <c r="E64" i="8" a="1"/>
  <c r="E64" i="8" s="1"/>
  <c r="J58" i="2" a="1"/>
  <c r="J58" i="2" s="1"/>
  <c r="J64" i="8" s="1" a="1"/>
  <c r="J64" i="8" s="1"/>
  <c r="D64" i="8" a="1"/>
  <c r="D64" i="8" s="1"/>
  <c r="G63" i="8" a="1"/>
  <c r="G63" i="8" s="1"/>
  <c r="I57" i="2" a="1"/>
  <c r="I57" i="2" s="1"/>
  <c r="I63" i="8" s="1" a="1"/>
  <c r="I63" i="8" s="1"/>
  <c r="H57" i="2" a="1"/>
  <c r="H57" i="2" s="1"/>
  <c r="E63" i="8" a="1"/>
  <c r="E63" i="8" s="1"/>
  <c r="K57" i="2" a="1"/>
  <c r="K57" i="2" s="1"/>
  <c r="K63" i="8" s="1" a="1"/>
  <c r="K63" i="8" s="1"/>
  <c r="J57" i="2" a="1"/>
  <c r="J57" i="2" s="1"/>
  <c r="J63" i="8" s="1" a="1"/>
  <c r="J63" i="8" s="1"/>
  <c r="D63" i="8" a="1"/>
  <c r="D63" i="8" s="1"/>
  <c r="I56" i="2" a="1"/>
  <c r="I56" i="2" s="1"/>
  <c r="I62" i="8" s="1" a="1"/>
  <c r="I62" i="8" s="1"/>
  <c r="G62" i="8" a="1"/>
  <c r="G62" i="8" s="1"/>
  <c r="K56" i="2" a="1"/>
  <c r="K56" i="2" s="1"/>
  <c r="K62" i="8" s="1" a="1"/>
  <c r="K62" i="8" s="1"/>
  <c r="H56" i="2" a="1"/>
  <c r="H56" i="2" s="1"/>
  <c r="J56" i="2" a="1"/>
  <c r="J56" i="2" s="1"/>
  <c r="J62" i="8" s="1" a="1"/>
  <c r="J62" i="8" s="1"/>
  <c r="D62" i="8" a="1"/>
  <c r="D62" i="8" s="1"/>
  <c r="I55" i="2" a="1"/>
  <c r="I55" i="2" s="1"/>
  <c r="I61" i="8" s="1" a="1"/>
  <c r="I61" i="8" s="1"/>
  <c r="G61" i="8" a="1"/>
  <c r="G61" i="8" s="1"/>
  <c r="H55" i="2" a="1"/>
  <c r="H55" i="2" s="1"/>
  <c r="K55" i="2" a="1"/>
  <c r="K55" i="2" s="1"/>
  <c r="K61" i="8" s="1" a="1"/>
  <c r="K61" i="8" s="1"/>
  <c r="E61" i="8" a="1"/>
  <c r="E61" i="8" s="1"/>
  <c r="I54" i="2" a="1"/>
  <c r="I54" i="2" s="1"/>
  <c r="I60" i="8" s="1" a="1"/>
  <c r="I60" i="8" s="1"/>
  <c r="G60" i="8" a="1"/>
  <c r="G60" i="8" s="1"/>
  <c r="K54" i="2" a="1"/>
  <c r="K54" i="2" s="1"/>
  <c r="K60" i="8" s="1" a="1"/>
  <c r="K60" i="8" s="1"/>
  <c r="E60" i="8" a="1"/>
  <c r="E60" i="8" s="1"/>
  <c r="H54" i="2" a="1"/>
  <c r="H54" i="2" s="1"/>
  <c r="J54" i="2" a="1"/>
  <c r="J54" i="2" s="1"/>
  <c r="J60" i="8" s="1" a="1"/>
  <c r="J60" i="8" s="1"/>
  <c r="D60" i="8" a="1"/>
  <c r="D60" i="8" s="1"/>
  <c r="G59" i="8" a="1"/>
  <c r="G59" i="8" s="1"/>
  <c r="I53" i="2" a="1"/>
  <c r="I53" i="2" s="1"/>
  <c r="I59" i="8" s="1" a="1"/>
  <c r="I59" i="8" s="1"/>
  <c r="H53" i="2" a="1"/>
  <c r="H53" i="2" s="1"/>
  <c r="K53" i="2" a="1"/>
  <c r="K53" i="2" s="1"/>
  <c r="K59" i="8" s="1" a="1"/>
  <c r="K59" i="8" s="1"/>
  <c r="E59" i="8" a="1"/>
  <c r="E59" i="8" s="1"/>
  <c r="D59" i="8" a="1"/>
  <c r="D59" i="8" s="1"/>
  <c r="J53" i="2" a="1"/>
  <c r="J53" i="2" s="1"/>
  <c r="J59" i="8" s="1" a="1"/>
  <c r="J59" i="8" s="1"/>
  <c r="G58" i="8" a="1"/>
  <c r="G58" i="8" s="1"/>
  <c r="I52" i="2" a="1"/>
  <c r="I52" i="2" s="1"/>
  <c r="I58" i="8" s="1" a="1"/>
  <c r="I58" i="8" s="1"/>
  <c r="H52" i="2" a="1"/>
  <c r="H52" i="2" s="1"/>
  <c r="E58" i="8" a="1"/>
  <c r="E58" i="8" s="1"/>
  <c r="K52" i="2" a="1"/>
  <c r="K52" i="2" s="1"/>
  <c r="K58" i="8" s="1" a="1"/>
  <c r="K58" i="8" s="1"/>
  <c r="J52" i="2" a="1"/>
  <c r="J52" i="2" s="1"/>
  <c r="J58" i="8" s="1" a="1"/>
  <c r="J58" i="8" s="1"/>
  <c r="D58" i="8" a="1"/>
  <c r="D58" i="8" s="1"/>
  <c r="G57" i="8" a="1"/>
  <c r="G57" i="8" s="1"/>
  <c r="I51" i="2" a="1"/>
  <c r="I51" i="2" s="1"/>
  <c r="I57" i="8" s="1" a="1"/>
  <c r="I57" i="8" s="1"/>
  <c r="H51" i="2" a="1"/>
  <c r="H51" i="2" s="1"/>
  <c r="K51" i="2" a="1"/>
  <c r="K51" i="2" s="1"/>
  <c r="K57" i="8" s="1" a="1"/>
  <c r="K57" i="8" s="1"/>
  <c r="E57" i="8" a="1"/>
  <c r="E57" i="8" s="1"/>
  <c r="I50" i="2" a="1"/>
  <c r="I50" i="2" s="1"/>
  <c r="I56" i="8" s="1" a="1"/>
  <c r="I56" i="8" s="1"/>
  <c r="G56" i="8" a="1"/>
  <c r="G56" i="8" s="1"/>
  <c r="H50" i="2" a="1"/>
  <c r="H50" i="2" s="1"/>
  <c r="K50" i="2" a="1"/>
  <c r="K50" i="2" s="1"/>
  <c r="K56" i="8" s="1" a="1"/>
  <c r="K56" i="8" s="1"/>
  <c r="E56" i="8" a="1"/>
  <c r="E56" i="8" s="1"/>
  <c r="D56" i="8" a="1"/>
  <c r="D56" i="8" s="1"/>
  <c r="J50" i="2" a="1"/>
  <c r="J50" i="2" s="1"/>
  <c r="J56" i="8" s="1" a="1"/>
  <c r="J56" i="8" s="1"/>
  <c r="I49" i="2" a="1"/>
  <c r="I49" i="2" s="1"/>
  <c r="I55" i="8" s="1" a="1"/>
  <c r="I55" i="8" s="1"/>
  <c r="G55" i="8" a="1"/>
  <c r="G55" i="8" s="1"/>
  <c r="H49" i="2" a="1"/>
  <c r="H49" i="2" s="1"/>
  <c r="K49" i="2" a="1"/>
  <c r="K49" i="2" s="1"/>
  <c r="K55" i="8" s="1" a="1"/>
  <c r="K55" i="8" s="1"/>
  <c r="E55" i="8" a="1"/>
  <c r="E55" i="8" s="1"/>
  <c r="J49" i="2" a="1"/>
  <c r="J49" i="2" s="1"/>
  <c r="J55" i="8" s="1" a="1"/>
  <c r="J55" i="8" s="1"/>
  <c r="D55" i="8" a="1"/>
  <c r="D55" i="8" s="1"/>
  <c r="G54" i="8" a="1"/>
  <c r="G54" i="8" s="1"/>
  <c r="I48" i="2" a="1"/>
  <c r="I48" i="2" s="1"/>
  <c r="I54" i="8" s="1" a="1"/>
  <c r="I54" i="8" s="1"/>
  <c r="K48" i="2" a="1"/>
  <c r="K48" i="2" s="1"/>
  <c r="K54" i="8" s="1" a="1"/>
  <c r="K54" i="8" s="1"/>
  <c r="H48" i="2" a="1"/>
  <c r="H48" i="2" s="1"/>
  <c r="E54" i="8" a="1"/>
  <c r="E54" i="8" s="1"/>
  <c r="J48" i="2" a="1"/>
  <c r="J48" i="2" s="1"/>
  <c r="J54" i="8" s="1" a="1"/>
  <c r="J54" i="8" s="1"/>
  <c r="D54" i="8" a="1"/>
  <c r="D54" i="8" s="1"/>
  <c r="G53" i="8" a="1"/>
  <c r="G53" i="8" s="1"/>
  <c r="I47" i="2" a="1"/>
  <c r="I47" i="2" s="1"/>
  <c r="I53" i="8" s="1" a="1"/>
  <c r="I53" i="8" s="1"/>
  <c r="H47" i="2" a="1"/>
  <c r="H47" i="2" s="1"/>
  <c r="K47" i="2" a="1"/>
  <c r="K47" i="2" s="1"/>
  <c r="K53" i="8" s="1" a="1"/>
  <c r="K53" i="8" s="1"/>
  <c r="E53" i="8" a="1"/>
  <c r="E53" i="8" s="1"/>
  <c r="D53" i="8" a="1"/>
  <c r="D53" i="8" s="1"/>
  <c r="J47" i="2" a="1"/>
  <c r="J47" i="2" s="1"/>
  <c r="J53" i="8" s="1" a="1"/>
  <c r="J53" i="8" s="1"/>
  <c r="I46" i="2" a="1"/>
  <c r="I46" i="2" s="1"/>
  <c r="I52" i="8" s="1" a="1"/>
  <c r="I52" i="8" s="1"/>
  <c r="G52" i="8" a="1"/>
  <c r="G52" i="8" s="1"/>
  <c r="E52" i="8" a="1"/>
  <c r="E52" i="8" s="1"/>
  <c r="H46" i="2" a="1"/>
  <c r="H46" i="2" s="1"/>
  <c r="K46" i="2" a="1"/>
  <c r="K46" i="2" s="1"/>
  <c r="K52" i="8" s="1" a="1"/>
  <c r="K52" i="8" s="1"/>
  <c r="J46" i="2" a="1"/>
  <c r="J46" i="2" s="1"/>
  <c r="J52" i="8" s="1" a="1"/>
  <c r="J52" i="8" s="1"/>
  <c r="D52" i="8" a="1"/>
  <c r="D52" i="8" s="1"/>
  <c r="I45" i="2" a="1"/>
  <c r="I45" i="2" s="1"/>
  <c r="I51" i="8" s="1" a="1"/>
  <c r="I51" i="8" s="1"/>
  <c r="G51" i="8" a="1"/>
  <c r="G51" i="8" s="1"/>
  <c r="H45" i="2" a="1"/>
  <c r="H45" i="2" s="1"/>
  <c r="K45" i="2" a="1"/>
  <c r="K45" i="2" s="1"/>
  <c r="K51" i="8" s="1" a="1"/>
  <c r="K51" i="8" s="1"/>
  <c r="E51" i="8" a="1"/>
  <c r="E51" i="8" s="1"/>
  <c r="I44" i="2" a="1"/>
  <c r="I44" i="2" s="1"/>
  <c r="I50" i="8" s="1" a="1"/>
  <c r="I50" i="8" s="1"/>
  <c r="G50" i="8" a="1"/>
  <c r="G50" i="8" s="1"/>
  <c r="K44" i="2" a="1"/>
  <c r="K44" i="2" s="1"/>
  <c r="K50" i="8" s="1" a="1"/>
  <c r="K50" i="8" s="1"/>
  <c r="E50" i="8" a="1"/>
  <c r="E50" i="8" s="1"/>
  <c r="H44" i="2" a="1"/>
  <c r="H44" i="2" s="1"/>
  <c r="J44" i="2" a="1"/>
  <c r="J44" i="2" s="1"/>
  <c r="J50" i="8" s="1" a="1"/>
  <c r="J50" i="8" s="1"/>
  <c r="D50" i="8" a="1"/>
  <c r="D50" i="8" s="1"/>
  <c r="G49" i="8" a="1"/>
  <c r="G49" i="8" s="1"/>
  <c r="I43" i="2" a="1"/>
  <c r="I43" i="2" s="1"/>
  <c r="I49" i="8" s="1" a="1"/>
  <c r="I49" i="8" s="1"/>
  <c r="H43" i="2" a="1"/>
  <c r="H43" i="2" s="1"/>
  <c r="K43" i="2" a="1"/>
  <c r="K43" i="2" s="1"/>
  <c r="K49" i="8" s="1" a="1"/>
  <c r="K49" i="8" s="1"/>
  <c r="I42" i="2" a="1"/>
  <c r="I42" i="2" s="1"/>
  <c r="I48" i="8" s="1" a="1"/>
  <c r="I48" i="8" s="1"/>
  <c r="G48" i="8" a="1"/>
  <c r="G48" i="8" s="1"/>
  <c r="H42" i="2" a="1"/>
  <c r="H42" i="2" s="1"/>
  <c r="K42" i="2" a="1"/>
  <c r="K42" i="2" s="1"/>
  <c r="K48" i="8" s="1" a="1"/>
  <c r="K48" i="8" s="1"/>
  <c r="E48" i="8" a="1"/>
  <c r="E48" i="8" s="1"/>
  <c r="D48" i="8" a="1"/>
  <c r="D48" i="8" s="1"/>
  <c r="J42" i="2" a="1"/>
  <c r="J42" i="2" s="1"/>
  <c r="J48" i="8" s="1" a="1"/>
  <c r="J48" i="8" s="1"/>
  <c r="I41" i="2" a="1"/>
  <c r="I41" i="2" s="1"/>
  <c r="I47" i="8" s="1" a="1"/>
  <c r="I47" i="8" s="1"/>
  <c r="G47" i="8" a="1"/>
  <c r="G47" i="8" s="1"/>
  <c r="H41" i="2" a="1"/>
  <c r="H41" i="2" s="1"/>
  <c r="K41" i="2" a="1"/>
  <c r="K41" i="2" s="1"/>
  <c r="K47" i="8" s="1" a="1"/>
  <c r="K47" i="8" s="1"/>
  <c r="E47" i="8" a="1"/>
  <c r="E47" i="8" s="1"/>
  <c r="J41" i="2" a="1"/>
  <c r="J41" i="2" s="1"/>
  <c r="J47" i="8" s="1" a="1"/>
  <c r="J47" i="8" s="1"/>
  <c r="D47" i="8" a="1"/>
  <c r="D47" i="8" s="1"/>
  <c r="G46" i="8" a="1"/>
  <c r="G46" i="8" s="1"/>
  <c r="I40" i="2" a="1"/>
  <c r="I40" i="2" s="1"/>
  <c r="I46" i="8" s="1" a="1"/>
  <c r="I46" i="8" s="1"/>
  <c r="K40" i="2" a="1"/>
  <c r="K40" i="2" s="1"/>
  <c r="K46" i="8" s="1" a="1"/>
  <c r="K46" i="8" s="1"/>
  <c r="H40" i="2" a="1"/>
  <c r="H40" i="2" s="1"/>
  <c r="E46" i="8" a="1"/>
  <c r="E46" i="8" s="1"/>
  <c r="J40" i="2" a="1"/>
  <c r="J40" i="2" s="1"/>
  <c r="J46" i="8" s="1" a="1"/>
  <c r="J46" i="8" s="1"/>
  <c r="D46" i="8" a="1"/>
  <c r="D46" i="8" s="1"/>
  <c r="I39" i="2" a="1"/>
  <c r="I39" i="2" s="1"/>
  <c r="I45" i="8" s="1" a="1"/>
  <c r="I45" i="8" s="1"/>
  <c r="G45" i="8" a="1"/>
  <c r="G45" i="8" s="1"/>
  <c r="K39" i="2" a="1"/>
  <c r="K39" i="2" s="1"/>
  <c r="K45" i="8" s="1" a="1"/>
  <c r="K45" i="8" s="1"/>
  <c r="H39" i="2" a="1"/>
  <c r="H39" i="2" s="1"/>
  <c r="E45" i="8" a="1"/>
  <c r="E45" i="8" s="1"/>
  <c r="J39" i="2" a="1"/>
  <c r="J39" i="2" s="1"/>
  <c r="J45" i="8" s="1" a="1"/>
  <c r="J45" i="8" s="1"/>
  <c r="D45" i="8" a="1"/>
  <c r="D45" i="8" s="1"/>
  <c r="G44" i="8" a="1"/>
  <c r="G44" i="8" s="1"/>
  <c r="I38" i="2" a="1"/>
  <c r="I38" i="2" s="1"/>
  <c r="I44" i="8" s="1" a="1"/>
  <c r="I44" i="8" s="1"/>
  <c r="H38" i="2" a="1"/>
  <c r="H38" i="2" s="1"/>
  <c r="E44" i="8" a="1"/>
  <c r="E44" i="8" s="1"/>
  <c r="K38" i="2" a="1"/>
  <c r="K38" i="2" s="1"/>
  <c r="K44" i="8" s="1" a="1"/>
  <c r="K44" i="8" s="1"/>
  <c r="J38" i="2" a="1"/>
  <c r="J38" i="2" s="1"/>
  <c r="J44" i="8" s="1" a="1"/>
  <c r="J44" i="8" s="1"/>
  <c r="D44" i="8" a="1"/>
  <c r="D44" i="8" s="1"/>
  <c r="I37" i="2" a="1"/>
  <c r="I37" i="2" s="1"/>
  <c r="I43" i="8" s="1" a="1"/>
  <c r="I43" i="8" s="1"/>
  <c r="G43" i="8" a="1"/>
  <c r="G43" i="8" s="1"/>
  <c r="H37" i="2" a="1"/>
  <c r="H37" i="2" s="1"/>
  <c r="K37" i="2" a="1"/>
  <c r="K37" i="2" s="1"/>
  <c r="K43" i="8" s="1" a="1"/>
  <c r="K43" i="8" s="1"/>
  <c r="E43" i="8" a="1"/>
  <c r="E43" i="8" s="1"/>
  <c r="D43" i="8" a="1"/>
  <c r="D43" i="8" s="1"/>
  <c r="J37" i="2" a="1"/>
  <c r="J37" i="2" s="1"/>
  <c r="J43" i="8" s="1" a="1"/>
  <c r="J43" i="8" s="1"/>
  <c r="I36" i="2" a="1"/>
  <c r="I36" i="2" s="1"/>
  <c r="I42" i="8" s="1" a="1"/>
  <c r="I42" i="8" s="1"/>
  <c r="G42" i="8" a="1"/>
  <c r="G42" i="8" s="1"/>
  <c r="H36" i="2" a="1"/>
  <c r="H36" i="2" s="1"/>
  <c r="K36" i="2" a="1"/>
  <c r="K36" i="2" s="1"/>
  <c r="K42" i="8" s="1" a="1"/>
  <c r="K42" i="8" s="1"/>
  <c r="E42" i="8" a="1"/>
  <c r="E42" i="8" s="1"/>
  <c r="D42" i="8" a="1"/>
  <c r="D42" i="8" s="1"/>
  <c r="J36" i="2" a="1"/>
  <c r="J36" i="2" s="1"/>
  <c r="J42" i="8" s="1" a="1"/>
  <c r="J42" i="8" s="1"/>
  <c r="G41" i="8" a="1"/>
  <c r="G41" i="8" s="1"/>
  <c r="I35" i="2" a="1"/>
  <c r="I35" i="2" s="1"/>
  <c r="I41" i="8" s="1" a="1"/>
  <c r="I41" i="8" s="1"/>
  <c r="H35" i="2" a="1"/>
  <c r="H35" i="2" s="1"/>
  <c r="E41" i="8" a="1"/>
  <c r="E41" i="8" s="1"/>
  <c r="K35" i="2" a="1"/>
  <c r="K35" i="2" s="1"/>
  <c r="K41" i="8" s="1" a="1"/>
  <c r="K41" i="8" s="1"/>
  <c r="J35" i="2" a="1"/>
  <c r="J35" i="2" s="1"/>
  <c r="J41" i="8" s="1" a="1"/>
  <c r="J41" i="8" s="1"/>
  <c r="D41" i="8" a="1"/>
  <c r="D41" i="8" s="1"/>
  <c r="I34" i="2" a="1"/>
  <c r="I34" i="2" s="1"/>
  <c r="I40" i="8" s="1" a="1"/>
  <c r="I40" i="8" s="1"/>
  <c r="G40" i="8" a="1"/>
  <c r="G40" i="8" s="1"/>
  <c r="H34" i="2" a="1"/>
  <c r="H34" i="2" s="1"/>
  <c r="K34" i="2" a="1"/>
  <c r="K34" i="2" s="1"/>
  <c r="K40" i="8" s="1" a="1"/>
  <c r="K40" i="8" s="1"/>
  <c r="E40" i="8" a="1"/>
  <c r="E40" i="8" s="1"/>
  <c r="D40" i="8" a="1"/>
  <c r="D40" i="8" s="1"/>
  <c r="J34" i="2" a="1"/>
  <c r="J34" i="2" s="1"/>
  <c r="J40" i="8" s="1" a="1"/>
  <c r="J40" i="8" s="1"/>
  <c r="I33" i="2" a="1"/>
  <c r="I33" i="2" s="1"/>
  <c r="I39" i="8" s="1" a="1"/>
  <c r="I39" i="8" s="1"/>
  <c r="G39" i="8" a="1"/>
  <c r="G39" i="8" s="1"/>
  <c r="H33" i="2" a="1"/>
  <c r="H33" i="2" s="1"/>
  <c r="K33" i="2" a="1"/>
  <c r="K33" i="2" s="1"/>
  <c r="K39" i="8" s="1" a="1"/>
  <c r="K39" i="8" s="1"/>
  <c r="E39" i="8" a="1"/>
  <c r="E39" i="8" s="1"/>
  <c r="D39" i="8" a="1"/>
  <c r="D39" i="8" s="1"/>
  <c r="J33" i="2" a="1"/>
  <c r="J33" i="2" s="1"/>
  <c r="J39" i="8" s="1" a="1"/>
  <c r="J39" i="8" s="1"/>
  <c r="G38" i="8" a="1"/>
  <c r="G38" i="8" s="1"/>
  <c r="I32" i="2" a="1"/>
  <c r="I32" i="2" s="1"/>
  <c r="I38" i="8" s="1" a="1"/>
  <c r="I38" i="8" s="1"/>
  <c r="K32" i="2" a="1"/>
  <c r="K32" i="2" s="1"/>
  <c r="K38" i="8" s="1" a="1"/>
  <c r="K38" i="8" s="1"/>
  <c r="H32" i="2" a="1"/>
  <c r="H32" i="2" s="1"/>
  <c r="E38" i="8" a="1"/>
  <c r="E38" i="8" s="1"/>
  <c r="J32" i="2" a="1"/>
  <c r="J32" i="2" s="1"/>
  <c r="J38" i="8" s="1" a="1"/>
  <c r="J38" i="8" s="1"/>
  <c r="D38" i="8" a="1"/>
  <c r="D38" i="8" s="1"/>
  <c r="G37" i="8" a="1"/>
  <c r="G37" i="8" s="1"/>
  <c r="I31" i="2" a="1"/>
  <c r="I31" i="2" s="1"/>
  <c r="I37" i="8" s="1" a="1"/>
  <c r="I37" i="8" s="1"/>
  <c r="K31" i="2" a="1"/>
  <c r="K31" i="2" s="1"/>
  <c r="K37" i="8" s="1" a="1"/>
  <c r="K37" i="8" s="1"/>
  <c r="H31" i="2" a="1"/>
  <c r="H31" i="2" s="1"/>
  <c r="E37" i="8" a="1"/>
  <c r="E37" i="8" s="1"/>
  <c r="J31" i="2" a="1"/>
  <c r="J31" i="2" s="1"/>
  <c r="J37" i="8" s="1" a="1"/>
  <c r="J37" i="8" s="1"/>
  <c r="D37" i="8" a="1"/>
  <c r="D37" i="8" s="1"/>
  <c r="G36" i="8" a="1"/>
  <c r="G36" i="8" s="1"/>
  <c r="I30" i="2" a="1"/>
  <c r="I30" i="2" s="1"/>
  <c r="I36" i="8" s="1" a="1"/>
  <c r="I36" i="8" s="1"/>
  <c r="E36" i="8" a="1"/>
  <c r="E36" i="8" s="1"/>
  <c r="K30" i="2" a="1"/>
  <c r="K30" i="2" s="1"/>
  <c r="K36" i="8" s="1" a="1"/>
  <c r="K36" i="8" s="1"/>
  <c r="H30" i="2" a="1"/>
  <c r="H30" i="2" s="1"/>
  <c r="D36" i="8" a="1"/>
  <c r="D36" i="8" s="1"/>
  <c r="J30" i="2" a="1"/>
  <c r="J30" i="2" s="1"/>
  <c r="J36" i="8" s="1" a="1"/>
  <c r="J36" i="8" s="1"/>
  <c r="G35" i="8" a="1"/>
  <c r="G35" i="8" s="1"/>
  <c r="I29" i="2" a="1"/>
  <c r="I29" i="2" s="1"/>
  <c r="I35" i="8" s="1" a="1"/>
  <c r="I35" i="8" s="1"/>
  <c r="H29" i="2" a="1"/>
  <c r="H29" i="2" s="1"/>
  <c r="E35" i="8" a="1"/>
  <c r="E35" i="8" s="1"/>
  <c r="K29" i="2" a="1"/>
  <c r="K29" i="2" s="1"/>
  <c r="K35" i="8" s="1" a="1"/>
  <c r="K35" i="8" s="1"/>
  <c r="J29" i="2" a="1"/>
  <c r="J29" i="2" s="1"/>
  <c r="J35" i="8" s="1" a="1"/>
  <c r="J35" i="8" s="1"/>
  <c r="D35" i="8" a="1"/>
  <c r="D35" i="8" s="1"/>
  <c r="G34" i="8" a="1"/>
  <c r="G34" i="8" s="1"/>
  <c r="I28" i="2" a="1"/>
  <c r="I28" i="2" s="1"/>
  <c r="I34" i="8" s="1" a="1"/>
  <c r="I34" i="8" s="1"/>
  <c r="E34" i="8" a="1"/>
  <c r="E34" i="8" s="1"/>
  <c r="K28" i="2" a="1"/>
  <c r="K28" i="2" s="1"/>
  <c r="K34" i="8" s="1" a="1"/>
  <c r="K34" i="8" s="1"/>
  <c r="H28" i="2" a="1"/>
  <c r="H28" i="2" s="1"/>
  <c r="D34" i="8" a="1"/>
  <c r="D34" i="8" s="1"/>
  <c r="J28" i="2" a="1"/>
  <c r="J28" i="2" s="1"/>
  <c r="J34" i="8" s="1" a="1"/>
  <c r="J34" i="8" s="1"/>
  <c r="I27" i="2" a="1"/>
  <c r="I27" i="2" s="1"/>
  <c r="I33" i="8" s="1" a="1"/>
  <c r="I33" i="8" s="1"/>
  <c r="G33" i="8" a="1"/>
  <c r="G33" i="8" s="1"/>
  <c r="H27" i="2" a="1"/>
  <c r="H27" i="2" s="1"/>
  <c r="K27" i="2" a="1"/>
  <c r="K27" i="2" s="1"/>
  <c r="K33" i="8" s="1" a="1"/>
  <c r="K33" i="8" s="1"/>
  <c r="E33" i="8" a="1"/>
  <c r="E33" i="8" s="1"/>
  <c r="D33" i="8" a="1"/>
  <c r="D33" i="8" s="1"/>
  <c r="J27" i="2" a="1"/>
  <c r="J27" i="2" s="1"/>
  <c r="J33" i="8" s="1" a="1"/>
  <c r="J33" i="8" s="1"/>
  <c r="I26" i="2" a="1"/>
  <c r="I26" i="2" s="1"/>
  <c r="I32" i="8" s="1" a="1"/>
  <c r="I32" i="8" s="1"/>
  <c r="G32" i="8" a="1"/>
  <c r="G32" i="8" s="1"/>
  <c r="E32" i="8" a="1"/>
  <c r="E32" i="8" s="1"/>
  <c r="H26" i="2" a="1"/>
  <c r="H26" i="2" s="1"/>
  <c r="K26" i="2" a="1"/>
  <c r="K26" i="2" s="1"/>
  <c r="K32" i="8" s="1" a="1"/>
  <c r="K32" i="8" s="1"/>
  <c r="J26" i="2" a="1"/>
  <c r="J26" i="2" s="1"/>
  <c r="J32" i="8" s="1" a="1"/>
  <c r="J32" i="8" s="1"/>
  <c r="D32" i="8" a="1"/>
  <c r="D32" i="8" s="1"/>
  <c r="G31" i="8" a="1"/>
  <c r="G31" i="8" s="1"/>
  <c r="I25" i="2" a="1"/>
  <c r="I25" i="2" s="1"/>
  <c r="I31" i="8" s="1" a="1"/>
  <c r="I31" i="8" s="1"/>
  <c r="K25" i="2" a="1"/>
  <c r="K25" i="2" s="1"/>
  <c r="K31" i="8" s="1" a="1"/>
  <c r="K31" i="8" s="1"/>
  <c r="H25" i="2" a="1"/>
  <c r="H25" i="2" s="1"/>
  <c r="E31" i="8" a="1"/>
  <c r="E31" i="8" s="1"/>
  <c r="J25" i="2" a="1"/>
  <c r="J25" i="2" s="1"/>
  <c r="J31" i="8" s="1" a="1"/>
  <c r="J31" i="8" s="1"/>
  <c r="D31" i="8" a="1"/>
  <c r="D31" i="8" s="1"/>
  <c r="I24" i="2" a="1"/>
  <c r="I24" i="2" s="1"/>
  <c r="I30" i="8" s="1" a="1"/>
  <c r="I30" i="8" s="1"/>
  <c r="G30" i="8" a="1"/>
  <c r="G30" i="8" s="1"/>
  <c r="F9" i="3" a="1"/>
  <c r="F9" i="3" s="1"/>
  <c r="F10" i="3" s="1" a="1"/>
  <c r="F10" i="3" s="1"/>
  <c r="F30" i="8" a="1"/>
  <c r="F30" i="8" s="1"/>
  <c r="H24" i="2" a="1"/>
  <c r="H24" i="2" s="1"/>
  <c r="K24" i="2" a="1"/>
  <c r="K24" i="2" s="1"/>
  <c r="K30" i="8" s="1" a="1"/>
  <c r="K30" i="8" s="1"/>
  <c r="E30" i="8" a="1"/>
  <c r="E30" i="8" s="1"/>
  <c r="D30" i="8" a="1"/>
  <c r="D30" i="8" s="1"/>
  <c r="J24" i="2" a="1"/>
  <c r="J24" i="2" s="1"/>
  <c r="J30" i="8" s="1" a="1"/>
  <c r="J30" i="8" s="1"/>
  <c r="D9" i="3" a="1"/>
  <c r="D9" i="3" s="1"/>
  <c r="D10" i="3" s="1" a="1"/>
  <c r="D10" i="3" s="1"/>
  <c r="C10" i="3" s="1" a="1"/>
  <c r="C10" i="3" s="1"/>
  <c r="G29" i="8" a="1"/>
  <c r="G29" i="8" s="1"/>
  <c r="I23" i="2" a="1"/>
  <c r="I23" i="2" s="1"/>
  <c r="I29" i="8" s="1" a="1"/>
  <c r="I29" i="8" s="1"/>
  <c r="H23" i="2" a="1"/>
  <c r="H23" i="2" s="1"/>
  <c r="E29" i="8" a="1"/>
  <c r="E29" i="8" s="1"/>
  <c r="K23" i="2" a="1"/>
  <c r="K23" i="2" s="1"/>
  <c r="K29" i="8" s="1" a="1"/>
  <c r="K29" i="8" s="1"/>
  <c r="J23" i="2" a="1"/>
  <c r="J23" i="2" s="1"/>
  <c r="J29" i="8" s="1" a="1"/>
  <c r="J29" i="8" s="1"/>
  <c r="D29" i="8" a="1"/>
  <c r="D29" i="8" s="1"/>
  <c r="I22" i="2" a="1"/>
  <c r="I22" i="2" s="1"/>
  <c r="I28" i="8" s="1" a="1"/>
  <c r="I28" i="8" s="1"/>
  <c r="G28" i="8" a="1"/>
  <c r="G28" i="8" s="1"/>
  <c r="H22" i="2" a="1"/>
  <c r="H22" i="2" s="1"/>
  <c r="K22" i="2" a="1"/>
  <c r="K22" i="2" s="1"/>
  <c r="K28" i="8" s="1" a="1"/>
  <c r="K28" i="8" s="1"/>
  <c r="E28" i="8" a="1"/>
  <c r="E28" i="8" s="1"/>
  <c r="D28" i="8" a="1"/>
  <c r="D28" i="8" s="1"/>
  <c r="J22" i="2" a="1"/>
  <c r="J22" i="2" s="1"/>
  <c r="J28" i="8" s="1" a="1"/>
  <c r="J28" i="8" s="1"/>
  <c r="G27" i="8" a="1"/>
  <c r="G27" i="8" s="1"/>
  <c r="I21" i="2" a="1"/>
  <c r="I21" i="2" s="1"/>
  <c r="I27" i="8" s="1" a="1"/>
  <c r="I27" i="8" s="1"/>
  <c r="K21" i="2" a="1"/>
  <c r="K21" i="2" s="1"/>
  <c r="K27" i="8" s="1" a="1"/>
  <c r="K27" i="8" s="1"/>
  <c r="H21" i="2" a="1"/>
  <c r="H21" i="2" s="1"/>
  <c r="E27" i="8" a="1"/>
  <c r="E27" i="8" s="1"/>
  <c r="J21" i="2" a="1"/>
  <c r="J21" i="2" s="1"/>
  <c r="J27" i="8" s="1" a="1"/>
  <c r="J27" i="8" s="1"/>
  <c r="D27" i="8" a="1"/>
  <c r="D27" i="8" s="1"/>
  <c r="G26" i="8" a="1"/>
  <c r="G26" i="8" s="1"/>
  <c r="I20" i="2" a="1"/>
  <c r="I20" i="2" s="1"/>
  <c r="I26" i="8" s="1" a="1"/>
  <c r="I26" i="8" s="1"/>
  <c r="H20" i="2" a="1"/>
  <c r="H20" i="2" s="1"/>
  <c r="E26" i="8" a="1"/>
  <c r="E26" i="8" s="1"/>
  <c r="K20" i="2" a="1"/>
  <c r="K20" i="2" s="1"/>
  <c r="K26" i="8" s="1" a="1"/>
  <c r="K26" i="8" s="1"/>
  <c r="J20" i="2" a="1"/>
  <c r="J20" i="2" s="1"/>
  <c r="J26" i="8" s="1" a="1"/>
  <c r="J26" i="8" s="1"/>
  <c r="D26" i="8" a="1"/>
  <c r="D26" i="8" s="1"/>
  <c r="I19" i="2" a="1"/>
  <c r="I19" i="2" s="1"/>
  <c r="I25" i="8" s="1" a="1"/>
  <c r="I25" i="8" s="1"/>
  <c r="G25" i="8" a="1"/>
  <c r="G25" i="8" s="1"/>
  <c r="K19" i="2" a="1"/>
  <c r="K19" i="2" s="1"/>
  <c r="K25" i="8" s="1" a="1"/>
  <c r="K25" i="8" s="1"/>
  <c r="E25" i="8" a="1"/>
  <c r="E25" i="8" s="1"/>
  <c r="H19" i="2" a="1"/>
  <c r="H19" i="2" s="1"/>
  <c r="J19" i="2" a="1"/>
  <c r="J19" i="2" s="1"/>
  <c r="J25" i="8" s="1" a="1"/>
  <c r="J25" i="8" s="1"/>
  <c r="D25" i="8" a="1"/>
  <c r="D25" i="8" s="1"/>
  <c r="I18" i="2" a="1"/>
  <c r="I18" i="2" s="1"/>
  <c r="I24" i="8" s="1" a="1"/>
  <c r="I24" i="8" s="1"/>
  <c r="G24" i="8" a="1"/>
  <c r="G24" i="8" s="1"/>
  <c r="H18" i="2" a="1"/>
  <c r="H18" i="2" s="1"/>
  <c r="K18" i="2" a="1"/>
  <c r="K18" i="2" s="1"/>
  <c r="K24" i="8" s="1" a="1"/>
  <c r="K24" i="8" s="1"/>
  <c r="E24" i="8" a="1"/>
  <c r="E24" i="8" s="1"/>
  <c r="J18" i="2" a="1"/>
  <c r="J18" i="2" s="1"/>
  <c r="J24" i="8" s="1" a="1"/>
  <c r="J24" i="8" s="1"/>
  <c r="D24" i="8" a="1"/>
  <c r="D24" i="8" s="1"/>
  <c r="I17" i="2" a="1"/>
  <c r="I17" i="2" s="1"/>
  <c r="I23" i="8" s="1" a="1"/>
  <c r="I23" i="8" s="1"/>
  <c r="G23" i="8" a="1"/>
  <c r="G23" i="8" s="1"/>
  <c r="E23" i="8" a="1"/>
  <c r="E23" i="8" s="1"/>
  <c r="H17" i="2" a="1"/>
  <c r="H17" i="2" s="1"/>
  <c r="K17" i="2" a="1"/>
  <c r="K17" i="2" s="1"/>
  <c r="K23" i="8" s="1" a="1"/>
  <c r="K23" i="8" s="1"/>
  <c r="J17" i="2" a="1"/>
  <c r="J17" i="2" s="1"/>
  <c r="J23" i="8" s="1" a="1"/>
  <c r="J23" i="8" s="1"/>
  <c r="D23" i="8" a="1"/>
  <c r="D23" i="8" s="1"/>
  <c r="G22" i="8" a="1"/>
  <c r="G22" i="8" s="1"/>
  <c r="I16" i="2" a="1"/>
  <c r="I16" i="2" s="1"/>
  <c r="I22" i="8" s="1" a="1"/>
  <c r="I22" i="8" s="1"/>
  <c r="K16" i="2" a="1"/>
  <c r="K16" i="2" s="1"/>
  <c r="K22" i="8" s="1" a="1"/>
  <c r="K22" i="8" s="1"/>
  <c r="H16" i="2" a="1"/>
  <c r="H16" i="2" s="1"/>
  <c r="E22" i="8" a="1"/>
  <c r="E22" i="8" s="1"/>
  <c r="D22" i="8" a="1"/>
  <c r="D22" i="8" s="1"/>
  <c r="J16" i="2" a="1"/>
  <c r="J16" i="2" s="1"/>
  <c r="J22" i="8" s="1" a="1"/>
  <c r="J22" i="8" s="1"/>
  <c r="I15" i="2" a="1"/>
  <c r="I15" i="2" s="1"/>
  <c r="I21" i="8" s="1" a="1"/>
  <c r="I21" i="8" s="1"/>
  <c r="G21" i="8" a="1"/>
  <c r="G21" i="8" s="1"/>
  <c r="H15" i="2" a="1"/>
  <c r="H15" i="2" s="1"/>
  <c r="K15" i="2" a="1"/>
  <c r="K15" i="2" s="1"/>
  <c r="K21" i="8" s="1" a="1"/>
  <c r="K21" i="8" s="1"/>
  <c r="E21" i="8" a="1"/>
  <c r="E21" i="8" s="1"/>
  <c r="D21" i="8" a="1"/>
  <c r="D21" i="8" s="1"/>
  <c r="J15" i="2" a="1"/>
  <c r="J15" i="2" s="1"/>
  <c r="J21" i="8" s="1" a="1"/>
  <c r="J21" i="8" s="1"/>
  <c r="I14" i="2" a="1"/>
  <c r="I14" i="2" s="1"/>
  <c r="I20" i="8" s="1" a="1"/>
  <c r="I20" i="8" s="1"/>
  <c r="G20" i="8" a="1"/>
  <c r="G20" i="8" s="1"/>
  <c r="H14" i="2" a="1"/>
  <c r="H14" i="2" s="1"/>
  <c r="K14" i="2" a="1"/>
  <c r="K14" i="2" s="1"/>
  <c r="K20" i="8" s="1" a="1"/>
  <c r="K20" i="8" s="1"/>
  <c r="E20" i="8" a="1"/>
  <c r="E20" i="8" s="1"/>
  <c r="J14" i="2" a="1"/>
  <c r="J14" i="2" s="1"/>
  <c r="J20" i="8" s="1" a="1"/>
  <c r="J20" i="8" s="1"/>
  <c r="D20" i="8" a="1"/>
  <c r="D20" i="8" s="1"/>
  <c r="G19" i="8" a="1"/>
  <c r="G19" i="8" s="1"/>
  <c r="I13" i="2" a="1"/>
  <c r="I13" i="2" s="1"/>
  <c r="I19" i="8" s="1" a="1"/>
  <c r="I19" i="8" s="1"/>
  <c r="K13" i="2" a="1"/>
  <c r="K13" i="2" s="1"/>
  <c r="K19" i="8" s="1" a="1"/>
  <c r="K19" i="8" s="1"/>
  <c r="H13" i="2" a="1"/>
  <c r="H13" i="2" s="1"/>
  <c r="E19" i="8" a="1"/>
  <c r="E19" i="8" s="1"/>
  <c r="J13" i="2" a="1"/>
  <c r="J13" i="2" s="1"/>
  <c r="J19" i="8" s="1" a="1"/>
  <c r="J19" i="8" s="1"/>
  <c r="D19" i="8" a="1"/>
  <c r="D19" i="8" s="1"/>
  <c r="G18" i="8" a="1"/>
  <c r="G18" i="8" s="1"/>
  <c r="I12" i="2" a="1"/>
  <c r="I12" i="2" s="1"/>
  <c r="I18" i="8" s="1" a="1"/>
  <c r="I18" i="8" s="1"/>
  <c r="K12" i="2" a="1"/>
  <c r="K12" i="2" s="1"/>
  <c r="K18" i="8" s="1" a="1"/>
  <c r="K18" i="8" s="1"/>
  <c r="H12" i="2" a="1"/>
  <c r="H12" i="2" s="1"/>
  <c r="E18" i="8" a="1"/>
  <c r="E18" i="8" s="1"/>
  <c r="J12" i="2" a="1"/>
  <c r="J12" i="2" s="1"/>
  <c r="J18" i="8" s="1" a="1"/>
  <c r="J18" i="8" s="1"/>
  <c r="D18" i="8" a="1"/>
  <c r="D18" i="8" s="1"/>
  <c r="I11" i="2" a="1"/>
  <c r="I11" i="2" s="1"/>
  <c r="I17" i="8" s="1" a="1"/>
  <c r="I17" i="8" s="1"/>
  <c r="G17" i="8" a="1"/>
  <c r="G17" i="8" s="1"/>
  <c r="H11" i="2" a="1"/>
  <c r="H11" i="2" s="1"/>
  <c r="K11" i="2" a="1"/>
  <c r="K11" i="2" s="1"/>
  <c r="K17" i="8" s="1" a="1"/>
  <c r="K17" i="8" s="1"/>
  <c r="E17" i="8" a="1"/>
  <c r="E17" i="8" s="1"/>
  <c r="J11" i="2" a="1"/>
  <c r="J11" i="2" s="1"/>
  <c r="J17" i="8" s="1" a="1"/>
  <c r="J17" i="8" s="1"/>
  <c r="D17" i="8" a="1"/>
  <c r="D17" i="8" s="1"/>
  <c r="I10" i="2" a="1"/>
  <c r="I10" i="2" s="1"/>
  <c r="I16" i="8" s="1" a="1"/>
  <c r="I16" i="8" s="1"/>
  <c r="G16" i="8" a="1"/>
  <c r="G16" i="8" s="1"/>
  <c r="E16" i="8" a="1"/>
  <c r="E16" i="8" s="1"/>
  <c r="H10" i="2" a="1"/>
  <c r="H10" i="2" s="1"/>
  <c r="K10" i="2" a="1"/>
  <c r="K10" i="2" s="1"/>
  <c r="K16" i="8" s="1" a="1"/>
  <c r="K16" i="8" s="1"/>
  <c r="J10" i="2" a="1"/>
  <c r="J10" i="2" s="1"/>
  <c r="J16" i="8" s="1" a="1"/>
  <c r="J16" i="8" s="1"/>
  <c r="D16" i="8" a="1"/>
  <c r="D16" i="8" s="1"/>
  <c r="I9" i="2" a="1"/>
  <c r="I9" i="2" s="1"/>
  <c r="G109" i="2" a="1"/>
  <c r="G109" i="2" s="1"/>
  <c r="G8" i="3" a="1"/>
  <c r="G8" i="3" s="1"/>
  <c r="G15" i="8" a="1"/>
  <c r="G15" i="8" s="1"/>
  <c r="F109" i="2" a="1"/>
  <c r="F109" i="2" s="1"/>
  <c r="F15" i="8" a="1"/>
  <c r="F15" i="8" s="1"/>
  <c r="F8" i="3" a="1"/>
  <c r="F8" i="3" s="1"/>
  <c r="H9" i="2" a="1"/>
  <c r="H9" i="2" s="1"/>
  <c r="E8" i="3" a="1"/>
  <c r="E8" i="3" s="1"/>
  <c r="K9" i="2" a="1"/>
  <c r="K9" i="2" s="1"/>
  <c r="E109" i="2" a="1"/>
  <c r="E109" i="2" s="1"/>
  <c r="E15" i="8" a="1"/>
  <c r="E15" i="8" s="1"/>
  <c r="D109" i="2" a="1"/>
  <c r="D109" i="2" s="1"/>
  <c r="D8" i="3" a="1"/>
  <c r="D8" i="3" s="1"/>
  <c r="D15" i="8" a="1"/>
  <c r="D15" i="8" s="1"/>
  <c r="J9" i="2" a="1"/>
  <c r="J9" i="2" s="1"/>
  <c r="I150" i="5" a="1"/>
  <c r="I150" i="5" s="1"/>
  <c r="C150" i="5" s="1" a="1"/>
  <c r="C150" i="5" s="1"/>
  <c r="I149" i="5" a="1"/>
  <c r="I149" i="5" s="1"/>
  <c r="C149" i="5" s="1" a="1"/>
  <c r="C149" i="5" s="1"/>
  <c r="I148" i="5" a="1"/>
  <c r="I148" i="5" s="1"/>
  <c r="C148" i="5" s="1" a="1"/>
  <c r="C148" i="5" s="1"/>
  <c r="C146" i="5" a="1"/>
  <c r="C146" i="5" s="1"/>
  <c r="C144" i="5" a="1"/>
  <c r="C144" i="5" s="1"/>
  <c r="I143" i="5" a="1"/>
  <c r="I143" i="5" s="1"/>
  <c r="C143" i="5" s="1" a="1"/>
  <c r="C143" i="5" s="1"/>
  <c r="C141" i="5" a="1"/>
  <c r="C141" i="5" s="1"/>
  <c r="I140" i="5" a="1"/>
  <c r="I140" i="5" s="1"/>
  <c r="C140" i="5" s="1" a="1"/>
  <c r="C140" i="5" s="1"/>
  <c r="C137" i="5" a="1"/>
  <c r="C137" i="5" s="1"/>
  <c r="C131" i="5" a="1"/>
  <c r="C131" i="5" s="1"/>
  <c r="C127" i="5" a="1"/>
  <c r="C127" i="5" s="1"/>
  <c r="I147" i="5" a="1"/>
  <c r="I147" i="5" s="1"/>
  <c r="C147" i="5" s="1" a="1"/>
  <c r="C147" i="5" s="1"/>
  <c r="I142" i="5" a="1"/>
  <c r="I142" i="5" s="1"/>
  <c r="C142" i="5" s="1" a="1"/>
  <c r="C142" i="5" s="1"/>
  <c r="C139" i="5" a="1"/>
  <c r="C139" i="5" s="1"/>
  <c r="I138" i="5" a="1"/>
  <c r="I138" i="5" s="1"/>
  <c r="C138" i="5" s="1" a="1"/>
  <c r="C138" i="5" s="1"/>
  <c r="C134" i="5" a="1"/>
  <c r="C134" i="5" s="1"/>
  <c r="I133" i="5" a="1"/>
  <c r="I133" i="5" s="1"/>
  <c r="C133" i="5" s="1" a="1"/>
  <c r="C133" i="5" s="1"/>
  <c r="I132" i="5" a="1"/>
  <c r="I132" i="5" s="1"/>
  <c r="C132" i="5" s="1" a="1"/>
  <c r="C132" i="5" s="1"/>
  <c r="I145" i="5" a="1"/>
  <c r="I145" i="5" s="1"/>
  <c r="C145" i="5" s="1" a="1"/>
  <c r="C145" i="5" s="1"/>
  <c r="I136" i="5" a="1"/>
  <c r="I136" i="5" s="1"/>
  <c r="C136" i="5" s="1" a="1"/>
  <c r="C136" i="5" s="1"/>
  <c r="I135" i="5" a="1"/>
  <c r="I135" i="5" s="1"/>
  <c r="C135" i="5" s="1" a="1"/>
  <c r="C135" i="5" s="1"/>
  <c r="C130" i="5" a="1"/>
  <c r="C130" i="5" s="1"/>
  <c r="I129" i="5" a="1"/>
  <c r="I129" i="5" s="1"/>
  <c r="C129" i="5" s="1" a="1"/>
  <c r="C129" i="5" s="1"/>
  <c r="I128" i="5" a="1"/>
  <c r="I128" i="5" s="1"/>
  <c r="C128" i="5" s="1" a="1"/>
  <c r="C128" i="5" s="1"/>
  <c r="C126" i="5" a="1"/>
  <c r="C126" i="5" s="1"/>
  <c r="I125" i="5" a="1"/>
  <c r="I125" i="5" s="1"/>
  <c r="C125" i="5" s="1" a="1"/>
  <c r="C125" i="5" s="1"/>
  <c r="I124" i="5" a="1"/>
  <c r="I124" i="5" s="1"/>
  <c r="C124" i="5" s="1" a="1"/>
  <c r="C124" i="5" s="1"/>
  <c r="I123" i="5" a="1"/>
  <c r="I123" i="5" s="1"/>
  <c r="C123" i="5" s="1" a="1"/>
  <c r="C123" i="5" s="1"/>
  <c r="I9" i="4" a="1"/>
  <c r="I9" i="4" s="1"/>
  <c r="I163" i="8" s="1" a="1"/>
  <c r="I163" i="8" s="1"/>
  <c r="I8" i="4" a="1"/>
  <c r="I8" i="4" s="1"/>
  <c r="I162" i="8" s="1" a="1"/>
  <c r="I162" i="8" s="1"/>
  <c r="I286" i="5" l="1" a="1"/>
  <c r="I286" i="5" s="1"/>
  <c r="C276" i="5" a="1"/>
  <c r="C276" i="5" s="1"/>
  <c r="C286" i="5" s="1" a="1"/>
  <c r="C286" i="5" s="1"/>
  <c r="H265" i="8" a="1"/>
  <c r="H265" i="8" s="1"/>
  <c r="H23" i="1" a="1"/>
  <c r="H23" i="1" s="1"/>
  <c r="H11" i="5" a="1"/>
  <c r="H11" i="5" s="1"/>
  <c r="E111" i="5" a="1"/>
  <c r="E111" i="5" s="1"/>
  <c r="E266" i="8" a="1"/>
  <c r="E266" i="8" s="1"/>
  <c r="H12" i="5" a="1"/>
  <c r="H12" i="5" s="1"/>
  <c r="E267" i="8" a="1"/>
  <c r="E267" i="8" s="1"/>
  <c r="H13" i="5" a="1"/>
  <c r="H13" i="5" s="1"/>
  <c r="E268" i="8" a="1"/>
  <c r="E268" i="8" s="1"/>
  <c r="H14" i="5" a="1"/>
  <c r="H14" i="5" s="1"/>
  <c r="E269" i="8" a="1"/>
  <c r="E269" i="8" s="1"/>
  <c r="H15" i="5" a="1"/>
  <c r="H15" i="5" s="1"/>
  <c r="E270" i="8" a="1"/>
  <c r="E270" i="8" s="1"/>
  <c r="H16" i="5" a="1"/>
  <c r="H16" i="5" s="1"/>
  <c r="E271" i="8" a="1"/>
  <c r="E271" i="8" s="1"/>
  <c r="H17" i="5" a="1"/>
  <c r="H17" i="5" s="1"/>
  <c r="E272" i="8" a="1"/>
  <c r="E272" i="8" s="1"/>
  <c r="H18" i="5" a="1"/>
  <c r="H18" i="5" s="1"/>
  <c r="E273" i="8" a="1"/>
  <c r="E273" i="8" s="1"/>
  <c r="H19" i="5" a="1"/>
  <c r="H19" i="5" s="1"/>
  <c r="E274" i="8" a="1"/>
  <c r="E274" i="8" s="1"/>
  <c r="H20" i="5" a="1"/>
  <c r="H20" i="5" s="1"/>
  <c r="E275" i="8" a="1"/>
  <c r="E275" i="8" s="1"/>
  <c r="H21" i="5" a="1"/>
  <c r="H21" i="5" s="1"/>
  <c r="K21" i="5" a="1"/>
  <c r="K21" i="5" s="1"/>
  <c r="K276" i="8" s="1" a="1"/>
  <c r="K276" i="8" s="1"/>
  <c r="E276" i="8" a="1"/>
  <c r="E276" i="8" s="1"/>
  <c r="H22" i="5" a="1"/>
  <c r="H22" i="5" s="1"/>
  <c r="K22" i="5" a="1"/>
  <c r="K22" i="5" s="1"/>
  <c r="K277" i="8" s="1" a="1"/>
  <c r="K277" i="8" s="1"/>
  <c r="E277" i="8" a="1"/>
  <c r="E277" i="8" s="1"/>
  <c r="H23" i="5" a="1"/>
  <c r="H23" i="5" s="1"/>
  <c r="K23" i="5" a="1"/>
  <c r="K23" i="5" s="1"/>
  <c r="K278" i="8" s="1" a="1"/>
  <c r="K278" i="8" s="1"/>
  <c r="E278" i="8" a="1"/>
  <c r="E278" i="8" s="1"/>
  <c r="H24" i="5" a="1"/>
  <c r="H24" i="5" s="1"/>
  <c r="K24" i="5" a="1"/>
  <c r="K24" i="5" s="1"/>
  <c r="K279" i="8" s="1" a="1"/>
  <c r="K279" i="8" s="1"/>
  <c r="E279" i="8" a="1"/>
  <c r="E279" i="8" s="1"/>
  <c r="H25" i="5" a="1"/>
  <c r="H25" i="5" s="1"/>
  <c r="K25" i="5" a="1"/>
  <c r="K25" i="5" s="1"/>
  <c r="K280" i="8" s="1" a="1"/>
  <c r="K280" i="8" s="1"/>
  <c r="E280" i="8" a="1"/>
  <c r="E280" i="8" s="1"/>
  <c r="H26" i="5" a="1"/>
  <c r="H26" i="5" s="1"/>
  <c r="K26" i="5" a="1"/>
  <c r="K26" i="5" s="1"/>
  <c r="K281" i="8" s="1" a="1"/>
  <c r="K281" i="8" s="1"/>
  <c r="E281" i="8" a="1"/>
  <c r="E281" i="8" s="1"/>
  <c r="H27" i="5" a="1"/>
  <c r="H27" i="5" s="1"/>
  <c r="K27" i="5" a="1"/>
  <c r="K27" i="5" s="1"/>
  <c r="K282" i="8" s="1" a="1"/>
  <c r="K282" i="8" s="1"/>
  <c r="E282" i="8" a="1"/>
  <c r="E282" i="8" s="1"/>
  <c r="H28" i="5" a="1"/>
  <c r="H28" i="5" s="1"/>
  <c r="K28" i="5" a="1"/>
  <c r="K28" i="5" s="1"/>
  <c r="K283" i="8" s="1" a="1"/>
  <c r="K283" i="8" s="1"/>
  <c r="E283" i="8" a="1"/>
  <c r="E283" i="8" s="1"/>
  <c r="H29" i="5" a="1"/>
  <c r="H29" i="5" s="1"/>
  <c r="K29" i="5" a="1"/>
  <c r="K29" i="5" s="1"/>
  <c r="K284" i="8" s="1" a="1"/>
  <c r="K284" i="8" s="1"/>
  <c r="E284" i="8" a="1"/>
  <c r="E284" i="8" s="1"/>
  <c r="H30" i="5" a="1"/>
  <c r="H30" i="5" s="1"/>
  <c r="K30" i="5" a="1"/>
  <c r="K30" i="5" s="1"/>
  <c r="K285" i="8" s="1" a="1"/>
  <c r="K285" i="8" s="1"/>
  <c r="E285" i="8" a="1"/>
  <c r="E285" i="8" s="1"/>
  <c r="H31" i="5" a="1"/>
  <c r="H31" i="5" s="1"/>
  <c r="K31" i="5" a="1"/>
  <c r="K31" i="5" s="1"/>
  <c r="K286" i="8" s="1" a="1"/>
  <c r="K286" i="8" s="1"/>
  <c r="E286" i="8" a="1"/>
  <c r="E286" i="8" s="1"/>
  <c r="H32" i="5" a="1"/>
  <c r="H32" i="5" s="1"/>
  <c r="K32" i="5" a="1"/>
  <c r="K32" i="5" s="1"/>
  <c r="K287" i="8" s="1" a="1"/>
  <c r="K287" i="8" s="1"/>
  <c r="E287" i="8" a="1"/>
  <c r="E287" i="8" s="1"/>
  <c r="H33" i="5" a="1"/>
  <c r="H33" i="5" s="1"/>
  <c r="K33" i="5" a="1"/>
  <c r="K33" i="5" s="1"/>
  <c r="K288" i="8" s="1" a="1"/>
  <c r="K288" i="8" s="1"/>
  <c r="E288" i="8" a="1"/>
  <c r="E288" i="8" s="1"/>
  <c r="H34" i="5" a="1"/>
  <c r="H34" i="5" s="1"/>
  <c r="K34" i="5" a="1"/>
  <c r="K34" i="5" s="1"/>
  <c r="K289" i="8" s="1" a="1"/>
  <c r="K289" i="8" s="1"/>
  <c r="E289" i="8" a="1"/>
  <c r="E289" i="8" s="1"/>
  <c r="H35" i="5" a="1"/>
  <c r="H35" i="5" s="1"/>
  <c r="K35" i="5" a="1"/>
  <c r="K35" i="5" s="1"/>
  <c r="K290" i="8" s="1" a="1"/>
  <c r="K290" i="8" s="1"/>
  <c r="E290" i="8" a="1"/>
  <c r="E290" i="8" s="1"/>
  <c r="H36" i="5" a="1"/>
  <c r="H36" i="5" s="1"/>
  <c r="K36" i="5" a="1"/>
  <c r="K36" i="5" s="1"/>
  <c r="K291" i="8" s="1" a="1"/>
  <c r="K291" i="8" s="1"/>
  <c r="E291" i="8" a="1"/>
  <c r="E291" i="8" s="1"/>
  <c r="H37" i="5" a="1"/>
  <c r="H37" i="5" s="1"/>
  <c r="K37" i="5" a="1"/>
  <c r="K37" i="5" s="1"/>
  <c r="K292" i="8" s="1" a="1"/>
  <c r="K292" i="8" s="1"/>
  <c r="E292" i="8" a="1"/>
  <c r="E292" i="8" s="1"/>
  <c r="H38" i="5" a="1"/>
  <c r="H38" i="5" s="1"/>
  <c r="K38" i="5" a="1"/>
  <c r="K38" i="5" s="1"/>
  <c r="K293" i="8" s="1" a="1"/>
  <c r="K293" i="8" s="1"/>
  <c r="E293" i="8" a="1"/>
  <c r="E293" i="8" s="1"/>
  <c r="H39" i="5" a="1"/>
  <c r="H39" i="5" s="1"/>
  <c r="K39" i="5" a="1"/>
  <c r="K39" i="5" s="1"/>
  <c r="K294" i="8" s="1" a="1"/>
  <c r="K294" i="8" s="1"/>
  <c r="E294" i="8" a="1"/>
  <c r="E294" i="8" s="1"/>
  <c r="H40" i="5" a="1"/>
  <c r="H40" i="5" s="1"/>
  <c r="K40" i="5" a="1"/>
  <c r="K40" i="5" s="1"/>
  <c r="K295" i="8" s="1" a="1"/>
  <c r="K295" i="8" s="1"/>
  <c r="E295" i="8" a="1"/>
  <c r="E295" i="8" s="1"/>
  <c r="H41" i="5" a="1"/>
  <c r="H41" i="5" s="1"/>
  <c r="K41" i="5" a="1"/>
  <c r="K41" i="5" s="1"/>
  <c r="K296" i="8" s="1" a="1"/>
  <c r="K296" i="8" s="1"/>
  <c r="E296" i="8" a="1"/>
  <c r="E296" i="8" s="1"/>
  <c r="H42" i="5" a="1"/>
  <c r="H42" i="5" s="1"/>
  <c r="K42" i="5" a="1"/>
  <c r="K42" i="5" s="1"/>
  <c r="K297" i="8" s="1" a="1"/>
  <c r="K297" i="8" s="1"/>
  <c r="E297" i="8" a="1"/>
  <c r="E297" i="8" s="1"/>
  <c r="H43" i="5" a="1"/>
  <c r="H43" i="5" s="1"/>
  <c r="K43" i="5" a="1"/>
  <c r="K43" i="5" s="1"/>
  <c r="K298" i="8" s="1" a="1"/>
  <c r="K298" i="8" s="1"/>
  <c r="E298" i="8" a="1"/>
  <c r="E298" i="8" s="1"/>
  <c r="H44" i="5" a="1"/>
  <c r="H44" i="5" s="1"/>
  <c r="K44" i="5" a="1"/>
  <c r="K44" i="5" s="1"/>
  <c r="K299" i="8" s="1" a="1"/>
  <c r="K299" i="8" s="1"/>
  <c r="E299" i="8" a="1"/>
  <c r="E299" i="8" s="1"/>
  <c r="H45" i="5" a="1"/>
  <c r="H45" i="5" s="1"/>
  <c r="K45" i="5" a="1"/>
  <c r="K45" i="5" s="1"/>
  <c r="K300" i="8" s="1" a="1"/>
  <c r="K300" i="8" s="1"/>
  <c r="E300" i="8" a="1"/>
  <c r="E300" i="8" s="1"/>
  <c r="H46" i="5" a="1"/>
  <c r="H46" i="5" s="1"/>
  <c r="K46" i="5" a="1"/>
  <c r="K46" i="5" s="1"/>
  <c r="K301" i="8" s="1" a="1"/>
  <c r="K301" i="8" s="1"/>
  <c r="E301" i="8" a="1"/>
  <c r="E301" i="8" s="1"/>
  <c r="H47" i="5" a="1"/>
  <c r="H47" i="5" s="1"/>
  <c r="K47" i="5" a="1"/>
  <c r="K47" i="5" s="1"/>
  <c r="K302" i="8" s="1" a="1"/>
  <c r="K302" i="8" s="1"/>
  <c r="E302" i="8" a="1"/>
  <c r="E302" i="8" s="1"/>
  <c r="H48" i="5" a="1"/>
  <c r="H48" i="5" s="1"/>
  <c r="K48" i="5" a="1"/>
  <c r="K48" i="5" s="1"/>
  <c r="K303" i="8" s="1" a="1"/>
  <c r="K303" i="8" s="1"/>
  <c r="E303" i="8" a="1"/>
  <c r="E303" i="8" s="1"/>
  <c r="H49" i="5" a="1"/>
  <c r="H49" i="5" s="1"/>
  <c r="K49" i="5" a="1"/>
  <c r="K49" i="5" s="1"/>
  <c r="K304" i="8" s="1" a="1"/>
  <c r="K304" i="8" s="1"/>
  <c r="E304" i="8" a="1"/>
  <c r="E304" i="8" s="1"/>
  <c r="H50" i="5" a="1"/>
  <c r="H50" i="5" s="1"/>
  <c r="K50" i="5" a="1"/>
  <c r="K50" i="5" s="1"/>
  <c r="K305" i="8" s="1" a="1"/>
  <c r="K305" i="8" s="1"/>
  <c r="E305" i="8" a="1"/>
  <c r="E305" i="8" s="1"/>
  <c r="H51" i="5" a="1"/>
  <c r="H51" i="5" s="1"/>
  <c r="K51" i="5" a="1"/>
  <c r="K51" i="5" s="1"/>
  <c r="K306" i="8" s="1" a="1"/>
  <c r="K306" i="8" s="1"/>
  <c r="E306" i="8" a="1"/>
  <c r="E306" i="8" s="1"/>
  <c r="H52" i="5" a="1"/>
  <c r="H52" i="5" s="1"/>
  <c r="K52" i="5" a="1"/>
  <c r="K52" i="5" s="1"/>
  <c r="K307" i="8" s="1" a="1"/>
  <c r="K307" i="8" s="1"/>
  <c r="E307" i="8" a="1"/>
  <c r="E307" i="8" s="1"/>
  <c r="H53" i="5" a="1"/>
  <c r="H53" i="5" s="1"/>
  <c r="K53" i="5" a="1"/>
  <c r="K53" i="5" s="1"/>
  <c r="K308" i="8" s="1" a="1"/>
  <c r="K308" i="8" s="1"/>
  <c r="E308" i="8" a="1"/>
  <c r="E308" i="8" s="1"/>
  <c r="H54" i="5" a="1"/>
  <c r="H54" i="5" s="1"/>
  <c r="K54" i="5" a="1"/>
  <c r="K54" i="5" s="1"/>
  <c r="K309" i="8" s="1" a="1"/>
  <c r="K309" i="8" s="1"/>
  <c r="E309" i="8" a="1"/>
  <c r="E309" i="8" s="1"/>
  <c r="H55" i="5" a="1"/>
  <c r="H55" i="5" s="1"/>
  <c r="E310" i="8" a="1"/>
  <c r="E310" i="8" s="1"/>
  <c r="H56" i="5" a="1"/>
  <c r="H56" i="5" s="1"/>
  <c r="E311" i="8" a="1"/>
  <c r="E311" i="8" s="1"/>
  <c r="H57" i="5" a="1"/>
  <c r="H57" i="5" s="1"/>
  <c r="E312" i="8" a="1"/>
  <c r="E312" i="8" s="1"/>
  <c r="H58" i="5" a="1"/>
  <c r="H58" i="5" s="1"/>
  <c r="E313" i="8" a="1"/>
  <c r="E313" i="8" s="1"/>
  <c r="H59" i="5" a="1"/>
  <c r="H59" i="5" s="1"/>
  <c r="E314" i="8" a="1"/>
  <c r="E314" i="8" s="1"/>
  <c r="H60" i="5" a="1"/>
  <c r="H60" i="5" s="1"/>
  <c r="E315" i="8" a="1"/>
  <c r="E315" i="8" s="1"/>
  <c r="H61" i="5" a="1"/>
  <c r="H61" i="5" s="1"/>
  <c r="K61" i="5" a="1"/>
  <c r="K61" i="5" s="1"/>
  <c r="K316" i="8" s="1" a="1"/>
  <c r="K316" i="8" s="1"/>
  <c r="E316" i="8" a="1"/>
  <c r="E316" i="8" s="1"/>
  <c r="H62" i="5" a="1"/>
  <c r="H62" i="5" s="1"/>
  <c r="K62" i="5" a="1"/>
  <c r="K62" i="5" s="1"/>
  <c r="K317" i="8" s="1" a="1"/>
  <c r="K317" i="8" s="1"/>
  <c r="E317" i="8" a="1"/>
  <c r="E317" i="8" s="1"/>
  <c r="H63" i="5" a="1"/>
  <c r="H63" i="5" s="1"/>
  <c r="K63" i="5" a="1"/>
  <c r="K63" i="5" s="1"/>
  <c r="K318" i="8" s="1" a="1"/>
  <c r="K318" i="8" s="1"/>
  <c r="E318" i="8" a="1"/>
  <c r="E318" i="8" s="1"/>
  <c r="H64" i="5" a="1"/>
  <c r="H64" i="5" s="1"/>
  <c r="K64" i="5" a="1"/>
  <c r="K64" i="5" s="1"/>
  <c r="K319" i="8" s="1" a="1"/>
  <c r="K319" i="8" s="1"/>
  <c r="E319" i="8" a="1"/>
  <c r="E319" i="8" s="1"/>
  <c r="H65" i="5" a="1"/>
  <c r="H65" i="5" s="1"/>
  <c r="K65" i="5" a="1"/>
  <c r="K65" i="5" s="1"/>
  <c r="K320" i="8" s="1" a="1"/>
  <c r="K320" i="8" s="1"/>
  <c r="E320" i="8" a="1"/>
  <c r="E320" i="8" s="1"/>
  <c r="H66" i="5" a="1"/>
  <c r="H66" i="5" s="1"/>
  <c r="K66" i="5" a="1"/>
  <c r="K66" i="5" s="1"/>
  <c r="K321" i="8" s="1" a="1"/>
  <c r="K321" i="8" s="1"/>
  <c r="E321" i="8" a="1"/>
  <c r="E321" i="8" s="1"/>
  <c r="H67" i="5" a="1"/>
  <c r="H67" i="5" s="1"/>
  <c r="K67" i="5" a="1"/>
  <c r="K67" i="5" s="1"/>
  <c r="K322" i="8" s="1" a="1"/>
  <c r="K322" i="8" s="1"/>
  <c r="E322" i="8" a="1"/>
  <c r="E322" i="8" s="1"/>
  <c r="H68" i="5" a="1"/>
  <c r="H68" i="5" s="1"/>
  <c r="K68" i="5" a="1"/>
  <c r="K68" i="5" s="1"/>
  <c r="K323" i="8" s="1" a="1"/>
  <c r="K323" i="8" s="1"/>
  <c r="E323" i="8" a="1"/>
  <c r="E323" i="8" s="1"/>
  <c r="H69" i="5" a="1"/>
  <c r="H69" i="5" s="1"/>
  <c r="K69" i="5" a="1"/>
  <c r="K69" i="5" s="1"/>
  <c r="K324" i="8" s="1" a="1"/>
  <c r="K324" i="8" s="1"/>
  <c r="E324" i="8" a="1"/>
  <c r="E324" i="8" s="1"/>
  <c r="H70" i="5" a="1"/>
  <c r="H70" i="5" s="1"/>
  <c r="K70" i="5" a="1"/>
  <c r="K70" i="5" s="1"/>
  <c r="K325" i="8" s="1" a="1"/>
  <c r="K325" i="8" s="1"/>
  <c r="E325" i="8" a="1"/>
  <c r="E325" i="8" s="1"/>
  <c r="H71" i="5" a="1"/>
  <c r="H71" i="5" s="1"/>
  <c r="K71" i="5" a="1"/>
  <c r="K71" i="5" s="1"/>
  <c r="K326" i="8" s="1" a="1"/>
  <c r="K326" i="8" s="1"/>
  <c r="E326" i="8" a="1"/>
  <c r="E326" i="8" s="1"/>
  <c r="H72" i="5" a="1"/>
  <c r="H72" i="5" s="1"/>
  <c r="K72" i="5" a="1"/>
  <c r="K72" i="5" s="1"/>
  <c r="K327" i="8" s="1" a="1"/>
  <c r="K327" i="8" s="1"/>
  <c r="E327" i="8" a="1"/>
  <c r="E327" i="8" s="1"/>
  <c r="H73" i="5" a="1"/>
  <c r="H73" i="5" s="1"/>
  <c r="K73" i="5" a="1"/>
  <c r="K73" i="5" s="1"/>
  <c r="K328" i="8" s="1" a="1"/>
  <c r="K328" i="8" s="1"/>
  <c r="E328" i="8" a="1"/>
  <c r="E328" i="8" s="1"/>
  <c r="H74" i="5" a="1"/>
  <c r="H74" i="5" s="1"/>
  <c r="K74" i="5" a="1"/>
  <c r="K74" i="5" s="1"/>
  <c r="K329" i="8" s="1" a="1"/>
  <c r="K329" i="8" s="1"/>
  <c r="E329" i="8" a="1"/>
  <c r="E329" i="8" s="1"/>
  <c r="H75" i="5" a="1"/>
  <c r="H75" i="5" s="1"/>
  <c r="K75" i="5" a="1"/>
  <c r="K75" i="5" s="1"/>
  <c r="K330" i="8" s="1" a="1"/>
  <c r="K330" i="8" s="1"/>
  <c r="E330" i="8" a="1"/>
  <c r="E330" i="8" s="1"/>
  <c r="H76" i="5" a="1"/>
  <c r="H76" i="5" s="1"/>
  <c r="K76" i="5" a="1"/>
  <c r="K76" i="5" s="1"/>
  <c r="K331" i="8" s="1" a="1"/>
  <c r="K331" i="8" s="1"/>
  <c r="E331" i="8" a="1"/>
  <c r="E331" i="8" s="1"/>
  <c r="H77" i="5" a="1"/>
  <c r="H77" i="5" s="1"/>
  <c r="K77" i="5" a="1"/>
  <c r="K77" i="5" s="1"/>
  <c r="K332" i="8" s="1" a="1"/>
  <c r="K332" i="8" s="1"/>
  <c r="E332" i="8" a="1"/>
  <c r="E332" i="8" s="1"/>
  <c r="H78" i="5" a="1"/>
  <c r="H78" i="5" s="1"/>
  <c r="K78" i="5" a="1"/>
  <c r="K78" i="5" s="1"/>
  <c r="K333" i="8" s="1" a="1"/>
  <c r="K333" i="8" s="1"/>
  <c r="E333" i="8" a="1"/>
  <c r="E333" i="8" s="1"/>
  <c r="H79" i="5" a="1"/>
  <c r="H79" i="5" s="1"/>
  <c r="K79" i="5" a="1"/>
  <c r="K79" i="5" s="1"/>
  <c r="K334" i="8" s="1" a="1"/>
  <c r="K334" i="8" s="1"/>
  <c r="E334" i="8" a="1"/>
  <c r="E334" i="8" s="1"/>
  <c r="H80" i="5" a="1"/>
  <c r="H80" i="5" s="1"/>
  <c r="K80" i="5" a="1"/>
  <c r="K80" i="5" s="1"/>
  <c r="K335" i="8" s="1" a="1"/>
  <c r="K335" i="8" s="1"/>
  <c r="E335" i="8" a="1"/>
  <c r="E335" i="8" s="1"/>
  <c r="H81" i="5" a="1"/>
  <c r="H81" i="5" s="1"/>
  <c r="K81" i="5" a="1"/>
  <c r="K81" i="5" s="1"/>
  <c r="K336" i="8" s="1" a="1"/>
  <c r="K336" i="8" s="1"/>
  <c r="E336" i="8" a="1"/>
  <c r="E336" i="8" s="1"/>
  <c r="H82" i="5" a="1"/>
  <c r="H82" i="5" s="1"/>
  <c r="K82" i="5" a="1"/>
  <c r="K82" i="5" s="1"/>
  <c r="K337" i="8" s="1" a="1"/>
  <c r="K337" i="8" s="1"/>
  <c r="E337" i="8" a="1"/>
  <c r="E337" i="8" s="1"/>
  <c r="H83" i="5" a="1"/>
  <c r="H83" i="5" s="1"/>
  <c r="K83" i="5" a="1"/>
  <c r="K83" i="5" s="1"/>
  <c r="K338" i="8" s="1" a="1"/>
  <c r="K338" i="8" s="1"/>
  <c r="E338" i="8" a="1"/>
  <c r="E338" i="8" s="1"/>
  <c r="H84" i="5" a="1"/>
  <c r="H84" i="5" s="1"/>
  <c r="K84" i="5" a="1"/>
  <c r="K84" i="5" s="1"/>
  <c r="K339" i="8" s="1" a="1"/>
  <c r="K339" i="8" s="1"/>
  <c r="E339" i="8" a="1"/>
  <c r="E339" i="8" s="1"/>
  <c r="H85" i="5" a="1"/>
  <c r="H85" i="5" s="1"/>
  <c r="K85" i="5" a="1"/>
  <c r="K85" i="5" s="1"/>
  <c r="K340" i="8" s="1" a="1"/>
  <c r="K340" i="8" s="1"/>
  <c r="E340" i="8" a="1"/>
  <c r="E340" i="8" s="1"/>
  <c r="H86" i="5" a="1"/>
  <c r="H86" i="5" s="1"/>
  <c r="K86" i="5" a="1"/>
  <c r="K86" i="5" s="1"/>
  <c r="K341" i="8" s="1" a="1"/>
  <c r="K341" i="8" s="1"/>
  <c r="E341" i="8" a="1"/>
  <c r="E341" i="8" s="1"/>
  <c r="H87" i="5" a="1"/>
  <c r="H87" i="5" s="1"/>
  <c r="K87" i="5" a="1"/>
  <c r="K87" i="5" s="1"/>
  <c r="K342" i="8" s="1" a="1"/>
  <c r="K342" i="8" s="1"/>
  <c r="E342" i="8" a="1"/>
  <c r="E342" i="8" s="1"/>
  <c r="H88" i="5" a="1"/>
  <c r="H88" i="5" s="1"/>
  <c r="K88" i="5" a="1"/>
  <c r="K88" i="5" s="1"/>
  <c r="K343" i="8" s="1" a="1"/>
  <c r="K343" i="8" s="1"/>
  <c r="E343" i="8" a="1"/>
  <c r="E343" i="8" s="1"/>
  <c r="H89" i="5" a="1"/>
  <c r="H89" i="5" s="1"/>
  <c r="K89" i="5" a="1"/>
  <c r="K89" i="5" s="1"/>
  <c r="K344" i="8" s="1" a="1"/>
  <c r="K344" i="8" s="1"/>
  <c r="E344" i="8" a="1"/>
  <c r="E344" i="8" s="1"/>
  <c r="H90" i="5" a="1"/>
  <c r="H90" i="5" s="1"/>
  <c r="K90" i="5" a="1"/>
  <c r="K90" i="5" s="1"/>
  <c r="K345" i="8" s="1" a="1"/>
  <c r="K345" i="8" s="1"/>
  <c r="E345" i="8" a="1"/>
  <c r="E345" i="8" s="1"/>
  <c r="H91" i="5" a="1"/>
  <c r="H91" i="5" s="1"/>
  <c r="K91" i="5" a="1"/>
  <c r="K91" i="5" s="1"/>
  <c r="K346" i="8" s="1" a="1"/>
  <c r="K346" i="8" s="1"/>
  <c r="E346" i="8" a="1"/>
  <c r="E346" i="8" s="1"/>
  <c r="H92" i="5" a="1"/>
  <c r="H92" i="5" s="1"/>
  <c r="K92" i="5" a="1"/>
  <c r="K92" i="5" s="1"/>
  <c r="K347" i="8" s="1" a="1"/>
  <c r="K347" i="8" s="1"/>
  <c r="E347" i="8" a="1"/>
  <c r="E347" i="8" s="1"/>
  <c r="H93" i="5" a="1"/>
  <c r="H93" i="5" s="1"/>
  <c r="K93" i="5" a="1"/>
  <c r="K93" i="5" s="1"/>
  <c r="K348" i="8" s="1" a="1"/>
  <c r="K348" i="8" s="1"/>
  <c r="E348" i="8" a="1"/>
  <c r="E348" i="8" s="1"/>
  <c r="H94" i="5" a="1"/>
  <c r="H94" i="5" s="1"/>
  <c r="K94" i="5" a="1"/>
  <c r="K94" i="5" s="1"/>
  <c r="K349" i="8" s="1" a="1"/>
  <c r="K349" i="8" s="1"/>
  <c r="E349" i="8" a="1"/>
  <c r="E349" i="8" s="1"/>
  <c r="H95" i="5" a="1"/>
  <c r="H95" i="5" s="1"/>
  <c r="K95" i="5" a="1"/>
  <c r="K95" i="5" s="1"/>
  <c r="K350" i="8" s="1" a="1"/>
  <c r="K350" i="8" s="1"/>
  <c r="E350" i="8" a="1"/>
  <c r="E350" i="8" s="1"/>
  <c r="H96" i="5" a="1"/>
  <c r="H96" i="5" s="1"/>
  <c r="K96" i="5" a="1"/>
  <c r="K96" i="5" s="1"/>
  <c r="K351" i="8" s="1" a="1"/>
  <c r="K351" i="8" s="1"/>
  <c r="E351" i="8" a="1"/>
  <c r="E351" i="8" s="1"/>
  <c r="H97" i="5" a="1"/>
  <c r="H97" i="5" s="1"/>
  <c r="K97" i="5" a="1"/>
  <c r="K97" i="5" s="1"/>
  <c r="K352" i="8" s="1" a="1"/>
  <c r="K352" i="8" s="1"/>
  <c r="E352" i="8" a="1"/>
  <c r="E352" i="8" s="1"/>
  <c r="H98" i="5" a="1"/>
  <c r="H98" i="5" s="1"/>
  <c r="K98" i="5" a="1"/>
  <c r="K98" i="5" s="1"/>
  <c r="K353" i="8" s="1" a="1"/>
  <c r="K353" i="8" s="1"/>
  <c r="E353" i="8" a="1"/>
  <c r="E353" i="8" s="1"/>
  <c r="H99" i="5" a="1"/>
  <c r="H99" i="5" s="1"/>
  <c r="K99" i="5" a="1"/>
  <c r="K99" i="5" s="1"/>
  <c r="K354" i="8" s="1" a="1"/>
  <c r="K354" i="8" s="1"/>
  <c r="E354" i="8" a="1"/>
  <c r="E354" i="8" s="1"/>
  <c r="H100" i="5" a="1"/>
  <c r="H100" i="5" s="1"/>
  <c r="E355" i="8" a="1"/>
  <c r="E355" i="8" s="1"/>
  <c r="H101" i="5" a="1"/>
  <c r="H101" i="5" s="1"/>
  <c r="E356" i="8" a="1"/>
  <c r="E356" i="8" s="1"/>
  <c r="H102" i="5" a="1"/>
  <c r="H102" i="5" s="1"/>
  <c r="E357" i="8" a="1"/>
  <c r="E357" i="8" s="1"/>
  <c r="H103" i="5" a="1"/>
  <c r="H103" i="5" s="1"/>
  <c r="E358" i="8" a="1"/>
  <c r="E358" i="8" s="1"/>
  <c r="H104" i="5" a="1"/>
  <c r="H104" i="5" s="1"/>
  <c r="E359" i="8" a="1"/>
  <c r="E359" i="8" s="1"/>
  <c r="E360" i="8" a="1"/>
  <c r="E360" i="8" s="1"/>
  <c r="H105" i="5" a="1"/>
  <c r="H105" i="5" s="1"/>
  <c r="E361" i="8" a="1"/>
  <c r="E361" i="8" s="1"/>
  <c r="H106" i="5" a="1"/>
  <c r="H106" i="5" s="1"/>
  <c r="H109" i="5" a="1"/>
  <c r="H109" i="5" s="1"/>
  <c r="E364" i="8" a="1"/>
  <c r="E364" i="8" s="1"/>
  <c r="H108" i="5" a="1"/>
  <c r="H108" i="5" s="1"/>
  <c r="E363" i="8" a="1"/>
  <c r="E363" i="8" s="1"/>
  <c r="E365" i="8" a="1"/>
  <c r="E365" i="8" s="1"/>
  <c r="H110" i="5" a="1"/>
  <c r="H110" i="5" s="1"/>
  <c r="E362" i="8" a="1"/>
  <c r="E362" i="8" s="1"/>
  <c r="H107" i="5" a="1"/>
  <c r="H107" i="5" s="1"/>
  <c r="J11" i="5" a="1"/>
  <c r="J11" i="5" s="1"/>
  <c r="J266" i="8" s="1" a="1"/>
  <c r="J266" i="8" s="1"/>
  <c r="D266" i="8" a="1"/>
  <c r="D266" i="8" s="1"/>
  <c r="D111" i="5" a="1"/>
  <c r="D111" i="5" s="1"/>
  <c r="J12" i="5" a="1"/>
  <c r="J12" i="5" s="1"/>
  <c r="J267" i="8" s="1" a="1"/>
  <c r="J267" i="8" s="1"/>
  <c r="D267" i="8" a="1"/>
  <c r="D267" i="8" s="1"/>
  <c r="J13" i="5" a="1"/>
  <c r="J13" i="5" s="1"/>
  <c r="J268" i="8" s="1" a="1"/>
  <c r="J268" i="8" s="1"/>
  <c r="D268" i="8" a="1"/>
  <c r="D268" i="8" s="1"/>
  <c r="J14" i="5" a="1"/>
  <c r="J14" i="5" s="1"/>
  <c r="J269" i="8" s="1" a="1"/>
  <c r="J269" i="8" s="1"/>
  <c r="D269" i="8" a="1"/>
  <c r="D269" i="8" s="1"/>
  <c r="J15" i="5" a="1"/>
  <c r="J15" i="5" s="1"/>
  <c r="J270" i="8" s="1" a="1"/>
  <c r="J270" i="8" s="1"/>
  <c r="D270" i="8" a="1"/>
  <c r="D270" i="8" s="1"/>
  <c r="J16" i="5" a="1"/>
  <c r="J16" i="5" s="1"/>
  <c r="J271" i="8" s="1" a="1"/>
  <c r="J271" i="8" s="1"/>
  <c r="D271" i="8" a="1"/>
  <c r="D271" i="8" s="1"/>
  <c r="J17" i="5" a="1"/>
  <c r="J17" i="5" s="1"/>
  <c r="J272" i="8" s="1" a="1"/>
  <c r="J272" i="8" s="1"/>
  <c r="D272" i="8" a="1"/>
  <c r="D272" i="8" s="1"/>
  <c r="J18" i="5" a="1"/>
  <c r="J18" i="5" s="1"/>
  <c r="J273" i="8" s="1" a="1"/>
  <c r="J273" i="8" s="1"/>
  <c r="D273" i="8" a="1"/>
  <c r="D273" i="8" s="1"/>
  <c r="J19" i="5" a="1"/>
  <c r="J19" i="5" s="1"/>
  <c r="J274" i="8" s="1" a="1"/>
  <c r="J274" i="8" s="1"/>
  <c r="D274" i="8" a="1"/>
  <c r="D274" i="8" s="1"/>
  <c r="J20" i="5" a="1"/>
  <c r="J20" i="5" s="1"/>
  <c r="J275" i="8" s="1" a="1"/>
  <c r="J275" i="8" s="1"/>
  <c r="D275" i="8" a="1"/>
  <c r="D275" i="8" s="1"/>
  <c r="J21" i="5" a="1"/>
  <c r="J21" i="5" s="1"/>
  <c r="J276" i="8" s="1" a="1"/>
  <c r="J276" i="8" s="1"/>
  <c r="D276" i="8" a="1"/>
  <c r="D276" i="8" s="1"/>
  <c r="J22" i="5" a="1"/>
  <c r="J22" i="5" s="1"/>
  <c r="J277" i="8" s="1" a="1"/>
  <c r="J277" i="8" s="1"/>
  <c r="D277" i="8" a="1"/>
  <c r="D277" i="8" s="1"/>
  <c r="J23" i="5" a="1"/>
  <c r="J23" i="5" s="1"/>
  <c r="J278" i="8" s="1" a="1"/>
  <c r="J278" i="8" s="1"/>
  <c r="D278" i="8" a="1"/>
  <c r="D278" i="8" s="1"/>
  <c r="J24" i="5" a="1"/>
  <c r="J24" i="5" s="1"/>
  <c r="J279" i="8" s="1" a="1"/>
  <c r="J279" i="8" s="1"/>
  <c r="D279" i="8" a="1"/>
  <c r="D279" i="8" s="1"/>
  <c r="J25" i="5" a="1"/>
  <c r="J25" i="5" s="1"/>
  <c r="J280" i="8" s="1" a="1"/>
  <c r="J280" i="8" s="1"/>
  <c r="D280" i="8" a="1"/>
  <c r="D280" i="8" s="1"/>
  <c r="J26" i="5" a="1"/>
  <c r="J26" i="5" s="1"/>
  <c r="J281" i="8" s="1" a="1"/>
  <c r="J281" i="8" s="1"/>
  <c r="D281" i="8" a="1"/>
  <c r="D281" i="8" s="1"/>
  <c r="J27" i="5" a="1"/>
  <c r="J27" i="5" s="1"/>
  <c r="J282" i="8" s="1" a="1"/>
  <c r="J282" i="8" s="1"/>
  <c r="D282" i="8" a="1"/>
  <c r="D282" i="8" s="1"/>
  <c r="J28" i="5" a="1"/>
  <c r="J28" i="5" s="1"/>
  <c r="J283" i="8" s="1" a="1"/>
  <c r="J283" i="8" s="1"/>
  <c r="D283" i="8" a="1"/>
  <c r="D283" i="8" s="1"/>
  <c r="J29" i="5" a="1"/>
  <c r="J29" i="5" s="1"/>
  <c r="J284" i="8" s="1" a="1"/>
  <c r="J284" i="8" s="1"/>
  <c r="D284" i="8" a="1"/>
  <c r="D284" i="8" s="1"/>
  <c r="J30" i="5" a="1"/>
  <c r="J30" i="5" s="1"/>
  <c r="J285" i="8" s="1" a="1"/>
  <c r="J285" i="8" s="1"/>
  <c r="D285" i="8" a="1"/>
  <c r="D285" i="8" s="1"/>
  <c r="J31" i="5" a="1"/>
  <c r="J31" i="5" s="1"/>
  <c r="J286" i="8" s="1" a="1"/>
  <c r="J286" i="8" s="1"/>
  <c r="D286" i="8" a="1"/>
  <c r="D286" i="8" s="1"/>
  <c r="J32" i="5" a="1"/>
  <c r="J32" i="5" s="1"/>
  <c r="J287" i="8" s="1" a="1"/>
  <c r="J287" i="8" s="1"/>
  <c r="D287" i="8" a="1"/>
  <c r="D287" i="8" s="1"/>
  <c r="J33" i="5" a="1"/>
  <c r="J33" i="5" s="1"/>
  <c r="J288" i="8" s="1" a="1"/>
  <c r="J288" i="8" s="1"/>
  <c r="D288" i="8" a="1"/>
  <c r="D288" i="8" s="1"/>
  <c r="J34" i="5" a="1"/>
  <c r="J34" i="5" s="1"/>
  <c r="J289" i="8" s="1" a="1"/>
  <c r="J289" i="8" s="1"/>
  <c r="D289" i="8" a="1"/>
  <c r="D289" i="8" s="1"/>
  <c r="J35" i="5" a="1"/>
  <c r="J35" i="5" s="1"/>
  <c r="J290" i="8" s="1" a="1"/>
  <c r="J290" i="8" s="1"/>
  <c r="D290" i="8" a="1"/>
  <c r="D290" i="8" s="1"/>
  <c r="J36" i="5" a="1"/>
  <c r="J36" i="5" s="1"/>
  <c r="J291" i="8" s="1" a="1"/>
  <c r="J291" i="8" s="1"/>
  <c r="D291" i="8" a="1"/>
  <c r="D291" i="8" s="1"/>
  <c r="J37" i="5" a="1"/>
  <c r="J37" i="5" s="1"/>
  <c r="J292" i="8" s="1" a="1"/>
  <c r="J292" i="8" s="1"/>
  <c r="D292" i="8" a="1"/>
  <c r="D292" i="8" s="1"/>
  <c r="J38" i="5" a="1"/>
  <c r="J38" i="5" s="1"/>
  <c r="J293" i="8" s="1" a="1"/>
  <c r="J293" i="8" s="1"/>
  <c r="D293" i="8" a="1"/>
  <c r="D293" i="8" s="1"/>
  <c r="J39" i="5" a="1"/>
  <c r="J39" i="5" s="1"/>
  <c r="J294" i="8" s="1" a="1"/>
  <c r="J294" i="8" s="1"/>
  <c r="D294" i="8" a="1"/>
  <c r="D294" i="8" s="1"/>
  <c r="J40" i="5" a="1"/>
  <c r="J40" i="5" s="1"/>
  <c r="J295" i="8" s="1" a="1"/>
  <c r="J295" i="8" s="1"/>
  <c r="D295" i="8" a="1"/>
  <c r="D295" i="8" s="1"/>
  <c r="J41" i="5" a="1"/>
  <c r="J41" i="5" s="1"/>
  <c r="J296" i="8" s="1" a="1"/>
  <c r="J296" i="8" s="1"/>
  <c r="D296" i="8" a="1"/>
  <c r="D296" i="8" s="1"/>
  <c r="J42" i="5" a="1"/>
  <c r="J42" i="5" s="1"/>
  <c r="J297" i="8" s="1" a="1"/>
  <c r="J297" i="8" s="1"/>
  <c r="D297" i="8" a="1"/>
  <c r="D297" i="8" s="1"/>
  <c r="J43" i="5" a="1"/>
  <c r="J43" i="5" s="1"/>
  <c r="J298" i="8" s="1" a="1"/>
  <c r="J298" i="8" s="1"/>
  <c r="D298" i="8" a="1"/>
  <c r="D298" i="8" s="1"/>
  <c r="J44" i="5" a="1"/>
  <c r="J44" i="5" s="1"/>
  <c r="J299" i="8" s="1" a="1"/>
  <c r="J299" i="8" s="1"/>
  <c r="D299" i="8" a="1"/>
  <c r="D299" i="8" s="1"/>
  <c r="J45" i="5" a="1"/>
  <c r="J45" i="5" s="1"/>
  <c r="J300" i="8" s="1" a="1"/>
  <c r="J300" i="8" s="1"/>
  <c r="D300" i="8" a="1"/>
  <c r="D300" i="8" s="1"/>
  <c r="J46" i="5" a="1"/>
  <c r="J46" i="5" s="1"/>
  <c r="J301" i="8" s="1" a="1"/>
  <c r="J301" i="8" s="1"/>
  <c r="D301" i="8" a="1"/>
  <c r="D301" i="8" s="1"/>
  <c r="J47" i="5" a="1"/>
  <c r="J47" i="5" s="1"/>
  <c r="J302" i="8" s="1" a="1"/>
  <c r="J302" i="8" s="1"/>
  <c r="D302" i="8" a="1"/>
  <c r="D302" i="8" s="1"/>
  <c r="J48" i="5" a="1"/>
  <c r="J48" i="5" s="1"/>
  <c r="J303" i="8" s="1" a="1"/>
  <c r="J303" i="8" s="1"/>
  <c r="D303" i="8" a="1"/>
  <c r="D303" i="8" s="1"/>
  <c r="J49" i="5" a="1"/>
  <c r="J49" i="5" s="1"/>
  <c r="J304" i="8" s="1" a="1"/>
  <c r="J304" i="8" s="1"/>
  <c r="D304" i="8" a="1"/>
  <c r="D304" i="8" s="1"/>
  <c r="J50" i="5" a="1"/>
  <c r="J50" i="5" s="1"/>
  <c r="J305" i="8" s="1" a="1"/>
  <c r="J305" i="8" s="1"/>
  <c r="D305" i="8" a="1"/>
  <c r="D305" i="8" s="1"/>
  <c r="J51" i="5" a="1"/>
  <c r="J51" i="5" s="1"/>
  <c r="J306" i="8" s="1" a="1"/>
  <c r="J306" i="8" s="1"/>
  <c r="D306" i="8" a="1"/>
  <c r="D306" i="8" s="1"/>
  <c r="J52" i="5" a="1"/>
  <c r="J52" i="5" s="1"/>
  <c r="J307" i="8" s="1" a="1"/>
  <c r="J307" i="8" s="1"/>
  <c r="D307" i="8" a="1"/>
  <c r="D307" i="8" s="1"/>
  <c r="J53" i="5" a="1"/>
  <c r="J53" i="5" s="1"/>
  <c r="J308" i="8" s="1" a="1"/>
  <c r="J308" i="8" s="1"/>
  <c r="D308" i="8" a="1"/>
  <c r="D308" i="8" s="1"/>
  <c r="J54" i="5" a="1"/>
  <c r="J54" i="5" s="1"/>
  <c r="J309" i="8" s="1" a="1"/>
  <c r="J309" i="8" s="1"/>
  <c r="D309" i="8" a="1"/>
  <c r="D309" i="8" s="1"/>
  <c r="J55" i="5" a="1"/>
  <c r="J55" i="5" s="1"/>
  <c r="J310" i="8" s="1" a="1"/>
  <c r="J310" i="8" s="1"/>
  <c r="D310" i="8" a="1"/>
  <c r="D310" i="8" s="1"/>
  <c r="J56" i="5" a="1"/>
  <c r="J56" i="5" s="1"/>
  <c r="J311" i="8" s="1" a="1"/>
  <c r="J311" i="8" s="1"/>
  <c r="D311" i="8" a="1"/>
  <c r="D311" i="8" s="1"/>
  <c r="J57" i="5" a="1"/>
  <c r="J57" i="5" s="1"/>
  <c r="J312" i="8" s="1" a="1"/>
  <c r="J312" i="8" s="1"/>
  <c r="D312" i="8" a="1"/>
  <c r="D312" i="8" s="1"/>
  <c r="J58" i="5" a="1"/>
  <c r="J58" i="5" s="1"/>
  <c r="J313" i="8" s="1" a="1"/>
  <c r="J313" i="8" s="1"/>
  <c r="D313" i="8" a="1"/>
  <c r="D313" i="8" s="1"/>
  <c r="J59" i="5" a="1"/>
  <c r="J59" i="5" s="1"/>
  <c r="J314" i="8" s="1" a="1"/>
  <c r="J314" i="8" s="1"/>
  <c r="D314" i="8" a="1"/>
  <c r="D314" i="8" s="1"/>
  <c r="J60" i="5" a="1"/>
  <c r="J60" i="5" s="1"/>
  <c r="J315" i="8" s="1" a="1"/>
  <c r="J315" i="8" s="1"/>
  <c r="D315" i="8" a="1"/>
  <c r="D315" i="8" s="1"/>
  <c r="J61" i="5" a="1"/>
  <c r="J61" i="5" s="1"/>
  <c r="J316" i="8" s="1" a="1"/>
  <c r="J316" i="8" s="1"/>
  <c r="D316" i="8" a="1"/>
  <c r="D316" i="8" s="1"/>
  <c r="J62" i="5" a="1"/>
  <c r="J62" i="5" s="1"/>
  <c r="J317" i="8" s="1" a="1"/>
  <c r="J317" i="8" s="1"/>
  <c r="D317" i="8" a="1"/>
  <c r="D317" i="8" s="1"/>
  <c r="J63" i="5" a="1"/>
  <c r="J63" i="5" s="1"/>
  <c r="J318" i="8" s="1" a="1"/>
  <c r="J318" i="8" s="1"/>
  <c r="D318" i="8" a="1"/>
  <c r="D318" i="8" s="1"/>
  <c r="J64" i="5" a="1"/>
  <c r="J64" i="5" s="1"/>
  <c r="J319" i="8" s="1" a="1"/>
  <c r="J319" i="8" s="1"/>
  <c r="D319" i="8" a="1"/>
  <c r="D319" i="8" s="1"/>
  <c r="J65" i="5" a="1"/>
  <c r="J65" i="5" s="1"/>
  <c r="J320" i="8" s="1" a="1"/>
  <c r="J320" i="8" s="1"/>
  <c r="D320" i="8" a="1"/>
  <c r="D320" i="8" s="1"/>
  <c r="J66" i="5" a="1"/>
  <c r="J66" i="5" s="1"/>
  <c r="J321" i="8" s="1" a="1"/>
  <c r="J321" i="8" s="1"/>
  <c r="D321" i="8" a="1"/>
  <c r="D321" i="8" s="1"/>
  <c r="J67" i="5" a="1"/>
  <c r="J67" i="5" s="1"/>
  <c r="J322" i="8" s="1" a="1"/>
  <c r="J322" i="8" s="1"/>
  <c r="D322" i="8" a="1"/>
  <c r="D322" i="8" s="1"/>
  <c r="J68" i="5" a="1"/>
  <c r="J68" i="5" s="1"/>
  <c r="J323" i="8" s="1" a="1"/>
  <c r="J323" i="8" s="1"/>
  <c r="D323" i="8" a="1"/>
  <c r="D323" i="8" s="1"/>
  <c r="J69" i="5" a="1"/>
  <c r="J69" i="5" s="1"/>
  <c r="J324" i="8" s="1" a="1"/>
  <c r="J324" i="8" s="1"/>
  <c r="D324" i="8" a="1"/>
  <c r="D324" i="8" s="1"/>
  <c r="J70" i="5" a="1"/>
  <c r="J70" i="5" s="1"/>
  <c r="J325" i="8" s="1" a="1"/>
  <c r="J325" i="8" s="1"/>
  <c r="D325" i="8" a="1"/>
  <c r="D325" i="8" s="1"/>
  <c r="J71" i="5" a="1"/>
  <c r="J71" i="5" s="1"/>
  <c r="J326" i="8" s="1" a="1"/>
  <c r="J326" i="8" s="1"/>
  <c r="D326" i="8" a="1"/>
  <c r="D326" i="8" s="1"/>
  <c r="J72" i="5" a="1"/>
  <c r="J72" i="5" s="1"/>
  <c r="J327" i="8" s="1" a="1"/>
  <c r="J327" i="8" s="1"/>
  <c r="D327" i="8" a="1"/>
  <c r="D327" i="8" s="1"/>
  <c r="J73" i="5" a="1"/>
  <c r="J73" i="5" s="1"/>
  <c r="J328" i="8" s="1" a="1"/>
  <c r="J328" i="8" s="1"/>
  <c r="D328" i="8" a="1"/>
  <c r="D328" i="8" s="1"/>
  <c r="J74" i="5" a="1"/>
  <c r="J74" i="5" s="1"/>
  <c r="J329" i="8" s="1" a="1"/>
  <c r="J329" i="8" s="1"/>
  <c r="D329" i="8" a="1"/>
  <c r="D329" i="8" s="1"/>
  <c r="J75" i="5" a="1"/>
  <c r="J75" i="5" s="1"/>
  <c r="J330" i="8" s="1" a="1"/>
  <c r="J330" i="8" s="1"/>
  <c r="D330" i="8" a="1"/>
  <c r="D330" i="8" s="1"/>
  <c r="J76" i="5" a="1"/>
  <c r="J76" i="5" s="1"/>
  <c r="J331" i="8" s="1" a="1"/>
  <c r="J331" i="8" s="1"/>
  <c r="D331" i="8" a="1"/>
  <c r="D331" i="8" s="1"/>
  <c r="J77" i="5" a="1"/>
  <c r="J77" i="5" s="1"/>
  <c r="J332" i="8" s="1" a="1"/>
  <c r="J332" i="8" s="1"/>
  <c r="D332" i="8" a="1"/>
  <c r="D332" i="8" s="1"/>
  <c r="J78" i="5" a="1"/>
  <c r="J78" i="5" s="1"/>
  <c r="J333" i="8" s="1" a="1"/>
  <c r="J333" i="8" s="1"/>
  <c r="D333" i="8" a="1"/>
  <c r="D333" i="8" s="1"/>
  <c r="J79" i="5" a="1"/>
  <c r="J79" i="5" s="1"/>
  <c r="J334" i="8" s="1" a="1"/>
  <c r="J334" i="8" s="1"/>
  <c r="D334" i="8" a="1"/>
  <c r="D334" i="8" s="1"/>
  <c r="J80" i="5" a="1"/>
  <c r="J80" i="5" s="1"/>
  <c r="J335" i="8" s="1" a="1"/>
  <c r="J335" i="8" s="1"/>
  <c r="D335" i="8" a="1"/>
  <c r="D335" i="8" s="1"/>
  <c r="J81" i="5" a="1"/>
  <c r="J81" i="5" s="1"/>
  <c r="J336" i="8" s="1" a="1"/>
  <c r="J336" i="8" s="1"/>
  <c r="D336" i="8" a="1"/>
  <c r="D336" i="8" s="1"/>
  <c r="J82" i="5" a="1"/>
  <c r="J82" i="5" s="1"/>
  <c r="J337" i="8" s="1" a="1"/>
  <c r="J337" i="8" s="1"/>
  <c r="D337" i="8" a="1"/>
  <c r="D337" i="8" s="1"/>
  <c r="J83" i="5" a="1"/>
  <c r="J83" i="5" s="1"/>
  <c r="J338" i="8" s="1" a="1"/>
  <c r="J338" i="8" s="1"/>
  <c r="D338" i="8" a="1"/>
  <c r="D338" i="8" s="1"/>
  <c r="J84" i="5" a="1"/>
  <c r="J84" i="5" s="1"/>
  <c r="J339" i="8" s="1" a="1"/>
  <c r="J339" i="8" s="1"/>
  <c r="D339" i="8" a="1"/>
  <c r="D339" i="8" s="1"/>
  <c r="J85" i="5" a="1"/>
  <c r="J85" i="5" s="1"/>
  <c r="J340" i="8" s="1" a="1"/>
  <c r="J340" i="8" s="1"/>
  <c r="D340" i="8" a="1"/>
  <c r="D340" i="8" s="1"/>
  <c r="J86" i="5" a="1"/>
  <c r="J86" i="5" s="1"/>
  <c r="J341" i="8" s="1" a="1"/>
  <c r="J341" i="8" s="1"/>
  <c r="D341" i="8" a="1"/>
  <c r="D341" i="8" s="1"/>
  <c r="J87" i="5" a="1"/>
  <c r="J87" i="5" s="1"/>
  <c r="J342" i="8" s="1" a="1"/>
  <c r="J342" i="8" s="1"/>
  <c r="D342" i="8" a="1"/>
  <c r="D342" i="8" s="1"/>
  <c r="J88" i="5" a="1"/>
  <c r="J88" i="5" s="1"/>
  <c r="J343" i="8" s="1" a="1"/>
  <c r="J343" i="8" s="1"/>
  <c r="D343" i="8" a="1"/>
  <c r="D343" i="8" s="1"/>
  <c r="J89" i="5" a="1"/>
  <c r="J89" i="5" s="1"/>
  <c r="J344" i="8" s="1" a="1"/>
  <c r="J344" i="8" s="1"/>
  <c r="D344" i="8" a="1"/>
  <c r="D344" i="8" s="1"/>
  <c r="J90" i="5" a="1"/>
  <c r="J90" i="5" s="1"/>
  <c r="J345" i="8" s="1" a="1"/>
  <c r="J345" i="8" s="1"/>
  <c r="D345" i="8" a="1"/>
  <c r="D345" i="8" s="1"/>
  <c r="J91" i="5" a="1"/>
  <c r="J91" i="5" s="1"/>
  <c r="J346" i="8" s="1" a="1"/>
  <c r="J346" i="8" s="1"/>
  <c r="D346" i="8" a="1"/>
  <c r="D346" i="8" s="1"/>
  <c r="J92" i="5" a="1"/>
  <c r="J92" i="5" s="1"/>
  <c r="J347" i="8" s="1" a="1"/>
  <c r="J347" i="8" s="1"/>
  <c r="D347" i="8" a="1"/>
  <c r="D347" i="8" s="1"/>
  <c r="J93" i="5" a="1"/>
  <c r="J93" i="5" s="1"/>
  <c r="J348" i="8" s="1" a="1"/>
  <c r="J348" i="8" s="1"/>
  <c r="D348" i="8" a="1"/>
  <c r="D348" i="8" s="1"/>
  <c r="J94" i="5" a="1"/>
  <c r="J94" i="5" s="1"/>
  <c r="J349" i="8" s="1" a="1"/>
  <c r="J349" i="8" s="1"/>
  <c r="D349" i="8" a="1"/>
  <c r="D349" i="8" s="1"/>
  <c r="J95" i="5" a="1"/>
  <c r="J95" i="5" s="1"/>
  <c r="J350" i="8" s="1" a="1"/>
  <c r="J350" i="8" s="1"/>
  <c r="D350" i="8" a="1"/>
  <c r="D350" i="8" s="1"/>
  <c r="J96" i="5" a="1"/>
  <c r="J96" i="5" s="1"/>
  <c r="J351" i="8" s="1" a="1"/>
  <c r="J351" i="8" s="1"/>
  <c r="D351" i="8" a="1"/>
  <c r="D351" i="8" s="1"/>
  <c r="J97" i="5" a="1"/>
  <c r="J97" i="5" s="1"/>
  <c r="J352" i="8" s="1" a="1"/>
  <c r="J352" i="8" s="1"/>
  <c r="D352" i="8" a="1"/>
  <c r="D352" i="8" s="1"/>
  <c r="J98" i="5" a="1"/>
  <c r="J98" i="5" s="1"/>
  <c r="J353" i="8" s="1" a="1"/>
  <c r="J353" i="8" s="1"/>
  <c r="D353" i="8" a="1"/>
  <c r="D353" i="8" s="1"/>
  <c r="J99" i="5" a="1"/>
  <c r="J99" i="5" s="1"/>
  <c r="J354" i="8" s="1" a="1"/>
  <c r="J354" i="8" s="1"/>
  <c r="D354" i="8" a="1"/>
  <c r="D354" i="8" s="1"/>
  <c r="J100" i="5" a="1"/>
  <c r="J100" i="5" s="1"/>
  <c r="J355" i="8" s="1" a="1"/>
  <c r="J355" i="8" s="1"/>
  <c r="D355" i="8" a="1"/>
  <c r="D355" i="8" s="1"/>
  <c r="J101" i="5" a="1"/>
  <c r="J101" i="5" s="1"/>
  <c r="J356" i="8" s="1" a="1"/>
  <c r="J356" i="8" s="1"/>
  <c r="D356" i="8" a="1"/>
  <c r="D356" i="8" s="1"/>
  <c r="J102" i="5" a="1"/>
  <c r="J102" i="5" s="1"/>
  <c r="J357" i="8" s="1" a="1"/>
  <c r="J357" i="8" s="1"/>
  <c r="D357" i="8" a="1"/>
  <c r="D357" i="8" s="1"/>
  <c r="J103" i="5" a="1"/>
  <c r="J103" i="5" s="1"/>
  <c r="J358" i="8" s="1" a="1"/>
  <c r="J358" i="8" s="1"/>
  <c r="D358" i="8" a="1"/>
  <c r="D358" i="8" s="1"/>
  <c r="J104" i="5" a="1"/>
  <c r="J104" i="5" s="1"/>
  <c r="J359" i="8" s="1" a="1"/>
  <c r="J359" i="8" s="1"/>
  <c r="D359" i="8" a="1"/>
  <c r="D359" i="8" s="1"/>
  <c r="J105" i="5" a="1"/>
  <c r="J105" i="5" s="1"/>
  <c r="J360" i="8" s="1" a="1"/>
  <c r="J360" i="8" s="1"/>
  <c r="D360" i="8" a="1"/>
  <c r="D360" i="8" s="1"/>
  <c r="J108" i="5" a="1"/>
  <c r="J108" i="5" s="1"/>
  <c r="J363" i="8" s="1" a="1"/>
  <c r="J363" i="8" s="1"/>
  <c r="D363" i="8" a="1"/>
  <c r="D363" i="8" s="1"/>
  <c r="D364" i="8" a="1"/>
  <c r="D364" i="8" s="1"/>
  <c r="J109" i="5" a="1"/>
  <c r="J109" i="5" s="1"/>
  <c r="J364" i="8" s="1" a="1"/>
  <c r="J364" i="8" s="1"/>
  <c r="D365" i="8" a="1"/>
  <c r="D365" i="8" s="1"/>
  <c r="J110" i="5" a="1"/>
  <c r="J110" i="5" s="1"/>
  <c r="J365" i="8" s="1" a="1"/>
  <c r="J365" i="8" s="1"/>
  <c r="J106" i="5" a="1"/>
  <c r="J106" i="5" s="1"/>
  <c r="J361" i="8" s="1" a="1"/>
  <c r="J361" i="8" s="1"/>
  <c r="D361" i="8" a="1"/>
  <c r="D361" i="8" s="1"/>
  <c r="J107" i="5" a="1"/>
  <c r="J107" i="5" s="1"/>
  <c r="J362" i="8" s="1" a="1"/>
  <c r="J362" i="8" s="1"/>
  <c r="D362" i="8" a="1"/>
  <c r="D362" i="8" s="1"/>
  <c r="I9" i="5" a="1"/>
  <c r="I9" i="5" s="1"/>
  <c r="C9" i="5" s="1" a="1"/>
  <c r="C9" i="5" s="1"/>
  <c r="C265" i="8" s="1" a="1"/>
  <c r="C265" i="8" s="1"/>
  <c r="G11" i="5" a="1"/>
  <c r="G11" i="5" s="1"/>
  <c r="K11" i="5" s="1" a="1"/>
  <c r="K11" i="5" s="1"/>
  <c r="K266" i="8" s="1" a="1"/>
  <c r="K266" i="8" s="1"/>
  <c r="G12" i="5" a="1"/>
  <c r="G12" i="5" s="1"/>
  <c r="K12" i="5" s="1" a="1"/>
  <c r="K12" i="5" s="1"/>
  <c r="K267" i="8" s="1" a="1"/>
  <c r="K267" i="8" s="1"/>
  <c r="G13" i="5" a="1"/>
  <c r="G13" i="5" s="1"/>
  <c r="K13" i="5" s="1" a="1"/>
  <c r="K13" i="5" s="1"/>
  <c r="K268" i="8" s="1" a="1"/>
  <c r="K268" i="8" s="1"/>
  <c r="G14" i="5" a="1"/>
  <c r="G14" i="5" s="1"/>
  <c r="K14" i="5" s="1" a="1"/>
  <c r="K14" i="5" s="1"/>
  <c r="K269" i="8" s="1" a="1"/>
  <c r="K269" i="8" s="1"/>
  <c r="G15" i="5" a="1"/>
  <c r="G15" i="5" s="1"/>
  <c r="K15" i="5" s="1" a="1"/>
  <c r="K15" i="5" s="1"/>
  <c r="K270" i="8" s="1" a="1"/>
  <c r="K270" i="8" s="1"/>
  <c r="G16" i="5" a="1"/>
  <c r="G16" i="5" s="1"/>
  <c r="K16" i="5" s="1" a="1"/>
  <c r="K16" i="5" s="1"/>
  <c r="K271" i="8" s="1" a="1"/>
  <c r="K271" i="8" s="1"/>
  <c r="G17" i="5" a="1"/>
  <c r="G17" i="5" s="1"/>
  <c r="K17" i="5" s="1" a="1"/>
  <c r="K17" i="5" s="1"/>
  <c r="K272" i="8" s="1" a="1"/>
  <c r="K272" i="8" s="1"/>
  <c r="G18" i="5" a="1"/>
  <c r="G18" i="5" s="1"/>
  <c r="K18" i="5" s="1" a="1"/>
  <c r="K18" i="5" s="1"/>
  <c r="K273" i="8" s="1" a="1"/>
  <c r="K273" i="8" s="1"/>
  <c r="G19" i="5" a="1"/>
  <c r="G19" i="5" s="1"/>
  <c r="K19" i="5" s="1" a="1"/>
  <c r="K19" i="5" s="1"/>
  <c r="K274" i="8" s="1" a="1"/>
  <c r="K274" i="8" s="1"/>
  <c r="G20" i="5" a="1"/>
  <c r="G20" i="5" s="1"/>
  <c r="K20" i="5" s="1" a="1"/>
  <c r="K20" i="5" s="1"/>
  <c r="K275" i="8" s="1" a="1"/>
  <c r="K275" i="8" s="1"/>
  <c r="G21" i="5" a="1"/>
  <c r="G21" i="5" s="1"/>
  <c r="G22" i="5" a="1"/>
  <c r="G22" i="5" s="1"/>
  <c r="G23" i="5" a="1"/>
  <c r="G23" i="5" s="1"/>
  <c r="G24" i="5" a="1"/>
  <c r="G24" i="5" s="1"/>
  <c r="G25" i="5" a="1"/>
  <c r="G25" i="5" s="1"/>
  <c r="G26" i="5" a="1"/>
  <c r="G26" i="5" s="1"/>
  <c r="G27" i="5" a="1"/>
  <c r="G27" i="5" s="1"/>
  <c r="G28" i="5" a="1"/>
  <c r="G28" i="5" s="1"/>
  <c r="G29" i="5" a="1"/>
  <c r="G29" i="5" s="1"/>
  <c r="G30" i="5" a="1"/>
  <c r="G30" i="5" s="1"/>
  <c r="G31" i="5" a="1"/>
  <c r="G31" i="5" s="1"/>
  <c r="G32" i="5" a="1"/>
  <c r="G32" i="5" s="1"/>
  <c r="G33" i="5" a="1"/>
  <c r="G33" i="5" s="1"/>
  <c r="G34" i="5" a="1"/>
  <c r="G34" i="5" s="1"/>
  <c r="G35" i="5" a="1"/>
  <c r="G35" i="5" s="1"/>
  <c r="G36" i="5" a="1"/>
  <c r="G36" i="5" s="1"/>
  <c r="G37" i="5" a="1"/>
  <c r="G37" i="5" s="1"/>
  <c r="G38" i="5" a="1"/>
  <c r="G38" i="5" s="1"/>
  <c r="G39" i="5" a="1"/>
  <c r="G39" i="5" s="1"/>
  <c r="G40" i="5" a="1"/>
  <c r="G40" i="5" s="1"/>
  <c r="G41" i="5" a="1"/>
  <c r="G41" i="5" s="1"/>
  <c r="G42" i="5" a="1"/>
  <c r="G42" i="5" s="1"/>
  <c r="G43" i="5" a="1"/>
  <c r="G43" i="5" s="1"/>
  <c r="G44" i="5" a="1"/>
  <c r="G44" i="5" s="1"/>
  <c r="G45" i="5" a="1"/>
  <c r="G45" i="5" s="1"/>
  <c r="G46" i="5" a="1"/>
  <c r="G46" i="5" s="1"/>
  <c r="G47" i="5" a="1"/>
  <c r="G47" i="5" s="1"/>
  <c r="G48" i="5" a="1"/>
  <c r="G48" i="5" s="1"/>
  <c r="G49" i="5" a="1"/>
  <c r="G49" i="5" s="1"/>
  <c r="G50" i="5" a="1"/>
  <c r="G50" i="5" s="1"/>
  <c r="G51" i="5" a="1"/>
  <c r="G51" i="5" s="1"/>
  <c r="G52" i="5" a="1"/>
  <c r="G52" i="5" s="1"/>
  <c r="G53" i="5" a="1"/>
  <c r="G53" i="5" s="1"/>
  <c r="G54" i="5" a="1"/>
  <c r="G54" i="5" s="1"/>
  <c r="G55" i="5" a="1"/>
  <c r="G55" i="5" s="1"/>
  <c r="K55" i="5" s="1" a="1"/>
  <c r="K55" i="5" s="1"/>
  <c r="K310" i="8" s="1" a="1"/>
  <c r="K310" i="8" s="1"/>
  <c r="G56" i="5" a="1"/>
  <c r="G56" i="5" s="1"/>
  <c r="K56" i="5" s="1" a="1"/>
  <c r="K56" i="5" s="1"/>
  <c r="K311" i="8" s="1" a="1"/>
  <c r="K311" i="8" s="1"/>
  <c r="G57" i="5" a="1"/>
  <c r="G57" i="5" s="1"/>
  <c r="K57" i="5" s="1" a="1"/>
  <c r="K57" i="5" s="1"/>
  <c r="K312" i="8" s="1" a="1"/>
  <c r="K312" i="8" s="1"/>
  <c r="G58" i="5" a="1"/>
  <c r="G58" i="5" s="1"/>
  <c r="K58" i="5" s="1" a="1"/>
  <c r="K58" i="5" s="1"/>
  <c r="K313" i="8" s="1" a="1"/>
  <c r="K313" i="8" s="1"/>
  <c r="G59" i="5" a="1"/>
  <c r="G59" i="5" s="1"/>
  <c r="K59" i="5" s="1" a="1"/>
  <c r="K59" i="5" s="1"/>
  <c r="K314" i="8" s="1" a="1"/>
  <c r="K314" i="8" s="1"/>
  <c r="G60" i="5" a="1"/>
  <c r="G60" i="5" s="1"/>
  <c r="K60" i="5" s="1" a="1"/>
  <c r="K60" i="5" s="1"/>
  <c r="K315" i="8" s="1" a="1"/>
  <c r="K315" i="8" s="1"/>
  <c r="G61" i="5" a="1"/>
  <c r="G61" i="5" s="1"/>
  <c r="G62" i="5" a="1"/>
  <c r="G62" i="5" s="1"/>
  <c r="G63" i="5" a="1"/>
  <c r="G63" i="5" s="1"/>
  <c r="G64" i="5" a="1"/>
  <c r="G64" i="5" s="1"/>
  <c r="G65" i="5" a="1"/>
  <c r="G65" i="5" s="1"/>
  <c r="G66" i="5" a="1"/>
  <c r="G66" i="5" s="1"/>
  <c r="G67" i="5" a="1"/>
  <c r="G67" i="5" s="1"/>
  <c r="G68" i="5" a="1"/>
  <c r="G68" i="5" s="1"/>
  <c r="G69" i="5" a="1"/>
  <c r="G69" i="5" s="1"/>
  <c r="G70" i="5" a="1"/>
  <c r="G70" i="5" s="1"/>
  <c r="G71" i="5" a="1"/>
  <c r="G71" i="5" s="1"/>
  <c r="G72" i="5" a="1"/>
  <c r="G72" i="5" s="1"/>
  <c r="G73" i="5" a="1"/>
  <c r="G73" i="5" s="1"/>
  <c r="G74" i="5" a="1"/>
  <c r="G74" i="5" s="1"/>
  <c r="G75" i="5" a="1"/>
  <c r="G75" i="5" s="1"/>
  <c r="G76" i="5" a="1"/>
  <c r="G76" i="5" s="1"/>
  <c r="G77" i="5" a="1"/>
  <c r="G77" i="5" s="1"/>
  <c r="G78" i="5" a="1"/>
  <c r="G78" i="5" s="1"/>
  <c r="G79" i="5" a="1"/>
  <c r="G79" i="5" s="1"/>
  <c r="G80" i="5" a="1"/>
  <c r="G80" i="5" s="1"/>
  <c r="G81" i="5" a="1"/>
  <c r="G81" i="5" s="1"/>
  <c r="G82" i="5" a="1"/>
  <c r="G82" i="5" s="1"/>
  <c r="G83" i="5" a="1"/>
  <c r="G83" i="5" s="1"/>
  <c r="G84" i="5" a="1"/>
  <c r="G84" i="5" s="1"/>
  <c r="G85" i="5" a="1"/>
  <c r="G85" i="5" s="1"/>
  <c r="G86" i="5" a="1"/>
  <c r="G86" i="5" s="1"/>
  <c r="G87" i="5" a="1"/>
  <c r="G87" i="5" s="1"/>
  <c r="G88" i="5" a="1"/>
  <c r="G88" i="5" s="1"/>
  <c r="G89" i="5" a="1"/>
  <c r="G89" i="5" s="1"/>
  <c r="G90" i="5" a="1"/>
  <c r="G90" i="5" s="1"/>
  <c r="G91" i="5" a="1"/>
  <c r="G91" i="5" s="1"/>
  <c r="G92" i="5" a="1"/>
  <c r="G92" i="5" s="1"/>
  <c r="G93" i="5" a="1"/>
  <c r="G93" i="5" s="1"/>
  <c r="G94" i="5" a="1"/>
  <c r="G94" i="5" s="1"/>
  <c r="G95" i="5" a="1"/>
  <c r="G95" i="5" s="1"/>
  <c r="G96" i="5" a="1"/>
  <c r="G96" i="5" s="1"/>
  <c r="G97" i="5" a="1"/>
  <c r="G97" i="5" s="1"/>
  <c r="G98" i="5" a="1"/>
  <c r="G98" i="5" s="1"/>
  <c r="G99" i="5" a="1"/>
  <c r="G99" i="5" s="1"/>
  <c r="G100" i="5" a="1"/>
  <c r="G100" i="5" s="1"/>
  <c r="K100" i="5" s="1" a="1"/>
  <c r="K100" i="5" s="1"/>
  <c r="K355" i="8" s="1" a="1"/>
  <c r="K355" i="8" s="1"/>
  <c r="G101" i="5" a="1"/>
  <c r="G101" i="5" s="1"/>
  <c r="K101" i="5" s="1" a="1"/>
  <c r="K101" i="5" s="1"/>
  <c r="K356" i="8" s="1" a="1"/>
  <c r="K356" i="8" s="1"/>
  <c r="G102" i="5" a="1"/>
  <c r="G102" i="5" s="1"/>
  <c r="K102" i="5" s="1" a="1"/>
  <c r="K102" i="5" s="1"/>
  <c r="K357" i="8" s="1" a="1"/>
  <c r="K357" i="8" s="1"/>
  <c r="G103" i="5" a="1"/>
  <c r="G103" i="5" s="1"/>
  <c r="K103" i="5" s="1" a="1"/>
  <c r="K103" i="5" s="1"/>
  <c r="K358" i="8" s="1" a="1"/>
  <c r="K358" i="8" s="1"/>
  <c r="G104" i="5" a="1"/>
  <c r="G104" i="5" s="1"/>
  <c r="K104" i="5" s="1" a="1"/>
  <c r="K104" i="5" s="1"/>
  <c r="K359" i="8" s="1" a="1"/>
  <c r="K359" i="8" s="1"/>
  <c r="G108" i="5" a="1"/>
  <c r="G108" i="5" s="1"/>
  <c r="K108" i="5" s="1" a="1"/>
  <c r="K108" i="5" s="1"/>
  <c r="K363" i="8" s="1" a="1"/>
  <c r="K363" i="8" s="1"/>
  <c r="G105" i="5" a="1"/>
  <c r="G105" i="5" s="1"/>
  <c r="K105" i="5" s="1" a="1"/>
  <c r="K105" i="5" s="1"/>
  <c r="K360" i="8" s="1" a="1"/>
  <c r="K360" i="8" s="1"/>
  <c r="G106" i="5" a="1"/>
  <c r="G106" i="5" s="1"/>
  <c r="K106" i="5" s="1" a="1"/>
  <c r="K106" i="5" s="1"/>
  <c r="K361" i="8" s="1" a="1"/>
  <c r="K361" i="8" s="1"/>
  <c r="G109" i="5" a="1"/>
  <c r="G109" i="5" s="1"/>
  <c r="K109" i="5" s="1" a="1"/>
  <c r="K109" i="5" s="1"/>
  <c r="K364" i="8" s="1" a="1"/>
  <c r="K364" i="8" s="1"/>
  <c r="G107" i="5" a="1"/>
  <c r="G107" i="5" s="1"/>
  <c r="K107" i="5" s="1" a="1"/>
  <c r="K107" i="5" s="1"/>
  <c r="K362" i="8" s="1" a="1"/>
  <c r="K362" i="8" s="1"/>
  <c r="G110" i="5" a="1"/>
  <c r="G110" i="5" s="1"/>
  <c r="K110" i="5" s="1" a="1"/>
  <c r="K110" i="5" s="1"/>
  <c r="K365" i="8" s="1" a="1"/>
  <c r="K365" i="8" s="1"/>
  <c r="G265" i="8" a="1"/>
  <c r="G265" i="8" s="1"/>
  <c r="I199" i="5" a="1"/>
  <c r="I199" i="5" s="1"/>
  <c r="C189" i="5" a="1"/>
  <c r="C189" i="5" s="1"/>
  <c r="C199" i="5" s="1" a="1"/>
  <c r="C199" i="5" s="1"/>
  <c r="F111" i="5" a="1"/>
  <c r="F111" i="5" s="1"/>
  <c r="F266" i="8" a="1"/>
  <c r="F266" i="8" s="1"/>
  <c r="H260" i="8" a="1"/>
  <c r="H260" i="8" s="1"/>
  <c r="C106" i="4" a="1"/>
  <c r="C106" i="4" s="1"/>
  <c r="C260" i="8" s="1" a="1"/>
  <c r="C260" i="8" s="1"/>
  <c r="H259" i="8" a="1"/>
  <c r="H259" i="8" s="1"/>
  <c r="C105" i="4" a="1"/>
  <c r="C105" i="4" s="1"/>
  <c r="C259" i="8" s="1" a="1"/>
  <c r="C259" i="8" s="1"/>
  <c r="H258" i="8" a="1"/>
  <c r="H258" i="8" s="1"/>
  <c r="C104" i="4" a="1"/>
  <c r="C104" i="4" s="1"/>
  <c r="C258" i="8" s="1" a="1"/>
  <c r="C258" i="8" s="1"/>
  <c r="H257" i="8" a="1"/>
  <c r="H257" i="8" s="1"/>
  <c r="C103" i="4" a="1"/>
  <c r="C103" i="4" s="1"/>
  <c r="C257" i="8" s="1" a="1"/>
  <c r="C257" i="8" s="1"/>
  <c r="H256" i="8" a="1"/>
  <c r="H256" i="8" s="1"/>
  <c r="C102" i="4" a="1"/>
  <c r="C102" i="4" s="1"/>
  <c r="C256" i="8" s="1" a="1"/>
  <c r="C256" i="8" s="1"/>
  <c r="H255" i="8" a="1"/>
  <c r="H255" i="8" s="1"/>
  <c r="C101" i="4" a="1"/>
  <c r="C101" i="4" s="1"/>
  <c r="C255" i="8" s="1" a="1"/>
  <c r="C255" i="8" s="1"/>
  <c r="H254" i="8" a="1"/>
  <c r="H254" i="8" s="1"/>
  <c r="C100" i="4" a="1"/>
  <c r="C100" i="4" s="1"/>
  <c r="C254" i="8" s="1" a="1"/>
  <c r="C254" i="8" s="1"/>
  <c r="H253" i="8" a="1"/>
  <c r="H253" i="8" s="1"/>
  <c r="C99" i="4" a="1"/>
  <c r="C99" i="4" s="1"/>
  <c r="C253" i="8" s="1" a="1"/>
  <c r="C253" i="8" s="1"/>
  <c r="H252" i="8" a="1"/>
  <c r="H252" i="8" s="1"/>
  <c r="C98" i="4" a="1"/>
  <c r="C98" i="4" s="1"/>
  <c r="C252" i="8" s="1" a="1"/>
  <c r="C252" i="8" s="1"/>
  <c r="H251" i="8" a="1"/>
  <c r="H251" i="8" s="1"/>
  <c r="C97" i="4" a="1"/>
  <c r="C97" i="4" s="1"/>
  <c r="C251" i="8" s="1" a="1"/>
  <c r="C251" i="8" s="1"/>
  <c r="H250" i="8" a="1"/>
  <c r="H250" i="8" s="1"/>
  <c r="C96" i="4" a="1"/>
  <c r="C96" i="4" s="1"/>
  <c r="C250" i="8" s="1" a="1"/>
  <c r="C250" i="8" s="1"/>
  <c r="H249" i="8" a="1"/>
  <c r="H249" i="8" s="1"/>
  <c r="C95" i="4" a="1"/>
  <c r="C95" i="4" s="1"/>
  <c r="C249" i="8" s="1" a="1"/>
  <c r="C249" i="8" s="1"/>
  <c r="H248" i="8" a="1"/>
  <c r="H248" i="8" s="1"/>
  <c r="C94" i="4" a="1"/>
  <c r="C94" i="4" s="1"/>
  <c r="C248" i="8" s="1" a="1"/>
  <c r="C248" i="8" s="1"/>
  <c r="H247" i="8" a="1"/>
  <c r="H247" i="8" s="1"/>
  <c r="C93" i="4" a="1"/>
  <c r="C93" i="4" s="1"/>
  <c r="C247" i="8" s="1" a="1"/>
  <c r="C247" i="8" s="1"/>
  <c r="H246" i="8" a="1"/>
  <c r="H246" i="8" s="1"/>
  <c r="C92" i="4" a="1"/>
  <c r="C92" i="4" s="1"/>
  <c r="C246" i="8" s="1" a="1"/>
  <c r="C246" i="8" s="1"/>
  <c r="H245" i="8" a="1"/>
  <c r="H245" i="8" s="1"/>
  <c r="C91" i="4" a="1"/>
  <c r="C91" i="4" s="1"/>
  <c r="C245" i="8" s="1" a="1"/>
  <c r="C245" i="8" s="1"/>
  <c r="H244" i="8" a="1"/>
  <c r="H244" i="8" s="1"/>
  <c r="C90" i="4" a="1"/>
  <c r="C90" i="4" s="1"/>
  <c r="C244" i="8" s="1" a="1"/>
  <c r="C244" i="8" s="1"/>
  <c r="H242" i="8" a="1"/>
  <c r="H242" i="8" s="1"/>
  <c r="C88" i="4" a="1"/>
  <c r="C88" i="4" s="1"/>
  <c r="C242" i="8" s="1" a="1"/>
  <c r="C242" i="8" s="1"/>
  <c r="H241" i="8" a="1"/>
  <c r="H241" i="8" s="1"/>
  <c r="C87" i="4" a="1"/>
  <c r="C87" i="4" s="1"/>
  <c r="C241" i="8" s="1" a="1"/>
  <c r="C241" i="8" s="1"/>
  <c r="H240" i="8" a="1"/>
  <c r="H240" i="8" s="1"/>
  <c r="C86" i="4" a="1"/>
  <c r="C86" i="4" s="1"/>
  <c r="C240" i="8" s="1" a="1"/>
  <c r="C240" i="8" s="1"/>
  <c r="H239" i="8" a="1"/>
  <c r="H239" i="8" s="1"/>
  <c r="C85" i="4" a="1"/>
  <c r="C85" i="4" s="1"/>
  <c r="C239" i="8" s="1" a="1"/>
  <c r="C239" i="8" s="1"/>
  <c r="H238" i="8" a="1"/>
  <c r="H238" i="8" s="1"/>
  <c r="C84" i="4" a="1"/>
  <c r="C84" i="4" s="1"/>
  <c r="C238" i="8" s="1" a="1"/>
  <c r="C238" i="8" s="1"/>
  <c r="H237" i="8" a="1"/>
  <c r="H237" i="8" s="1"/>
  <c r="C83" i="4" a="1"/>
  <c r="C83" i="4" s="1"/>
  <c r="C237" i="8" s="1" a="1"/>
  <c r="C237" i="8" s="1"/>
  <c r="H236" i="8" a="1"/>
  <c r="H236" i="8" s="1"/>
  <c r="C82" i="4" a="1"/>
  <c r="C82" i="4" s="1"/>
  <c r="C236" i="8" s="1" a="1"/>
  <c r="C236" i="8" s="1"/>
  <c r="H235" i="8" a="1"/>
  <c r="H235" i="8" s="1"/>
  <c r="C81" i="4" a="1"/>
  <c r="C81" i="4" s="1"/>
  <c r="C235" i="8" s="1" a="1"/>
  <c r="C235" i="8" s="1"/>
  <c r="H234" i="8" a="1"/>
  <c r="H234" i="8" s="1"/>
  <c r="C80" i="4" a="1"/>
  <c r="C80" i="4" s="1"/>
  <c r="C234" i="8" s="1" a="1"/>
  <c r="C234" i="8" s="1"/>
  <c r="H233" i="8" a="1"/>
  <c r="H233" i="8" s="1"/>
  <c r="C79" i="4" a="1"/>
  <c r="C79" i="4" s="1"/>
  <c r="C233" i="8" s="1" a="1"/>
  <c r="C233" i="8" s="1"/>
  <c r="H232" i="8" a="1"/>
  <c r="H232" i="8" s="1"/>
  <c r="C78" i="4" a="1"/>
  <c r="C78" i="4" s="1"/>
  <c r="C232" i="8" s="1" a="1"/>
  <c r="C232" i="8" s="1"/>
  <c r="H231" i="8" a="1"/>
  <c r="H231" i="8" s="1"/>
  <c r="C77" i="4" a="1"/>
  <c r="C77" i="4" s="1"/>
  <c r="C231" i="8" s="1" a="1"/>
  <c r="C231" i="8" s="1"/>
  <c r="H230" i="8" a="1"/>
  <c r="H230" i="8" s="1"/>
  <c r="C76" i="4" a="1"/>
  <c r="C76" i="4" s="1"/>
  <c r="C230" i="8" s="1" a="1"/>
  <c r="C230" i="8" s="1"/>
  <c r="H229" i="8" a="1"/>
  <c r="H229" i="8" s="1"/>
  <c r="C75" i="4" a="1"/>
  <c r="C75" i="4" s="1"/>
  <c r="C229" i="8" s="1" a="1"/>
  <c r="C229" i="8" s="1"/>
  <c r="H228" i="8" a="1"/>
  <c r="H228" i="8" s="1"/>
  <c r="C74" i="4" a="1"/>
  <c r="C74" i="4" s="1"/>
  <c r="C228" i="8" s="1" a="1"/>
  <c r="C228" i="8" s="1"/>
  <c r="H227" i="8" a="1"/>
  <c r="H227" i="8" s="1"/>
  <c r="C73" i="4" a="1"/>
  <c r="C73" i="4" s="1"/>
  <c r="C227" i="8" s="1" a="1"/>
  <c r="C227" i="8" s="1"/>
  <c r="H226" i="8" a="1"/>
  <c r="H226" i="8" s="1"/>
  <c r="C72" i="4" a="1"/>
  <c r="C72" i="4" s="1"/>
  <c r="C226" i="8" s="1" a="1"/>
  <c r="C226" i="8" s="1"/>
  <c r="H225" i="8" a="1"/>
  <c r="H225" i="8" s="1"/>
  <c r="C71" i="4" a="1"/>
  <c r="C71" i="4" s="1"/>
  <c r="C225" i="8" s="1" a="1"/>
  <c r="C225" i="8" s="1"/>
  <c r="H224" i="8" a="1"/>
  <c r="H224" i="8" s="1"/>
  <c r="C70" i="4" a="1"/>
  <c r="C70" i="4" s="1"/>
  <c r="C224" i="8" s="1" a="1"/>
  <c r="C224" i="8" s="1"/>
  <c r="H223" i="8" a="1"/>
  <c r="H223" i="8" s="1"/>
  <c r="C69" i="4" a="1"/>
  <c r="C69" i="4" s="1"/>
  <c r="C223" i="8" s="1" a="1"/>
  <c r="C223" i="8" s="1"/>
  <c r="H222" i="8" a="1"/>
  <c r="H222" i="8" s="1"/>
  <c r="C68" i="4" a="1"/>
  <c r="C68" i="4" s="1"/>
  <c r="C222" i="8" s="1" a="1"/>
  <c r="C222" i="8" s="1"/>
  <c r="H221" i="8" a="1"/>
  <c r="H221" i="8" s="1"/>
  <c r="C67" i="4" a="1"/>
  <c r="C67" i="4" s="1"/>
  <c r="C221" i="8" s="1" a="1"/>
  <c r="C221" i="8" s="1"/>
  <c r="H220" i="8" a="1"/>
  <c r="H220" i="8" s="1"/>
  <c r="C66" i="4" a="1"/>
  <c r="C66" i="4" s="1"/>
  <c r="C220" i="8" s="1" a="1"/>
  <c r="C220" i="8" s="1"/>
  <c r="H219" i="8" a="1"/>
  <c r="H219" i="8" s="1"/>
  <c r="C65" i="4" a="1"/>
  <c r="C65" i="4" s="1"/>
  <c r="C219" i="8" s="1" a="1"/>
  <c r="C219" i="8" s="1"/>
  <c r="H218" i="8" a="1"/>
  <c r="H218" i="8" s="1"/>
  <c r="C64" i="4" a="1"/>
  <c r="C64" i="4" s="1"/>
  <c r="C218" i="8" s="1" a="1"/>
  <c r="C218" i="8" s="1"/>
  <c r="H217" i="8" a="1"/>
  <c r="H217" i="8" s="1"/>
  <c r="C63" i="4" a="1"/>
  <c r="C63" i="4" s="1"/>
  <c r="C217" i="8" s="1" a="1"/>
  <c r="C217" i="8" s="1"/>
  <c r="H216" i="8" a="1"/>
  <c r="H216" i="8" s="1"/>
  <c r="C62" i="4" a="1"/>
  <c r="C62" i="4" s="1"/>
  <c r="C216" i="8" s="1" a="1"/>
  <c r="C216" i="8" s="1"/>
  <c r="H215" i="8" a="1"/>
  <c r="H215" i="8" s="1"/>
  <c r="C61" i="4" a="1"/>
  <c r="C61" i="4" s="1"/>
  <c r="C215" i="8" s="1" a="1"/>
  <c r="C215" i="8" s="1"/>
  <c r="H214" i="8" a="1"/>
  <c r="H214" i="8" s="1"/>
  <c r="C60" i="4" a="1"/>
  <c r="C60" i="4" s="1"/>
  <c r="C214" i="8" s="1" a="1"/>
  <c r="C214" i="8" s="1"/>
  <c r="H213" i="8" a="1"/>
  <c r="H213" i="8" s="1"/>
  <c r="C59" i="4" a="1"/>
  <c r="C59" i="4" s="1"/>
  <c r="C213" i="8" s="1" a="1"/>
  <c r="C213" i="8" s="1"/>
  <c r="H212" i="8" a="1"/>
  <c r="H212" i="8" s="1"/>
  <c r="C58" i="4" a="1"/>
  <c r="C58" i="4" s="1"/>
  <c r="C212" i="8" s="1" a="1"/>
  <c r="C212" i="8" s="1"/>
  <c r="H211" i="8" a="1"/>
  <c r="H211" i="8" s="1"/>
  <c r="C57" i="4" a="1"/>
  <c r="C57" i="4" s="1"/>
  <c r="C211" i="8" s="1" a="1"/>
  <c r="C211" i="8" s="1"/>
  <c r="H210" i="8" a="1"/>
  <c r="H210" i="8" s="1"/>
  <c r="C56" i="4" a="1"/>
  <c r="C56" i="4" s="1"/>
  <c r="C210" i="8" s="1" a="1"/>
  <c r="C210" i="8" s="1"/>
  <c r="H209" i="8" a="1"/>
  <c r="H209" i="8" s="1"/>
  <c r="C55" i="4" a="1"/>
  <c r="C55" i="4" s="1"/>
  <c r="C209" i="8" s="1" a="1"/>
  <c r="C209" i="8" s="1"/>
  <c r="H208" i="8" a="1"/>
  <c r="H208" i="8" s="1"/>
  <c r="C54" i="4" a="1"/>
  <c r="C54" i="4" s="1"/>
  <c r="C208" i="8" s="1" a="1"/>
  <c r="C208" i="8" s="1"/>
  <c r="H207" i="8" a="1"/>
  <c r="H207" i="8" s="1"/>
  <c r="C53" i="4" a="1"/>
  <c r="C53" i="4" s="1"/>
  <c r="C207" i="8" s="1" a="1"/>
  <c r="C207" i="8" s="1"/>
  <c r="H206" i="8" a="1"/>
  <c r="H206" i="8" s="1"/>
  <c r="C52" i="4" a="1"/>
  <c r="C52" i="4" s="1"/>
  <c r="C206" i="8" s="1" a="1"/>
  <c r="C206" i="8" s="1"/>
  <c r="H205" i="8" a="1"/>
  <c r="H205" i="8" s="1"/>
  <c r="C51" i="4" a="1"/>
  <c r="C51" i="4" s="1"/>
  <c r="C205" i="8" s="1" a="1"/>
  <c r="C205" i="8" s="1"/>
  <c r="H204" i="8" a="1"/>
  <c r="H204" i="8" s="1"/>
  <c r="C50" i="4" a="1"/>
  <c r="C50" i="4" s="1"/>
  <c r="C204" i="8" s="1" a="1"/>
  <c r="C204" i="8" s="1"/>
  <c r="H203" i="8" a="1"/>
  <c r="H203" i="8" s="1"/>
  <c r="C49" i="4" a="1"/>
  <c r="C49" i="4" s="1"/>
  <c r="C203" i="8" s="1" a="1"/>
  <c r="C203" i="8" s="1"/>
  <c r="H202" i="8" a="1"/>
  <c r="H202" i="8" s="1"/>
  <c r="C48" i="4" a="1"/>
  <c r="C48" i="4" s="1"/>
  <c r="C202" i="8" s="1" a="1"/>
  <c r="C202" i="8" s="1"/>
  <c r="H201" i="8" a="1"/>
  <c r="H201" i="8" s="1"/>
  <c r="C47" i="4" a="1"/>
  <c r="C47" i="4" s="1"/>
  <c r="C201" i="8" s="1" a="1"/>
  <c r="C201" i="8" s="1"/>
  <c r="H200" i="8" a="1"/>
  <c r="H200" i="8" s="1"/>
  <c r="C46" i="4" a="1"/>
  <c r="C46" i="4" s="1"/>
  <c r="C200" i="8" s="1" a="1"/>
  <c r="C200" i="8" s="1"/>
  <c r="H199" i="8" a="1"/>
  <c r="H199" i="8" s="1"/>
  <c r="C45" i="4" a="1"/>
  <c r="C45" i="4" s="1"/>
  <c r="C199" i="8" s="1" a="1"/>
  <c r="C199" i="8" s="1"/>
  <c r="H198" i="8" a="1"/>
  <c r="H198" i="8" s="1"/>
  <c r="C44" i="4" a="1"/>
  <c r="C44" i="4" s="1"/>
  <c r="C198" i="8" s="1" a="1"/>
  <c r="C198" i="8" s="1"/>
  <c r="H197" i="8" a="1"/>
  <c r="H197" i="8" s="1"/>
  <c r="C43" i="4" a="1"/>
  <c r="C43" i="4" s="1"/>
  <c r="C197" i="8" s="1" a="1"/>
  <c r="C197" i="8" s="1"/>
  <c r="H196" i="8" a="1"/>
  <c r="H196" i="8" s="1"/>
  <c r="C42" i="4" a="1"/>
  <c r="C42" i="4" s="1"/>
  <c r="C196" i="8" s="1" a="1"/>
  <c r="C196" i="8" s="1"/>
  <c r="H195" i="8" a="1"/>
  <c r="H195" i="8" s="1"/>
  <c r="C41" i="4" a="1"/>
  <c r="C41" i="4" s="1"/>
  <c r="C195" i="8" s="1" a="1"/>
  <c r="C195" i="8" s="1"/>
  <c r="H194" i="8" a="1"/>
  <c r="H194" i="8" s="1"/>
  <c r="C40" i="4" a="1"/>
  <c r="C40" i="4" s="1"/>
  <c r="C194" i="8" s="1" a="1"/>
  <c r="C194" i="8" s="1"/>
  <c r="H193" i="8" a="1"/>
  <c r="H193" i="8" s="1"/>
  <c r="C39" i="4" a="1"/>
  <c r="C39" i="4" s="1"/>
  <c r="C193" i="8" s="1" a="1"/>
  <c r="C193" i="8" s="1"/>
  <c r="H192" i="8" a="1"/>
  <c r="H192" i="8" s="1"/>
  <c r="C38" i="4" a="1"/>
  <c r="C38" i="4" s="1"/>
  <c r="C192" i="8" s="1" a="1"/>
  <c r="C192" i="8" s="1"/>
  <c r="H191" i="8" a="1"/>
  <c r="H191" i="8" s="1"/>
  <c r="C37" i="4" a="1"/>
  <c r="C37" i="4" s="1"/>
  <c r="C191" i="8" s="1" a="1"/>
  <c r="C191" i="8" s="1"/>
  <c r="H190" i="8" a="1"/>
  <c r="H190" i="8" s="1"/>
  <c r="C36" i="4" a="1"/>
  <c r="C36" i="4" s="1"/>
  <c r="C190" i="8" s="1" a="1"/>
  <c r="C190" i="8" s="1"/>
  <c r="H189" i="8" a="1"/>
  <c r="H189" i="8" s="1"/>
  <c r="C35" i="4" a="1"/>
  <c r="C35" i="4" s="1"/>
  <c r="C189" i="8" s="1" a="1"/>
  <c r="C189" i="8" s="1"/>
  <c r="H188" i="8" a="1"/>
  <c r="H188" i="8" s="1"/>
  <c r="C34" i="4" a="1"/>
  <c r="C34" i="4" s="1"/>
  <c r="C188" i="8" s="1" a="1"/>
  <c r="C188" i="8" s="1"/>
  <c r="H187" i="8" a="1"/>
  <c r="H187" i="8" s="1"/>
  <c r="C33" i="4" a="1"/>
  <c r="C33" i="4" s="1"/>
  <c r="C187" i="8" s="1" a="1"/>
  <c r="C187" i="8" s="1"/>
  <c r="H186" i="8" a="1"/>
  <c r="H186" i="8" s="1"/>
  <c r="C32" i="4" a="1"/>
  <c r="C32" i="4" s="1"/>
  <c r="C186" i="8" s="1" a="1"/>
  <c r="C186" i="8" s="1"/>
  <c r="H185" i="8" a="1"/>
  <c r="H185" i="8" s="1"/>
  <c r="C31" i="4" a="1"/>
  <c r="C31" i="4" s="1"/>
  <c r="C185" i="8" s="1" a="1"/>
  <c r="C185" i="8" s="1"/>
  <c r="H184" i="8" a="1"/>
  <c r="H184" i="8" s="1"/>
  <c r="C30" i="4" a="1"/>
  <c r="C30" i="4" s="1"/>
  <c r="C184" i="8" s="1" a="1"/>
  <c r="C184" i="8" s="1"/>
  <c r="H183" i="8" a="1"/>
  <c r="H183" i="8" s="1"/>
  <c r="C29" i="4" a="1"/>
  <c r="C29" i="4" s="1"/>
  <c r="C183" i="8" s="1" a="1"/>
  <c r="C183" i="8" s="1"/>
  <c r="H182" i="8" a="1"/>
  <c r="H182" i="8" s="1"/>
  <c r="C28" i="4" a="1"/>
  <c r="C28" i="4" s="1"/>
  <c r="C182" i="8" s="1" a="1"/>
  <c r="C182" i="8" s="1"/>
  <c r="H181" i="8" a="1"/>
  <c r="H181" i="8" s="1"/>
  <c r="C27" i="4" a="1"/>
  <c r="C27" i="4" s="1"/>
  <c r="C181" i="8" s="1" a="1"/>
  <c r="C181" i="8" s="1"/>
  <c r="H180" i="8" a="1"/>
  <c r="H180" i="8" s="1"/>
  <c r="C26" i="4" a="1"/>
  <c r="C26" i="4" s="1"/>
  <c r="C180" i="8" s="1" a="1"/>
  <c r="C180" i="8" s="1"/>
  <c r="H179" i="8" a="1"/>
  <c r="H179" i="8" s="1"/>
  <c r="C25" i="4" a="1"/>
  <c r="C25" i="4" s="1"/>
  <c r="C179" i="8" s="1" a="1"/>
  <c r="C179" i="8" s="1"/>
  <c r="H178" i="8" a="1"/>
  <c r="H178" i="8" s="1"/>
  <c r="C24" i="4" a="1"/>
  <c r="C24" i="4" s="1"/>
  <c r="C178" i="8" s="1" a="1"/>
  <c r="C178" i="8" s="1"/>
  <c r="H177" i="8" a="1"/>
  <c r="H177" i="8" s="1"/>
  <c r="C23" i="4" a="1"/>
  <c r="C23" i="4" s="1"/>
  <c r="C177" i="8" s="1" a="1"/>
  <c r="C177" i="8" s="1"/>
  <c r="H176" i="8" a="1"/>
  <c r="H176" i="8" s="1"/>
  <c r="C22" i="4" a="1"/>
  <c r="C22" i="4" s="1"/>
  <c r="C176" i="8" s="1" a="1"/>
  <c r="C176" i="8" s="1"/>
  <c r="H175" i="8" a="1"/>
  <c r="H175" i="8" s="1"/>
  <c r="C21" i="4" a="1"/>
  <c r="C21" i="4" s="1"/>
  <c r="C175" i="8" s="1" a="1"/>
  <c r="C175" i="8" s="1"/>
  <c r="H174" i="8" a="1"/>
  <c r="H174" i="8" s="1"/>
  <c r="C20" i="4" a="1"/>
  <c r="C20" i="4" s="1"/>
  <c r="C174" i="8" s="1" a="1"/>
  <c r="C174" i="8" s="1"/>
  <c r="H173" i="8" a="1"/>
  <c r="H173" i="8" s="1"/>
  <c r="C19" i="4" a="1"/>
  <c r="C19" i="4" s="1"/>
  <c r="C173" i="8" s="1" a="1"/>
  <c r="C173" i="8" s="1"/>
  <c r="H172" i="8" a="1"/>
  <c r="H172" i="8" s="1"/>
  <c r="C18" i="4" a="1"/>
  <c r="C18" i="4" s="1"/>
  <c r="C172" i="8" s="1" a="1"/>
  <c r="C172" i="8" s="1"/>
  <c r="H171" i="8" a="1"/>
  <c r="H171" i="8" s="1"/>
  <c r="C17" i="4" a="1"/>
  <c r="C17" i="4" s="1"/>
  <c r="C171" i="8" s="1" a="1"/>
  <c r="C171" i="8" s="1"/>
  <c r="H170" i="8" a="1"/>
  <c r="H170" i="8" s="1"/>
  <c r="C16" i="4" a="1"/>
  <c r="C16" i="4" s="1"/>
  <c r="C170" i="8" s="1" a="1"/>
  <c r="C170" i="8" s="1"/>
  <c r="H169" i="8" a="1"/>
  <c r="H169" i="8" s="1"/>
  <c r="C15" i="4" a="1"/>
  <c r="C15" i="4" s="1"/>
  <c r="C169" i="8" s="1" a="1"/>
  <c r="C169" i="8" s="1"/>
  <c r="H168" i="8" a="1"/>
  <c r="H168" i="8" s="1"/>
  <c r="C14" i="4" a="1"/>
  <c r="C14" i="4" s="1"/>
  <c r="C168" i="8" s="1" a="1"/>
  <c r="C168" i="8" s="1"/>
  <c r="H167" i="8" a="1"/>
  <c r="H167" i="8" s="1"/>
  <c r="C13" i="4" a="1"/>
  <c r="C13" i="4" s="1"/>
  <c r="C167" i="8" s="1" a="1"/>
  <c r="C167" i="8" s="1"/>
  <c r="H166" i="8" a="1"/>
  <c r="H166" i="8" s="1"/>
  <c r="C12" i="4" a="1"/>
  <c r="C12" i="4" s="1"/>
  <c r="C166" i="8" s="1" a="1"/>
  <c r="C166" i="8" s="1"/>
  <c r="H165" i="8" a="1"/>
  <c r="H165" i="8" s="1"/>
  <c r="C11" i="4" a="1"/>
  <c r="C11" i="4" s="1"/>
  <c r="C165" i="8" s="1" a="1"/>
  <c r="C165" i="8" s="1"/>
  <c r="H164" i="8" a="1"/>
  <c r="H164" i="8" s="1"/>
  <c r="C10" i="4" a="1"/>
  <c r="C10" i="4" s="1"/>
  <c r="C164" i="8" s="1" a="1"/>
  <c r="C164" i="8" s="1"/>
  <c r="H163" i="8" a="1"/>
  <c r="H163" i="8" s="1"/>
  <c r="C9" i="4" a="1"/>
  <c r="C9" i="4" s="1"/>
  <c r="C163" i="8" s="1" a="1"/>
  <c r="C163" i="8" s="1"/>
  <c r="C8" i="4" a="1"/>
  <c r="C8" i="4" s="1"/>
  <c r="H162" i="8" a="1"/>
  <c r="H162" i="8" s="1"/>
  <c r="I107" i="4" a="1"/>
  <c r="I107" i="4" s="1"/>
  <c r="I161" i="8" a="1"/>
  <c r="I161" i="8" s="1"/>
  <c r="H107" i="4" a="1"/>
  <c r="H107" i="4" s="1"/>
  <c r="H161" i="8" a="1"/>
  <c r="H161" i="8" s="1"/>
  <c r="K107" i="4" a="1"/>
  <c r="K107" i="4" s="1"/>
  <c r="K261" i="8" s="1" a="1"/>
  <c r="K261" i="8" s="1"/>
  <c r="E261" i="8" a="1"/>
  <c r="E261" i="8" s="1"/>
  <c r="J107" i="4" a="1"/>
  <c r="J107" i="4" s="1"/>
  <c r="J261" i="8" s="1" a="1"/>
  <c r="J261" i="8" s="1"/>
  <c r="D261" i="8" a="1"/>
  <c r="D261" i="8" s="1"/>
  <c r="H114" i="8" a="1"/>
  <c r="H114" i="8" s="1"/>
  <c r="C108" i="2" a="1"/>
  <c r="C108" i="2" s="1"/>
  <c r="C114" i="8" s="1" a="1"/>
  <c r="C114" i="8" s="1"/>
  <c r="H113" i="8" a="1"/>
  <c r="H113" i="8" s="1"/>
  <c r="C107" i="2" a="1"/>
  <c r="C107" i="2" s="1"/>
  <c r="C113" i="8" s="1" a="1"/>
  <c r="C113" i="8" s="1"/>
  <c r="H112" i="8" a="1"/>
  <c r="H112" i="8" s="1"/>
  <c r="C106" i="2" a="1"/>
  <c r="C106" i="2" s="1"/>
  <c r="C112" i="8" s="1" a="1"/>
  <c r="C112" i="8" s="1"/>
  <c r="H111" i="8" a="1"/>
  <c r="H111" i="8" s="1"/>
  <c r="C105" i="2" a="1"/>
  <c r="C105" i="2" s="1"/>
  <c r="C111" i="8" s="1" a="1"/>
  <c r="C111" i="8" s="1"/>
  <c r="H110" i="8" a="1"/>
  <c r="H110" i="8" s="1"/>
  <c r="C104" i="2" a="1"/>
  <c r="C104" i="2" s="1"/>
  <c r="C110" i="8" s="1" a="1"/>
  <c r="C110" i="8" s="1"/>
  <c r="H109" i="8" a="1"/>
  <c r="H109" i="8" s="1"/>
  <c r="C103" i="2" a="1"/>
  <c r="C103" i="2" s="1"/>
  <c r="C109" i="8" s="1" a="1"/>
  <c r="C109" i="8" s="1"/>
  <c r="H108" i="8" a="1"/>
  <c r="H108" i="8" s="1"/>
  <c r="C102" i="2" a="1"/>
  <c r="C102" i="2" s="1"/>
  <c r="C108" i="8" s="1" a="1"/>
  <c r="C108" i="8" s="1"/>
  <c r="H107" i="8" a="1"/>
  <c r="H107" i="8" s="1"/>
  <c r="C101" i="2" a="1"/>
  <c r="C101" i="2" s="1"/>
  <c r="C107" i="8" s="1" a="1"/>
  <c r="C107" i="8" s="1"/>
  <c r="H106" i="8" a="1"/>
  <c r="H106" i="8" s="1"/>
  <c r="C100" i="2" a="1"/>
  <c r="C100" i="2" s="1"/>
  <c r="C106" i="8" s="1" a="1"/>
  <c r="C106" i="8" s="1"/>
  <c r="C99" i="2" a="1"/>
  <c r="C99" i="2" s="1"/>
  <c r="C105" i="8" s="1" a="1"/>
  <c r="C105" i="8" s="1"/>
  <c r="H105" i="8" a="1"/>
  <c r="H105" i="8" s="1"/>
  <c r="C98" i="2" a="1"/>
  <c r="C98" i="2" s="1"/>
  <c r="C104" i="8" s="1" a="1"/>
  <c r="C104" i="8" s="1"/>
  <c r="H104" i="8" a="1"/>
  <c r="H104" i="8" s="1"/>
  <c r="H103" i="8" a="1"/>
  <c r="H103" i="8" s="1"/>
  <c r="C97" i="2" a="1"/>
  <c r="C97" i="2" s="1"/>
  <c r="C103" i="8" s="1" a="1"/>
  <c r="C103" i="8" s="1"/>
  <c r="H102" i="8" a="1"/>
  <c r="H102" i="8" s="1"/>
  <c r="C96" i="2" a="1"/>
  <c r="C96" i="2" s="1"/>
  <c r="C102" i="8" s="1" a="1"/>
  <c r="C102" i="8" s="1"/>
  <c r="H101" i="8" a="1"/>
  <c r="H101" i="8" s="1"/>
  <c r="C95" i="2" a="1"/>
  <c r="C95" i="2" s="1"/>
  <c r="C101" i="8" s="1" a="1"/>
  <c r="C101" i="8" s="1"/>
  <c r="H100" i="8" a="1"/>
  <c r="H100" i="8" s="1"/>
  <c r="C94" i="2" a="1"/>
  <c r="C94" i="2" s="1"/>
  <c r="C100" i="8" s="1" a="1"/>
  <c r="C100" i="8" s="1"/>
  <c r="H99" i="8" a="1"/>
  <c r="H99" i="8" s="1"/>
  <c r="C93" i="2" a="1"/>
  <c r="C93" i="2" s="1"/>
  <c r="C99" i="8" s="1" a="1"/>
  <c r="C99" i="8" s="1"/>
  <c r="H98" i="8" a="1"/>
  <c r="H98" i="8" s="1"/>
  <c r="C92" i="2" a="1"/>
  <c r="C92" i="2" s="1"/>
  <c r="C98" i="8" s="1" a="1"/>
  <c r="C98" i="8" s="1"/>
  <c r="H97" i="8" a="1"/>
  <c r="H97" i="8" s="1"/>
  <c r="C91" i="2" a="1"/>
  <c r="C91" i="2" s="1"/>
  <c r="C97" i="8" s="1" a="1"/>
  <c r="C97" i="8" s="1"/>
  <c r="H96" i="8" a="1"/>
  <c r="H96" i="8" s="1"/>
  <c r="C90" i="2" a="1"/>
  <c r="C90" i="2" s="1"/>
  <c r="C96" i="8" s="1" a="1"/>
  <c r="C96" i="8" s="1"/>
  <c r="H95" i="8" a="1"/>
  <c r="H95" i="8" s="1"/>
  <c r="C89" i="2" a="1"/>
  <c r="C89" i="2" s="1"/>
  <c r="C95" i="8" s="1" a="1"/>
  <c r="C95" i="8" s="1"/>
  <c r="H94" i="8" a="1"/>
  <c r="H94" i="8" s="1"/>
  <c r="C88" i="2" a="1"/>
  <c r="C88" i="2" s="1"/>
  <c r="C94" i="8" s="1" a="1"/>
  <c r="C94" i="8" s="1"/>
  <c r="C87" i="2" a="1"/>
  <c r="C87" i="2" s="1"/>
  <c r="C93" i="8" s="1" a="1"/>
  <c r="C93" i="8" s="1"/>
  <c r="H93" i="8" a="1"/>
  <c r="H93" i="8" s="1"/>
  <c r="H92" i="8" a="1"/>
  <c r="H92" i="8" s="1"/>
  <c r="C86" i="2" a="1"/>
  <c r="C86" i="2" s="1"/>
  <c r="C92" i="8" s="1" a="1"/>
  <c r="C92" i="8" s="1"/>
  <c r="H91" i="8" a="1"/>
  <c r="H91" i="8" s="1"/>
  <c r="C85" i="2" a="1"/>
  <c r="C85" i="2" s="1"/>
  <c r="C91" i="8" s="1" a="1"/>
  <c r="C91" i="8" s="1"/>
  <c r="H90" i="8" a="1"/>
  <c r="H90" i="8" s="1"/>
  <c r="C84" i="2" a="1"/>
  <c r="C84" i="2" s="1"/>
  <c r="C90" i="8" s="1" a="1"/>
  <c r="C90" i="8" s="1"/>
  <c r="H89" i="8" a="1"/>
  <c r="H89" i="8" s="1"/>
  <c r="C83" i="2" a="1"/>
  <c r="C83" i="2" s="1"/>
  <c r="C89" i="8" s="1" a="1"/>
  <c r="C89" i="8" s="1"/>
  <c r="H88" i="8" a="1"/>
  <c r="H88" i="8" s="1"/>
  <c r="C82" i="2" a="1"/>
  <c r="C82" i="2" s="1"/>
  <c r="C88" i="8" s="1" a="1"/>
  <c r="C88" i="8" s="1"/>
  <c r="H87" i="8" a="1"/>
  <c r="H87" i="8" s="1"/>
  <c r="C81" i="2" a="1"/>
  <c r="C81" i="2" s="1"/>
  <c r="C87" i="8" s="1" a="1"/>
  <c r="C87" i="8" s="1"/>
  <c r="H86" i="8" a="1"/>
  <c r="H86" i="8" s="1"/>
  <c r="C80" i="2" a="1"/>
  <c r="C80" i="2" s="1"/>
  <c r="C86" i="8" s="1" a="1"/>
  <c r="C86" i="8" s="1"/>
  <c r="H85" i="8" a="1"/>
  <c r="H85" i="8" s="1"/>
  <c r="C79" i="2" a="1"/>
  <c r="C79" i="2" s="1"/>
  <c r="C85" i="8" s="1" a="1"/>
  <c r="C85" i="8" s="1"/>
  <c r="H84" i="8" a="1"/>
  <c r="H84" i="8" s="1"/>
  <c r="C78" i="2" a="1"/>
  <c r="C78" i="2" s="1"/>
  <c r="C84" i="8" s="1" a="1"/>
  <c r="C84" i="8" s="1"/>
  <c r="H83" i="8" a="1"/>
  <c r="H83" i="8" s="1"/>
  <c r="C77" i="2" a="1"/>
  <c r="C77" i="2" s="1"/>
  <c r="C83" i="8" s="1" a="1"/>
  <c r="C83" i="8" s="1"/>
  <c r="H82" i="8" a="1"/>
  <c r="H82" i="8" s="1"/>
  <c r="C76" i="2" a="1"/>
  <c r="C76" i="2" s="1"/>
  <c r="C82" i="8" s="1" a="1"/>
  <c r="C82" i="8" s="1"/>
  <c r="H81" i="8" a="1"/>
  <c r="H81" i="8" s="1"/>
  <c r="C75" i="2" a="1"/>
  <c r="C75" i="2" s="1"/>
  <c r="C81" i="8" s="1" a="1"/>
  <c r="C81" i="8" s="1"/>
  <c r="H80" i="8" a="1"/>
  <c r="H80" i="8" s="1"/>
  <c r="C74" i="2" a="1"/>
  <c r="C74" i="2" s="1"/>
  <c r="C80" i="8" s="1" a="1"/>
  <c r="C80" i="8" s="1"/>
  <c r="H79" i="8" a="1"/>
  <c r="H79" i="8" s="1"/>
  <c r="C73" i="2" a="1"/>
  <c r="C73" i="2" s="1"/>
  <c r="C79" i="8" s="1" a="1"/>
  <c r="C79" i="8" s="1"/>
  <c r="H78" i="8" a="1"/>
  <c r="H78" i="8" s="1"/>
  <c r="C72" i="2" a="1"/>
  <c r="C72" i="2" s="1"/>
  <c r="C78" i="8" s="1" a="1"/>
  <c r="C78" i="8" s="1"/>
  <c r="H77" i="8" a="1"/>
  <c r="H77" i="8" s="1"/>
  <c r="C71" i="2" a="1"/>
  <c r="C71" i="2" s="1"/>
  <c r="C77" i="8" s="1" a="1"/>
  <c r="C77" i="8" s="1"/>
  <c r="H76" i="8" a="1"/>
  <c r="H76" i="8" s="1"/>
  <c r="C70" i="2" a="1"/>
  <c r="C70" i="2" s="1"/>
  <c r="C76" i="8" s="1" a="1"/>
  <c r="C76" i="8" s="1"/>
  <c r="H75" i="8" a="1"/>
  <c r="H75" i="8" s="1"/>
  <c r="C69" i="2" a="1"/>
  <c r="C69" i="2" s="1"/>
  <c r="C75" i="8" s="1" a="1"/>
  <c r="C75" i="8" s="1"/>
  <c r="C68" i="2" a="1"/>
  <c r="C68" i="2" s="1"/>
  <c r="C74" i="8" s="1" a="1"/>
  <c r="C74" i="8" s="1"/>
  <c r="H74" i="8" a="1"/>
  <c r="H74" i="8" s="1"/>
  <c r="H73" i="8" a="1"/>
  <c r="H73" i="8" s="1"/>
  <c r="C67" i="2" a="1"/>
  <c r="C67" i="2" s="1"/>
  <c r="C73" i="8" s="1" a="1"/>
  <c r="C73" i="8" s="1"/>
  <c r="H72" i="8" a="1"/>
  <c r="H72" i="8" s="1"/>
  <c r="C66" i="2" a="1"/>
  <c r="C66" i="2" s="1"/>
  <c r="C72" i="8" s="1" a="1"/>
  <c r="C72" i="8" s="1"/>
  <c r="H71" i="8" a="1"/>
  <c r="H71" i="8" s="1"/>
  <c r="C65" i="2" a="1"/>
  <c r="C65" i="2" s="1"/>
  <c r="C71" i="8" s="1" a="1"/>
  <c r="C71" i="8" s="1"/>
  <c r="C64" i="2" a="1"/>
  <c r="C64" i="2" s="1"/>
  <c r="C70" i="8" s="1" a="1"/>
  <c r="C70" i="8" s="1"/>
  <c r="H70" i="8" a="1"/>
  <c r="H70" i="8" s="1"/>
  <c r="C63" i="2" a="1"/>
  <c r="C63" i="2" s="1"/>
  <c r="C69" i="8" s="1" a="1"/>
  <c r="C69" i="8" s="1"/>
  <c r="H69" i="8" a="1"/>
  <c r="H69" i="8" s="1"/>
  <c r="H68" i="8" a="1"/>
  <c r="H68" i="8" s="1"/>
  <c r="C62" i="2" a="1"/>
  <c r="C62" i="2" s="1"/>
  <c r="C68" i="8" s="1" a="1"/>
  <c r="C68" i="8" s="1"/>
  <c r="H67" i="8" a="1"/>
  <c r="H67" i="8" s="1"/>
  <c r="C61" i="2" a="1"/>
  <c r="C61" i="2" s="1"/>
  <c r="C67" i="8" s="1" a="1"/>
  <c r="C67" i="8" s="1"/>
  <c r="H66" i="8" a="1"/>
  <c r="H66" i="8" s="1"/>
  <c r="C60" i="2" a="1"/>
  <c r="C60" i="2" s="1"/>
  <c r="C66" i="8" s="1" a="1"/>
  <c r="C66" i="8" s="1"/>
  <c r="H65" i="8" a="1"/>
  <c r="H65" i="8" s="1"/>
  <c r="C59" i="2" a="1"/>
  <c r="C59" i="2" s="1"/>
  <c r="C65" i="8" s="1" a="1"/>
  <c r="C65" i="8" s="1"/>
  <c r="C58" i="2" a="1"/>
  <c r="C58" i="2" s="1"/>
  <c r="C64" i="8" s="1" a="1"/>
  <c r="C64" i="8" s="1"/>
  <c r="H64" i="8" a="1"/>
  <c r="H64" i="8" s="1"/>
  <c r="H63" i="8" a="1"/>
  <c r="H63" i="8" s="1"/>
  <c r="C57" i="2" a="1"/>
  <c r="C57" i="2" s="1"/>
  <c r="C63" i="8" s="1" a="1"/>
  <c r="C63" i="8" s="1"/>
  <c r="H62" i="8" a="1"/>
  <c r="H62" i="8" s="1"/>
  <c r="C56" i="2" a="1"/>
  <c r="C56" i="2" s="1"/>
  <c r="C62" i="8" s="1" a="1"/>
  <c r="C62" i="8" s="1"/>
  <c r="H61" i="8" a="1"/>
  <c r="H61" i="8" s="1"/>
  <c r="C55" i="2" a="1"/>
  <c r="C55" i="2" s="1"/>
  <c r="C61" i="8" s="1" a="1"/>
  <c r="C61" i="8" s="1"/>
  <c r="H60" i="8" a="1"/>
  <c r="H60" i="8" s="1"/>
  <c r="C54" i="2" a="1"/>
  <c r="C54" i="2" s="1"/>
  <c r="C60" i="8" s="1" a="1"/>
  <c r="C60" i="8" s="1"/>
  <c r="C53" i="2" a="1"/>
  <c r="C53" i="2" s="1"/>
  <c r="C59" i="8" s="1" a="1"/>
  <c r="C59" i="8" s="1"/>
  <c r="H59" i="8" a="1"/>
  <c r="H59" i="8" s="1"/>
  <c r="H58" i="8" a="1"/>
  <c r="H58" i="8" s="1"/>
  <c r="C52" i="2" a="1"/>
  <c r="C52" i="2" s="1"/>
  <c r="C58" i="8" s="1" a="1"/>
  <c r="C58" i="8" s="1"/>
  <c r="H57" i="8" a="1"/>
  <c r="H57" i="8" s="1"/>
  <c r="C51" i="2" a="1"/>
  <c r="C51" i="2" s="1"/>
  <c r="C57" i="8" s="1" a="1"/>
  <c r="C57" i="8" s="1"/>
  <c r="C50" i="2" a="1"/>
  <c r="C50" i="2" s="1"/>
  <c r="C56" i="8" s="1" a="1"/>
  <c r="C56" i="8" s="1"/>
  <c r="H56" i="8" a="1"/>
  <c r="H56" i="8" s="1"/>
  <c r="H55" i="8" a="1"/>
  <c r="H55" i="8" s="1"/>
  <c r="C49" i="2" a="1"/>
  <c r="C49" i="2" s="1"/>
  <c r="C55" i="8" s="1" a="1"/>
  <c r="C55" i="8" s="1"/>
  <c r="H54" i="8" a="1"/>
  <c r="H54" i="8" s="1"/>
  <c r="C48" i="2" a="1"/>
  <c r="C48" i="2" s="1"/>
  <c r="C54" i="8" s="1" a="1"/>
  <c r="C54" i="8" s="1"/>
  <c r="C47" i="2" a="1"/>
  <c r="C47" i="2" s="1"/>
  <c r="C53" i="8" s="1" a="1"/>
  <c r="C53" i="8" s="1"/>
  <c r="H53" i="8" a="1"/>
  <c r="H53" i="8" s="1"/>
  <c r="H52" i="8" a="1"/>
  <c r="H52" i="8" s="1"/>
  <c r="C46" i="2" a="1"/>
  <c r="C46" i="2" s="1"/>
  <c r="C52" i="8" s="1" a="1"/>
  <c r="C52" i="8" s="1"/>
  <c r="H51" i="8" a="1"/>
  <c r="H51" i="8" s="1"/>
  <c r="C45" i="2" a="1"/>
  <c r="C45" i="2" s="1"/>
  <c r="C51" i="8" s="1" a="1"/>
  <c r="C51" i="8" s="1"/>
  <c r="H50" i="8" a="1"/>
  <c r="H50" i="8" s="1"/>
  <c r="C44" i="2" a="1"/>
  <c r="C44" i="2" s="1"/>
  <c r="C50" i="8" s="1" a="1"/>
  <c r="C50" i="8" s="1"/>
  <c r="H49" i="8" a="1"/>
  <c r="H49" i="8" s="1"/>
  <c r="C43" i="2" a="1"/>
  <c r="C43" i="2" s="1"/>
  <c r="C49" i="8" s="1" a="1"/>
  <c r="C49" i="8" s="1"/>
  <c r="H48" i="8" a="1"/>
  <c r="H48" i="8" s="1"/>
  <c r="C42" i="2" a="1"/>
  <c r="C42" i="2" s="1"/>
  <c r="C48" i="8" s="1" a="1"/>
  <c r="C48" i="8" s="1"/>
  <c r="H47" i="8" a="1"/>
  <c r="H47" i="8" s="1"/>
  <c r="C41" i="2" a="1"/>
  <c r="C41" i="2" s="1"/>
  <c r="C47" i="8" s="1" a="1"/>
  <c r="C47" i="8" s="1"/>
  <c r="C40" i="2" a="1"/>
  <c r="C40" i="2" s="1"/>
  <c r="C46" i="8" s="1" a="1"/>
  <c r="C46" i="8" s="1"/>
  <c r="H46" i="8" a="1"/>
  <c r="H46" i="8" s="1"/>
  <c r="H45" i="8" a="1"/>
  <c r="H45" i="8" s="1"/>
  <c r="C39" i="2" a="1"/>
  <c r="C39" i="2" s="1"/>
  <c r="C45" i="8" s="1" a="1"/>
  <c r="C45" i="8" s="1"/>
  <c r="H44" i="8" a="1"/>
  <c r="H44" i="8" s="1"/>
  <c r="C38" i="2" a="1"/>
  <c r="C38" i="2" s="1"/>
  <c r="C44" i="8" s="1" a="1"/>
  <c r="C44" i="8" s="1"/>
  <c r="H43" i="8" a="1"/>
  <c r="H43" i="8" s="1"/>
  <c r="C37" i="2" a="1"/>
  <c r="C37" i="2" s="1"/>
  <c r="C43" i="8" s="1" a="1"/>
  <c r="C43" i="8" s="1"/>
  <c r="C36" i="2" a="1"/>
  <c r="C36" i="2" s="1"/>
  <c r="C42" i="8" s="1" a="1"/>
  <c r="C42" i="8" s="1"/>
  <c r="H42" i="8" a="1"/>
  <c r="H42" i="8" s="1"/>
  <c r="H41" i="8" a="1"/>
  <c r="H41" i="8" s="1"/>
  <c r="C35" i="2" a="1"/>
  <c r="C35" i="2" s="1"/>
  <c r="C41" i="8" s="1" a="1"/>
  <c r="C41" i="8" s="1"/>
  <c r="H40" i="8" a="1"/>
  <c r="H40" i="8" s="1"/>
  <c r="C34" i="2" a="1"/>
  <c r="C34" i="2" s="1"/>
  <c r="C40" i="8" s="1" a="1"/>
  <c r="C40" i="8" s="1"/>
  <c r="H39" i="8" a="1"/>
  <c r="H39" i="8" s="1"/>
  <c r="C33" i="2" a="1"/>
  <c r="C33" i="2" s="1"/>
  <c r="C39" i="8" s="1" a="1"/>
  <c r="C39" i="8" s="1"/>
  <c r="C32" i="2" a="1"/>
  <c r="C32" i="2" s="1"/>
  <c r="C38" i="8" s="1" a="1"/>
  <c r="C38" i="8" s="1"/>
  <c r="H38" i="8" a="1"/>
  <c r="H38" i="8" s="1"/>
  <c r="C31" i="2" a="1"/>
  <c r="C31" i="2" s="1"/>
  <c r="C37" i="8" s="1" a="1"/>
  <c r="C37" i="8" s="1"/>
  <c r="H37" i="8" a="1"/>
  <c r="H37" i="8" s="1"/>
  <c r="C30" i="2" a="1"/>
  <c r="C30" i="2" s="1"/>
  <c r="C36" i="8" s="1" a="1"/>
  <c r="C36" i="8" s="1"/>
  <c r="H36" i="8" a="1"/>
  <c r="H36" i="8" s="1"/>
  <c r="H35" i="8" a="1"/>
  <c r="H35" i="8" s="1"/>
  <c r="C29" i="2" a="1"/>
  <c r="C29" i="2" s="1"/>
  <c r="C35" i="8" s="1" a="1"/>
  <c r="C35" i="8" s="1"/>
  <c r="H34" i="8" a="1"/>
  <c r="H34" i="8" s="1"/>
  <c r="C28" i="2" a="1"/>
  <c r="C28" i="2" s="1"/>
  <c r="C34" i="8" s="1" a="1"/>
  <c r="C34" i="8" s="1"/>
  <c r="C27" i="2" a="1"/>
  <c r="C27" i="2" s="1"/>
  <c r="C33" i="8" s="1" a="1"/>
  <c r="C33" i="8" s="1"/>
  <c r="H33" i="8" a="1"/>
  <c r="H33" i="8" s="1"/>
  <c r="H32" i="8" a="1"/>
  <c r="H32" i="8" s="1"/>
  <c r="C26" i="2" a="1"/>
  <c r="C26" i="2" s="1"/>
  <c r="C32" i="8" s="1" a="1"/>
  <c r="C32" i="8" s="1"/>
  <c r="C25" i="2" a="1"/>
  <c r="C25" i="2" s="1"/>
  <c r="C31" i="8" s="1" a="1"/>
  <c r="C31" i="8" s="1"/>
  <c r="H31" i="8" a="1"/>
  <c r="H31" i="8" s="1"/>
  <c r="H30" i="8" a="1"/>
  <c r="H30" i="8" s="1"/>
  <c r="C24" i="2" a="1"/>
  <c r="C24" i="2" s="1"/>
  <c r="C30" i="8" s="1" a="1"/>
  <c r="C30" i="8" s="1"/>
  <c r="H29" i="8" a="1"/>
  <c r="H29" i="8" s="1"/>
  <c r="C23" i="2" a="1"/>
  <c r="C23" i="2" s="1"/>
  <c r="C29" i="8" s="1" a="1"/>
  <c r="C29" i="8" s="1"/>
  <c r="H28" i="8" a="1"/>
  <c r="H28" i="8" s="1"/>
  <c r="C22" i="2" a="1"/>
  <c r="C22" i="2" s="1"/>
  <c r="C28" i="8" s="1" a="1"/>
  <c r="C28" i="8" s="1"/>
  <c r="C21" i="2" a="1"/>
  <c r="C21" i="2" s="1"/>
  <c r="C27" i="8" s="1" a="1"/>
  <c r="C27" i="8" s="1"/>
  <c r="H27" i="8" a="1"/>
  <c r="H27" i="8" s="1"/>
  <c r="H26" i="8" a="1"/>
  <c r="H26" i="8" s="1"/>
  <c r="C20" i="2" a="1"/>
  <c r="C20" i="2" s="1"/>
  <c r="C26" i="8" s="1" a="1"/>
  <c r="C26" i="8" s="1"/>
  <c r="H25" i="8" a="1"/>
  <c r="H25" i="8" s="1"/>
  <c r="C19" i="2" a="1"/>
  <c r="C19" i="2" s="1"/>
  <c r="C25" i="8" s="1" a="1"/>
  <c r="C25" i="8" s="1"/>
  <c r="H24" i="8" a="1"/>
  <c r="H24" i="8" s="1"/>
  <c r="C18" i="2" a="1"/>
  <c r="C18" i="2" s="1"/>
  <c r="C24" i="8" s="1" a="1"/>
  <c r="C24" i="8" s="1"/>
  <c r="H23" i="8" a="1"/>
  <c r="H23" i="8" s="1"/>
  <c r="C17" i="2" a="1"/>
  <c r="C17" i="2" s="1"/>
  <c r="C23" i="8" s="1" a="1"/>
  <c r="C23" i="8" s="1"/>
  <c r="H22" i="8" a="1"/>
  <c r="H22" i="8" s="1"/>
  <c r="C16" i="2" a="1"/>
  <c r="C16" i="2" s="1"/>
  <c r="C22" i="8" s="1" a="1"/>
  <c r="C22" i="8" s="1"/>
  <c r="H21" i="8" a="1"/>
  <c r="H21" i="8" s="1"/>
  <c r="C15" i="2" a="1"/>
  <c r="C15" i="2" s="1"/>
  <c r="C21" i="8" s="1" a="1"/>
  <c r="C21" i="8" s="1"/>
  <c r="H20" i="8" a="1"/>
  <c r="H20" i="8" s="1"/>
  <c r="C14" i="2" a="1"/>
  <c r="C14" i="2" s="1"/>
  <c r="C20" i="8" s="1" a="1"/>
  <c r="C20" i="8" s="1"/>
  <c r="C13" i="2" a="1"/>
  <c r="C13" i="2" s="1"/>
  <c r="C19" i="8" s="1" a="1"/>
  <c r="C19" i="8" s="1"/>
  <c r="H19" i="8" a="1"/>
  <c r="H19" i="8" s="1"/>
  <c r="C12" i="2" a="1"/>
  <c r="C12" i="2" s="1"/>
  <c r="C18" i="8" s="1" a="1"/>
  <c r="C18" i="8" s="1"/>
  <c r="H18" i="8" a="1"/>
  <c r="H18" i="8" s="1"/>
  <c r="H17" i="8" a="1"/>
  <c r="H17" i="8" s="1"/>
  <c r="C11" i="2" a="1"/>
  <c r="C11" i="2" s="1"/>
  <c r="C17" i="8" s="1" a="1"/>
  <c r="C17" i="8" s="1"/>
  <c r="H16" i="8" a="1"/>
  <c r="H16" i="8" s="1"/>
  <c r="C10" i="2" a="1"/>
  <c r="C10" i="2" s="1"/>
  <c r="C16" i="8" s="1" a="1"/>
  <c r="C16" i="8" s="1"/>
  <c r="I19" i="1" a="1"/>
  <c r="I19" i="1" s="1"/>
  <c r="I109" i="2" a="1"/>
  <c r="I109" i="2" s="1"/>
  <c r="I8" i="3" a="1"/>
  <c r="I8" i="3" s="1"/>
  <c r="I15" i="8" a="1"/>
  <c r="I15" i="8" s="1"/>
  <c r="G115" i="8" a="1"/>
  <c r="G115" i="8" s="1"/>
  <c r="G286" i="6" a="1"/>
  <c r="G286" i="6" s="1"/>
  <c r="F115" i="8" a="1"/>
  <c r="F115" i="8" s="1"/>
  <c r="F286" i="6" a="1"/>
  <c r="F286" i="6" s="1"/>
  <c r="I60" i="1" a="1"/>
  <c r="I60" i="1" s="1"/>
  <c r="I10" i="8" s="1" a="1"/>
  <c r="I10" i="8" s="1"/>
  <c r="H109" i="2" a="1"/>
  <c r="H109" i="2" s="1"/>
  <c r="H8" i="3" a="1"/>
  <c r="H8" i="3" s="1"/>
  <c r="H15" i="8" a="1"/>
  <c r="H15" i="8" s="1"/>
  <c r="H19" i="1" a="1"/>
  <c r="H19" i="1" s="1"/>
  <c r="C9" i="2" a="1"/>
  <c r="C9" i="2" s="1"/>
  <c r="E11" i="3" a="1"/>
  <c r="E11" i="3" s="1"/>
  <c r="G11" i="3" a="1"/>
  <c r="G11" i="3" s="1"/>
  <c r="K8" i="3" a="1"/>
  <c r="K8" i="3" s="1"/>
  <c r="K15" i="8" a="1"/>
  <c r="K15" i="8" s="1"/>
  <c r="K109" i="2" a="1"/>
  <c r="K109" i="2" s="1"/>
  <c r="K115" i="8" s="1" a="1"/>
  <c r="K115" i="8" s="1"/>
  <c r="E115" i="8" a="1"/>
  <c r="E115" i="8" s="1"/>
  <c r="K60" i="1" a="1"/>
  <c r="K60" i="1" s="1"/>
  <c r="K10" i="8" s="1" a="1"/>
  <c r="K10" i="8" s="1"/>
  <c r="J109" i="2" a="1"/>
  <c r="J109" i="2" s="1"/>
  <c r="J115" i="8" s="1" a="1"/>
  <c r="J115" i="8" s="1"/>
  <c r="D115" i="8" a="1"/>
  <c r="D115" i="8" s="1"/>
  <c r="H60" i="1" a="1"/>
  <c r="H60" i="1" s="1"/>
  <c r="H10" i="8" s="1" a="1"/>
  <c r="H10" i="8" s="1"/>
  <c r="J60" i="1" a="1"/>
  <c r="J60" i="1" s="1"/>
  <c r="J10" i="8" s="1" a="1"/>
  <c r="J10" i="8" s="1"/>
  <c r="D11" i="3" a="1"/>
  <c r="D11" i="3" s="1"/>
  <c r="F11" i="3" a="1"/>
  <c r="F11" i="3" s="1"/>
  <c r="J8" i="3" a="1"/>
  <c r="J8" i="3" s="1"/>
  <c r="J15" i="8" a="1"/>
  <c r="J15" i="8" s="1"/>
  <c r="I243" i="8" a="1"/>
  <c r="I243" i="8" s="1"/>
  <c r="C89" i="4" a="1"/>
  <c r="C89" i="4" s="1"/>
  <c r="C243" i="8" s="1" a="1"/>
  <c r="C243" i="8" s="1"/>
  <c r="H111" i="5" l="1" a="1"/>
  <c r="H111" i="5" s="1"/>
  <c r="H266" i="8" a="1"/>
  <c r="H266" i="8" s="1"/>
  <c r="E366" i="8" a="1"/>
  <c r="E366" i="8" s="1"/>
  <c r="H267" i="8" a="1"/>
  <c r="H267" i="8" s="1"/>
  <c r="H268" i="8" a="1"/>
  <c r="H268" i="8" s="1"/>
  <c r="H269" i="8" a="1"/>
  <c r="H269" i="8" s="1"/>
  <c r="H270" i="8" a="1"/>
  <c r="H270" i="8" s="1"/>
  <c r="H271" i="8" a="1"/>
  <c r="H271" i="8" s="1"/>
  <c r="H272" i="8" a="1"/>
  <c r="H272" i="8" s="1"/>
  <c r="H273" i="8" a="1"/>
  <c r="H273" i="8" s="1"/>
  <c r="H274" i="8" a="1"/>
  <c r="H274" i="8" s="1"/>
  <c r="H275" i="8" a="1"/>
  <c r="H275" i="8" s="1"/>
  <c r="H276" i="8" a="1"/>
  <c r="H276" i="8" s="1"/>
  <c r="H277" i="8" a="1"/>
  <c r="H277" i="8" s="1"/>
  <c r="H278" i="8" a="1"/>
  <c r="H278" i="8" s="1"/>
  <c r="H279" i="8" a="1"/>
  <c r="H279" i="8" s="1"/>
  <c r="H280" i="8" a="1"/>
  <c r="H280" i="8" s="1"/>
  <c r="H281" i="8" a="1"/>
  <c r="H281" i="8" s="1"/>
  <c r="H282" i="8" a="1"/>
  <c r="H282" i="8" s="1"/>
  <c r="H283" i="8" a="1"/>
  <c r="H283" i="8" s="1"/>
  <c r="H284" i="8" a="1"/>
  <c r="H284" i="8" s="1"/>
  <c r="H285" i="8" a="1"/>
  <c r="H285" i="8" s="1"/>
  <c r="H286" i="8" a="1"/>
  <c r="H286" i="8" s="1"/>
  <c r="H287" i="8" a="1"/>
  <c r="H287" i="8" s="1"/>
  <c r="H288" i="8" a="1"/>
  <c r="H288" i="8" s="1"/>
  <c r="H289" i="8" a="1"/>
  <c r="H289" i="8" s="1"/>
  <c r="H290" i="8" a="1"/>
  <c r="H290" i="8" s="1"/>
  <c r="H291" i="8" a="1"/>
  <c r="H291" i="8" s="1"/>
  <c r="H292" i="8" a="1"/>
  <c r="H292" i="8" s="1"/>
  <c r="H293" i="8" a="1"/>
  <c r="H293" i="8" s="1"/>
  <c r="H294" i="8" a="1"/>
  <c r="H294" i="8" s="1"/>
  <c r="H295" i="8" a="1"/>
  <c r="H295" i="8" s="1"/>
  <c r="H296" i="8" a="1"/>
  <c r="H296" i="8" s="1"/>
  <c r="H297" i="8" a="1"/>
  <c r="H297" i="8" s="1"/>
  <c r="H298" i="8" a="1"/>
  <c r="H298" i="8" s="1"/>
  <c r="H299" i="8" a="1"/>
  <c r="H299" i="8" s="1"/>
  <c r="H300" i="8" a="1"/>
  <c r="H300" i="8" s="1"/>
  <c r="H301" i="8" a="1"/>
  <c r="H301" i="8" s="1"/>
  <c r="H302" i="8" a="1"/>
  <c r="H302" i="8" s="1"/>
  <c r="H303" i="8" a="1"/>
  <c r="H303" i="8" s="1"/>
  <c r="H304" i="8" a="1"/>
  <c r="H304" i="8" s="1"/>
  <c r="H305" i="8" a="1"/>
  <c r="H305" i="8" s="1"/>
  <c r="C50" i="5" a="1"/>
  <c r="C50" i="5" s="1"/>
  <c r="C305" i="8" s="1" a="1"/>
  <c r="C305" i="8" s="1"/>
  <c r="H306" i="8" a="1"/>
  <c r="H306" i="8" s="1"/>
  <c r="C51" i="5" a="1"/>
  <c r="C51" i="5" s="1"/>
  <c r="C306" i="8" s="1" a="1"/>
  <c r="C306" i="8" s="1"/>
  <c r="H307" i="8" a="1"/>
  <c r="H307" i="8" s="1"/>
  <c r="C52" i="5" a="1"/>
  <c r="C52" i="5" s="1"/>
  <c r="C307" i="8" s="1" a="1"/>
  <c r="C307" i="8" s="1"/>
  <c r="H308" i="8" a="1"/>
  <c r="H308" i="8" s="1"/>
  <c r="C53" i="5" a="1"/>
  <c r="C53" i="5" s="1"/>
  <c r="C308" i="8" s="1" a="1"/>
  <c r="C308" i="8" s="1"/>
  <c r="H309" i="8" a="1"/>
  <c r="H309" i="8" s="1"/>
  <c r="C54" i="5" a="1"/>
  <c r="C54" i="5" s="1"/>
  <c r="C309" i="8" s="1" a="1"/>
  <c r="C309" i="8" s="1"/>
  <c r="H310" i="8" a="1"/>
  <c r="H310" i="8" s="1"/>
  <c r="C55" i="5" a="1"/>
  <c r="C55" i="5" s="1"/>
  <c r="C310" i="8" s="1" a="1"/>
  <c r="C310" i="8" s="1"/>
  <c r="H311" i="8" a="1"/>
  <c r="H311" i="8" s="1"/>
  <c r="C56" i="5" a="1"/>
  <c r="C56" i="5" s="1"/>
  <c r="C311" i="8" s="1" a="1"/>
  <c r="C311" i="8" s="1"/>
  <c r="H312" i="8" a="1"/>
  <c r="H312" i="8" s="1"/>
  <c r="C57" i="5" a="1"/>
  <c r="C57" i="5" s="1"/>
  <c r="C312" i="8" s="1" a="1"/>
  <c r="C312" i="8" s="1"/>
  <c r="H313" i="8" a="1"/>
  <c r="H313" i="8" s="1"/>
  <c r="C58" i="5" a="1"/>
  <c r="C58" i="5" s="1"/>
  <c r="C313" i="8" s="1" a="1"/>
  <c r="C313" i="8" s="1"/>
  <c r="H314" i="8" a="1"/>
  <c r="H314" i="8" s="1"/>
  <c r="C59" i="5" a="1"/>
  <c r="C59" i="5" s="1"/>
  <c r="C314" i="8" s="1" a="1"/>
  <c r="C314" i="8" s="1"/>
  <c r="H315" i="8" a="1"/>
  <c r="H315" i="8" s="1"/>
  <c r="C60" i="5" a="1"/>
  <c r="C60" i="5" s="1"/>
  <c r="C315" i="8" s="1" a="1"/>
  <c r="C315" i="8" s="1"/>
  <c r="H316" i="8" a="1"/>
  <c r="H316" i="8" s="1"/>
  <c r="C61" i="5" a="1"/>
  <c r="C61" i="5" s="1"/>
  <c r="C316" i="8" s="1" a="1"/>
  <c r="C316" i="8" s="1"/>
  <c r="H317" i="8" a="1"/>
  <c r="H317" i="8" s="1"/>
  <c r="C62" i="5" a="1"/>
  <c r="C62" i="5" s="1"/>
  <c r="C317" i="8" s="1" a="1"/>
  <c r="C317" i="8" s="1"/>
  <c r="H318" i="8" a="1"/>
  <c r="H318" i="8" s="1"/>
  <c r="C63" i="5" a="1"/>
  <c r="C63" i="5" s="1"/>
  <c r="C318" i="8" s="1" a="1"/>
  <c r="C318" i="8" s="1"/>
  <c r="H319" i="8" a="1"/>
  <c r="H319" i="8" s="1"/>
  <c r="C64" i="5" a="1"/>
  <c r="C64" i="5" s="1"/>
  <c r="C319" i="8" s="1" a="1"/>
  <c r="C319" i="8" s="1"/>
  <c r="H320" i="8" a="1"/>
  <c r="H320" i="8" s="1"/>
  <c r="C65" i="5" a="1"/>
  <c r="C65" i="5" s="1"/>
  <c r="C320" i="8" s="1" a="1"/>
  <c r="C320" i="8" s="1"/>
  <c r="H321" i="8" a="1"/>
  <c r="H321" i="8" s="1"/>
  <c r="C66" i="5" a="1"/>
  <c r="C66" i="5" s="1"/>
  <c r="C321" i="8" s="1" a="1"/>
  <c r="C321" i="8" s="1"/>
  <c r="H322" i="8" a="1"/>
  <c r="H322" i="8" s="1"/>
  <c r="C67" i="5" a="1"/>
  <c r="C67" i="5" s="1"/>
  <c r="C322" i="8" s="1" a="1"/>
  <c r="C322" i="8" s="1"/>
  <c r="H323" i="8" a="1"/>
  <c r="H323" i="8" s="1"/>
  <c r="C68" i="5" a="1"/>
  <c r="C68" i="5" s="1"/>
  <c r="C323" i="8" s="1" a="1"/>
  <c r="C323" i="8" s="1"/>
  <c r="H324" i="8" a="1"/>
  <c r="H324" i="8" s="1"/>
  <c r="C69" i="5" a="1"/>
  <c r="C69" i="5" s="1"/>
  <c r="C324" i="8" s="1" a="1"/>
  <c r="C324" i="8" s="1"/>
  <c r="H325" i="8" a="1"/>
  <c r="H325" i="8" s="1"/>
  <c r="H326" i="8" a="1"/>
  <c r="H326" i="8" s="1"/>
  <c r="H327" i="8" a="1"/>
  <c r="H327" i="8" s="1"/>
  <c r="H328" i="8" a="1"/>
  <c r="H328" i="8" s="1"/>
  <c r="H329" i="8" a="1"/>
  <c r="H329" i="8" s="1"/>
  <c r="H330" i="8" a="1"/>
  <c r="H330" i="8" s="1"/>
  <c r="H331" i="8" a="1"/>
  <c r="H331" i="8" s="1"/>
  <c r="H332" i="8" a="1"/>
  <c r="H332" i="8" s="1"/>
  <c r="H333" i="8" a="1"/>
  <c r="H333" i="8" s="1"/>
  <c r="H334" i="8" a="1"/>
  <c r="H334" i="8" s="1"/>
  <c r="H335" i="8" a="1"/>
  <c r="H335" i="8" s="1"/>
  <c r="H336" i="8" a="1"/>
  <c r="H336" i="8" s="1"/>
  <c r="H337" i="8" a="1"/>
  <c r="H337" i="8" s="1"/>
  <c r="H338" i="8" a="1"/>
  <c r="H338" i="8" s="1"/>
  <c r="H339" i="8" a="1"/>
  <c r="H339" i="8" s="1"/>
  <c r="H340" i="8" a="1"/>
  <c r="H340" i="8" s="1"/>
  <c r="H341" i="8" a="1"/>
  <c r="H341" i="8" s="1"/>
  <c r="H342" i="8" a="1"/>
  <c r="H342" i="8" s="1"/>
  <c r="H343" i="8" a="1"/>
  <c r="H343" i="8" s="1"/>
  <c r="H344" i="8" a="1"/>
  <c r="H344" i="8" s="1"/>
  <c r="H345" i="8" a="1"/>
  <c r="H345" i="8" s="1"/>
  <c r="H346" i="8" a="1"/>
  <c r="H346" i="8" s="1"/>
  <c r="H347" i="8" a="1"/>
  <c r="H347" i="8" s="1"/>
  <c r="H348" i="8" a="1"/>
  <c r="H348" i="8" s="1"/>
  <c r="H349" i="8" a="1"/>
  <c r="H349" i="8" s="1"/>
  <c r="H350" i="8" a="1"/>
  <c r="H350" i="8" s="1"/>
  <c r="H351" i="8" a="1"/>
  <c r="H351" i="8" s="1"/>
  <c r="H352" i="8" a="1"/>
  <c r="H352" i="8" s="1"/>
  <c r="H353" i="8" a="1"/>
  <c r="H353" i="8" s="1"/>
  <c r="H354" i="8" a="1"/>
  <c r="H354" i="8" s="1"/>
  <c r="H355" i="8" a="1"/>
  <c r="H355" i="8" s="1"/>
  <c r="H356" i="8" a="1"/>
  <c r="H356" i="8" s="1"/>
  <c r="H357" i="8" a="1"/>
  <c r="H357" i="8" s="1"/>
  <c r="H358" i="8" a="1"/>
  <c r="H358" i="8" s="1"/>
  <c r="H359" i="8" a="1"/>
  <c r="H359" i="8" s="1"/>
  <c r="H360" i="8" a="1"/>
  <c r="H360" i="8" s="1"/>
  <c r="H361" i="8" a="1"/>
  <c r="H361" i="8" s="1"/>
  <c r="H364" i="8" a="1"/>
  <c r="H364" i="8" s="1"/>
  <c r="H363" i="8" a="1"/>
  <c r="H363" i="8" s="1"/>
  <c r="H365" i="8" a="1"/>
  <c r="H365" i="8" s="1"/>
  <c r="H362" i="8" a="1"/>
  <c r="H362" i="8" s="1"/>
  <c r="D366" i="8" a="1"/>
  <c r="D366" i="8" s="1"/>
  <c r="J111" i="5" a="1"/>
  <c r="J111" i="5" s="1"/>
  <c r="J366" i="8" s="1" a="1"/>
  <c r="J366" i="8" s="1"/>
  <c r="I265" i="8" a="1"/>
  <c r="I265" i="8" s="1"/>
  <c r="I23" i="1" a="1"/>
  <c r="I23" i="1" s="1"/>
  <c r="I11" i="5" a="1"/>
  <c r="I11" i="5" s="1"/>
  <c r="C11" i="5" s="1" a="1"/>
  <c r="C11" i="5" s="1"/>
  <c r="G111" i="5" a="1"/>
  <c r="G111" i="5" s="1"/>
  <c r="K111" i="5" s="1" a="1"/>
  <c r="K111" i="5" s="1"/>
  <c r="K366" i="8" s="1" a="1"/>
  <c r="K366" i="8" s="1"/>
  <c r="G266" i="8" a="1"/>
  <c r="G266" i="8" s="1"/>
  <c r="I12" i="5" a="1"/>
  <c r="I12" i="5" s="1"/>
  <c r="G267" i="8" a="1"/>
  <c r="G267" i="8" s="1"/>
  <c r="I13" i="5" a="1"/>
  <c r="I13" i="5" s="1"/>
  <c r="G268" i="8" a="1"/>
  <c r="G268" i="8" s="1"/>
  <c r="I14" i="5" a="1"/>
  <c r="I14" i="5" s="1"/>
  <c r="G269" i="8" a="1"/>
  <c r="G269" i="8" s="1"/>
  <c r="I15" i="5" a="1"/>
  <c r="I15" i="5" s="1"/>
  <c r="G270" i="8" a="1"/>
  <c r="G270" i="8" s="1"/>
  <c r="I16" i="5" a="1"/>
  <c r="I16" i="5" s="1"/>
  <c r="G271" i="8" a="1"/>
  <c r="G271" i="8" s="1"/>
  <c r="I17" i="5" a="1"/>
  <c r="I17" i="5" s="1"/>
  <c r="G272" i="8" a="1"/>
  <c r="G272" i="8" s="1"/>
  <c r="I18" i="5" a="1"/>
  <c r="I18" i="5" s="1"/>
  <c r="G273" i="8" a="1"/>
  <c r="G273" i="8" s="1"/>
  <c r="I19" i="5" a="1"/>
  <c r="I19" i="5" s="1"/>
  <c r="G274" i="8" a="1"/>
  <c r="G274" i="8" s="1"/>
  <c r="I20" i="5" a="1"/>
  <c r="I20" i="5" s="1"/>
  <c r="G275" i="8" a="1"/>
  <c r="G275" i="8" s="1"/>
  <c r="I21" i="5" a="1"/>
  <c r="I21" i="5" s="1"/>
  <c r="G276" i="8" a="1"/>
  <c r="G276" i="8" s="1"/>
  <c r="I22" i="5" a="1"/>
  <c r="I22" i="5" s="1"/>
  <c r="G277" i="8" a="1"/>
  <c r="G277" i="8" s="1"/>
  <c r="I23" i="5" a="1"/>
  <c r="I23" i="5" s="1"/>
  <c r="G278" i="8" a="1"/>
  <c r="G278" i="8" s="1"/>
  <c r="I24" i="5" a="1"/>
  <c r="I24" i="5" s="1"/>
  <c r="G279" i="8" a="1"/>
  <c r="G279" i="8" s="1"/>
  <c r="I25" i="5" a="1"/>
  <c r="I25" i="5" s="1"/>
  <c r="G280" i="8" a="1"/>
  <c r="G280" i="8" s="1"/>
  <c r="I26" i="5" a="1"/>
  <c r="I26" i="5" s="1"/>
  <c r="G281" i="8" a="1"/>
  <c r="G281" i="8" s="1"/>
  <c r="I27" i="5" a="1"/>
  <c r="I27" i="5" s="1"/>
  <c r="G282" i="8" a="1"/>
  <c r="G282" i="8" s="1"/>
  <c r="I28" i="5" a="1"/>
  <c r="I28" i="5" s="1"/>
  <c r="G283" i="8" a="1"/>
  <c r="G283" i="8" s="1"/>
  <c r="I29" i="5" a="1"/>
  <c r="I29" i="5" s="1"/>
  <c r="G284" i="8" a="1"/>
  <c r="G284" i="8" s="1"/>
  <c r="I30" i="5" a="1"/>
  <c r="I30" i="5" s="1"/>
  <c r="G285" i="8" a="1"/>
  <c r="G285" i="8" s="1"/>
  <c r="I31" i="5" a="1"/>
  <c r="I31" i="5" s="1"/>
  <c r="G286" i="8" a="1"/>
  <c r="G286" i="8" s="1"/>
  <c r="I32" i="5" a="1"/>
  <c r="I32" i="5" s="1"/>
  <c r="G287" i="8" a="1"/>
  <c r="G287" i="8" s="1"/>
  <c r="I33" i="5" a="1"/>
  <c r="I33" i="5" s="1"/>
  <c r="G288" i="8" a="1"/>
  <c r="G288" i="8" s="1"/>
  <c r="I34" i="5" a="1"/>
  <c r="I34" i="5" s="1"/>
  <c r="G289" i="8" a="1"/>
  <c r="G289" i="8" s="1"/>
  <c r="I35" i="5" a="1"/>
  <c r="I35" i="5" s="1"/>
  <c r="G290" i="8" a="1"/>
  <c r="G290" i="8" s="1"/>
  <c r="I36" i="5" a="1"/>
  <c r="I36" i="5" s="1"/>
  <c r="G291" i="8" a="1"/>
  <c r="G291" i="8" s="1"/>
  <c r="I37" i="5" a="1"/>
  <c r="I37" i="5" s="1"/>
  <c r="G292" i="8" a="1"/>
  <c r="G292" i="8" s="1"/>
  <c r="I38" i="5" a="1"/>
  <c r="I38" i="5" s="1"/>
  <c r="G293" i="8" a="1"/>
  <c r="G293" i="8" s="1"/>
  <c r="I39" i="5" a="1"/>
  <c r="I39" i="5" s="1"/>
  <c r="G294" i="8" a="1"/>
  <c r="G294" i="8" s="1"/>
  <c r="I40" i="5" a="1"/>
  <c r="I40" i="5" s="1"/>
  <c r="G295" i="8" a="1"/>
  <c r="G295" i="8" s="1"/>
  <c r="I41" i="5" a="1"/>
  <c r="I41" i="5" s="1"/>
  <c r="G296" i="8" a="1"/>
  <c r="G296" i="8" s="1"/>
  <c r="I42" i="5" a="1"/>
  <c r="I42" i="5" s="1"/>
  <c r="G297" i="8" a="1"/>
  <c r="G297" i="8" s="1"/>
  <c r="I43" i="5" a="1"/>
  <c r="I43" i="5" s="1"/>
  <c r="G298" i="8" a="1"/>
  <c r="G298" i="8" s="1"/>
  <c r="I44" i="5" a="1"/>
  <c r="I44" i="5" s="1"/>
  <c r="G299" i="8" a="1"/>
  <c r="G299" i="8" s="1"/>
  <c r="I45" i="5" a="1"/>
  <c r="I45" i="5" s="1"/>
  <c r="G300" i="8" a="1"/>
  <c r="G300" i="8" s="1"/>
  <c r="I46" i="5" a="1"/>
  <c r="I46" i="5" s="1"/>
  <c r="G301" i="8" a="1"/>
  <c r="G301" i="8" s="1"/>
  <c r="I47" i="5" a="1"/>
  <c r="I47" i="5" s="1"/>
  <c r="G302" i="8" a="1"/>
  <c r="G302" i="8" s="1"/>
  <c r="I48" i="5" a="1"/>
  <c r="I48" i="5" s="1"/>
  <c r="G303" i="8" a="1"/>
  <c r="G303" i="8" s="1"/>
  <c r="I49" i="5" a="1"/>
  <c r="I49" i="5" s="1"/>
  <c r="G304" i="8" a="1"/>
  <c r="G304" i="8" s="1"/>
  <c r="I50" i="5" a="1"/>
  <c r="I50" i="5" s="1"/>
  <c r="I305" i="8" s="1" a="1"/>
  <c r="I305" i="8" s="1"/>
  <c r="G305" i="8" a="1"/>
  <c r="G305" i="8" s="1"/>
  <c r="I51" i="5" a="1"/>
  <c r="I51" i="5" s="1"/>
  <c r="I306" i="8" s="1" a="1"/>
  <c r="I306" i="8" s="1"/>
  <c r="G306" i="8" a="1"/>
  <c r="G306" i="8" s="1"/>
  <c r="I52" i="5" a="1"/>
  <c r="I52" i="5" s="1"/>
  <c r="I307" i="8" s="1" a="1"/>
  <c r="I307" i="8" s="1"/>
  <c r="G307" i="8" a="1"/>
  <c r="G307" i="8" s="1"/>
  <c r="I53" i="5" a="1"/>
  <c r="I53" i="5" s="1"/>
  <c r="I308" i="8" s="1" a="1"/>
  <c r="I308" i="8" s="1"/>
  <c r="G308" i="8" a="1"/>
  <c r="G308" i="8" s="1"/>
  <c r="I54" i="5" a="1"/>
  <c r="I54" i="5" s="1"/>
  <c r="I309" i="8" s="1" a="1"/>
  <c r="I309" i="8" s="1"/>
  <c r="G309" i="8" a="1"/>
  <c r="G309" i="8" s="1"/>
  <c r="I55" i="5" a="1"/>
  <c r="I55" i="5" s="1"/>
  <c r="I310" i="8" s="1" a="1"/>
  <c r="I310" i="8" s="1"/>
  <c r="G310" i="8" a="1"/>
  <c r="G310" i="8" s="1"/>
  <c r="I56" i="5" a="1"/>
  <c r="I56" i="5" s="1"/>
  <c r="I311" i="8" s="1" a="1"/>
  <c r="I311" i="8" s="1"/>
  <c r="G311" i="8" a="1"/>
  <c r="G311" i="8" s="1"/>
  <c r="I57" i="5" a="1"/>
  <c r="I57" i="5" s="1"/>
  <c r="I312" i="8" s="1" a="1"/>
  <c r="I312" i="8" s="1"/>
  <c r="G312" i="8" a="1"/>
  <c r="G312" i="8" s="1"/>
  <c r="I58" i="5" a="1"/>
  <c r="I58" i="5" s="1"/>
  <c r="I313" i="8" s="1" a="1"/>
  <c r="I313" i="8" s="1"/>
  <c r="G313" i="8" a="1"/>
  <c r="G313" i="8" s="1"/>
  <c r="I59" i="5" a="1"/>
  <c r="I59" i="5" s="1"/>
  <c r="I314" i="8" s="1" a="1"/>
  <c r="I314" i="8" s="1"/>
  <c r="G314" i="8" a="1"/>
  <c r="G314" i="8" s="1"/>
  <c r="I60" i="5" a="1"/>
  <c r="I60" i="5" s="1"/>
  <c r="I315" i="8" s="1" a="1"/>
  <c r="I315" i="8" s="1"/>
  <c r="G315" i="8" a="1"/>
  <c r="G315" i="8" s="1"/>
  <c r="I61" i="5" a="1"/>
  <c r="I61" i="5" s="1"/>
  <c r="I316" i="8" s="1" a="1"/>
  <c r="I316" i="8" s="1"/>
  <c r="G316" i="8" a="1"/>
  <c r="G316" i="8" s="1"/>
  <c r="I62" i="5" a="1"/>
  <c r="I62" i="5" s="1"/>
  <c r="I317" i="8" s="1" a="1"/>
  <c r="I317" i="8" s="1"/>
  <c r="G317" i="8" a="1"/>
  <c r="G317" i="8" s="1"/>
  <c r="I63" i="5" a="1"/>
  <c r="I63" i="5" s="1"/>
  <c r="I318" i="8" s="1" a="1"/>
  <c r="I318" i="8" s="1"/>
  <c r="G318" i="8" a="1"/>
  <c r="G318" i="8" s="1"/>
  <c r="I64" i="5" a="1"/>
  <c r="I64" i="5" s="1"/>
  <c r="I319" i="8" s="1" a="1"/>
  <c r="I319" i="8" s="1"/>
  <c r="G319" i="8" a="1"/>
  <c r="G319" i="8" s="1"/>
  <c r="I65" i="5" a="1"/>
  <c r="I65" i="5" s="1"/>
  <c r="I320" i="8" s="1" a="1"/>
  <c r="I320" i="8" s="1"/>
  <c r="G320" i="8" a="1"/>
  <c r="G320" i="8" s="1"/>
  <c r="I66" i="5" a="1"/>
  <c r="I66" i="5" s="1"/>
  <c r="I321" i="8" s="1" a="1"/>
  <c r="I321" i="8" s="1"/>
  <c r="G321" i="8" a="1"/>
  <c r="G321" i="8" s="1"/>
  <c r="I67" i="5" a="1"/>
  <c r="I67" i="5" s="1"/>
  <c r="I322" i="8" s="1" a="1"/>
  <c r="I322" i="8" s="1"/>
  <c r="G322" i="8" a="1"/>
  <c r="G322" i="8" s="1"/>
  <c r="I68" i="5" a="1"/>
  <c r="I68" i="5" s="1"/>
  <c r="I323" i="8" s="1" a="1"/>
  <c r="I323" i="8" s="1"/>
  <c r="G323" i="8" a="1"/>
  <c r="G323" i="8" s="1"/>
  <c r="I69" i="5" a="1"/>
  <c r="I69" i="5" s="1"/>
  <c r="I324" i="8" s="1" a="1"/>
  <c r="I324" i="8" s="1"/>
  <c r="G324" i="8" a="1"/>
  <c r="G324" i="8" s="1"/>
  <c r="I70" i="5" a="1"/>
  <c r="I70" i="5" s="1"/>
  <c r="G325" i="8" a="1"/>
  <c r="G325" i="8" s="1"/>
  <c r="I71" i="5" a="1"/>
  <c r="I71" i="5" s="1"/>
  <c r="G326" i="8" a="1"/>
  <c r="G326" i="8" s="1"/>
  <c r="I72" i="5" a="1"/>
  <c r="I72" i="5" s="1"/>
  <c r="G327" i="8" a="1"/>
  <c r="G327" i="8" s="1"/>
  <c r="I73" i="5" a="1"/>
  <c r="I73" i="5" s="1"/>
  <c r="G328" i="8" a="1"/>
  <c r="G328" i="8" s="1"/>
  <c r="I74" i="5" a="1"/>
  <c r="I74" i="5" s="1"/>
  <c r="G329" i="8" a="1"/>
  <c r="G329" i="8" s="1"/>
  <c r="I75" i="5" a="1"/>
  <c r="I75" i="5" s="1"/>
  <c r="G330" i="8" a="1"/>
  <c r="G330" i="8" s="1"/>
  <c r="I76" i="5" a="1"/>
  <c r="I76" i="5" s="1"/>
  <c r="G331" i="8" a="1"/>
  <c r="G331" i="8" s="1"/>
  <c r="I77" i="5" a="1"/>
  <c r="I77" i="5" s="1"/>
  <c r="G332" i="8" a="1"/>
  <c r="G332" i="8" s="1"/>
  <c r="I78" i="5" a="1"/>
  <c r="I78" i="5" s="1"/>
  <c r="G333" i="8" a="1"/>
  <c r="G333" i="8" s="1"/>
  <c r="I79" i="5" a="1"/>
  <c r="I79" i="5" s="1"/>
  <c r="G334" i="8" a="1"/>
  <c r="G334" i="8" s="1"/>
  <c r="I80" i="5" a="1"/>
  <c r="I80" i="5" s="1"/>
  <c r="G335" i="8" a="1"/>
  <c r="G335" i="8" s="1"/>
  <c r="I81" i="5" a="1"/>
  <c r="I81" i="5" s="1"/>
  <c r="G336" i="8" a="1"/>
  <c r="G336" i="8" s="1"/>
  <c r="I82" i="5" a="1"/>
  <c r="I82" i="5" s="1"/>
  <c r="G337" i="8" a="1"/>
  <c r="G337" i="8" s="1"/>
  <c r="I83" i="5" a="1"/>
  <c r="I83" i="5" s="1"/>
  <c r="G338" i="8" a="1"/>
  <c r="G338" i="8" s="1"/>
  <c r="I84" i="5" a="1"/>
  <c r="I84" i="5" s="1"/>
  <c r="G339" i="8" a="1"/>
  <c r="G339" i="8" s="1"/>
  <c r="I85" i="5" a="1"/>
  <c r="I85" i="5" s="1"/>
  <c r="G340" i="8" a="1"/>
  <c r="G340" i="8" s="1"/>
  <c r="I86" i="5" a="1"/>
  <c r="I86" i="5" s="1"/>
  <c r="G341" i="8" a="1"/>
  <c r="G341" i="8" s="1"/>
  <c r="I87" i="5" a="1"/>
  <c r="I87" i="5" s="1"/>
  <c r="G342" i="8" a="1"/>
  <c r="G342" i="8" s="1"/>
  <c r="I88" i="5" a="1"/>
  <c r="I88" i="5" s="1"/>
  <c r="G343" i="8" a="1"/>
  <c r="G343" i="8" s="1"/>
  <c r="I89" i="5" a="1"/>
  <c r="I89" i="5" s="1"/>
  <c r="G344" i="8" a="1"/>
  <c r="G344" i="8" s="1"/>
  <c r="I90" i="5" a="1"/>
  <c r="I90" i="5" s="1"/>
  <c r="G345" i="8" a="1"/>
  <c r="G345" i="8" s="1"/>
  <c r="I91" i="5" a="1"/>
  <c r="I91" i="5" s="1"/>
  <c r="G346" i="8" a="1"/>
  <c r="G346" i="8" s="1"/>
  <c r="I92" i="5" a="1"/>
  <c r="I92" i="5" s="1"/>
  <c r="G347" i="8" a="1"/>
  <c r="G347" i="8" s="1"/>
  <c r="I93" i="5" a="1"/>
  <c r="I93" i="5" s="1"/>
  <c r="G348" i="8" a="1"/>
  <c r="G348" i="8" s="1"/>
  <c r="I94" i="5" a="1"/>
  <c r="I94" i="5" s="1"/>
  <c r="G349" i="8" a="1"/>
  <c r="G349" i="8" s="1"/>
  <c r="I95" i="5" a="1"/>
  <c r="I95" i="5" s="1"/>
  <c r="G350" i="8" a="1"/>
  <c r="G350" i="8" s="1"/>
  <c r="I96" i="5" a="1"/>
  <c r="I96" i="5" s="1"/>
  <c r="G351" i="8" a="1"/>
  <c r="G351" i="8" s="1"/>
  <c r="I97" i="5" a="1"/>
  <c r="I97" i="5" s="1"/>
  <c r="G352" i="8" a="1"/>
  <c r="G352" i="8" s="1"/>
  <c r="I98" i="5" a="1"/>
  <c r="I98" i="5" s="1"/>
  <c r="G353" i="8" a="1"/>
  <c r="G353" i="8" s="1"/>
  <c r="I99" i="5" a="1"/>
  <c r="I99" i="5" s="1"/>
  <c r="G354" i="8" a="1"/>
  <c r="G354" i="8" s="1"/>
  <c r="I100" i="5" a="1"/>
  <c r="I100" i="5" s="1"/>
  <c r="G355" i="8" a="1"/>
  <c r="G355" i="8" s="1"/>
  <c r="I101" i="5" a="1"/>
  <c r="I101" i="5" s="1"/>
  <c r="G356" i="8" a="1"/>
  <c r="G356" i="8" s="1"/>
  <c r="I102" i="5" a="1"/>
  <c r="I102" i="5" s="1"/>
  <c r="G357" i="8" a="1"/>
  <c r="G357" i="8" s="1"/>
  <c r="I103" i="5" a="1"/>
  <c r="I103" i="5" s="1"/>
  <c r="G358" i="8" a="1"/>
  <c r="G358" i="8" s="1"/>
  <c r="I104" i="5" a="1"/>
  <c r="I104" i="5" s="1"/>
  <c r="G359" i="8" a="1"/>
  <c r="G359" i="8" s="1"/>
  <c r="G363" i="8" a="1"/>
  <c r="G363" i="8" s="1"/>
  <c r="I108" i="5" a="1"/>
  <c r="I108" i="5" s="1"/>
  <c r="I105" i="5" a="1"/>
  <c r="I105" i="5" s="1"/>
  <c r="G360" i="8" a="1"/>
  <c r="G360" i="8" s="1"/>
  <c r="G361" i="8" a="1"/>
  <c r="G361" i="8" s="1"/>
  <c r="I106" i="5" a="1"/>
  <c r="I106" i="5" s="1"/>
  <c r="G364" i="8" a="1"/>
  <c r="G364" i="8" s="1"/>
  <c r="I109" i="5" a="1"/>
  <c r="I109" i="5" s="1"/>
  <c r="G362" i="8" a="1"/>
  <c r="G362" i="8" s="1"/>
  <c r="I107" i="5" a="1"/>
  <c r="I107" i="5" s="1"/>
  <c r="I110" i="5" a="1"/>
  <c r="I110" i="5" s="1"/>
  <c r="G365" i="8" a="1"/>
  <c r="G365" i="8" s="1"/>
  <c r="F287" i="6" a="1"/>
  <c r="F287" i="6" s="1"/>
  <c r="F366" i="8" a="1"/>
  <c r="F366" i="8" s="1"/>
  <c r="C107" i="4" a="1"/>
  <c r="C107" i="4" s="1"/>
  <c r="C261" i="8" s="1" a="1"/>
  <c r="C261" i="8" s="1"/>
  <c r="C162" i="8" a="1"/>
  <c r="C162" i="8" s="1"/>
  <c r="I261" i="8" a="1"/>
  <c r="I261" i="8" s="1"/>
  <c r="I22" i="1" a="1"/>
  <c r="I22" i="1" s="1"/>
  <c r="I37" i="1" a="1"/>
  <c r="I37" i="1" s="1"/>
  <c r="C37" i="1" s="1" a="1"/>
  <c r="C37" i="1" s="1"/>
  <c r="H261" i="8" a="1"/>
  <c r="H261" i="8" s="1"/>
  <c r="H22" i="1" a="1"/>
  <c r="H22" i="1" s="1"/>
  <c r="H37" i="1" a="1"/>
  <c r="H37" i="1" s="1"/>
  <c r="I286" i="6" a="1"/>
  <c r="I286" i="6" s="1"/>
  <c r="I115" i="8" a="1"/>
  <c r="I115" i="8" s="1"/>
  <c r="I17" i="1" a="1"/>
  <c r="I17" i="1" s="1"/>
  <c r="H115" i="8" a="1"/>
  <c r="H115" i="8" s="1"/>
  <c r="H17" i="1" a="1"/>
  <c r="H17" i="1" s="1"/>
  <c r="C109" i="2" a="1"/>
  <c r="C109" i="2" s="1"/>
  <c r="C34" i="1" s="1" a="1"/>
  <c r="C34" i="1" s="1"/>
  <c r="D17" i="1" s="1" a="1"/>
  <c r="D17" i="1" s="1"/>
  <c r="C8" i="3" a="1"/>
  <c r="C8" i="3" s="1"/>
  <c r="C15" i="8" a="1"/>
  <c r="C15" i="8" s="1"/>
  <c r="H11" i="3" a="1"/>
  <c r="H11" i="3" s="1"/>
  <c r="K11" i="3" a="1"/>
  <c r="K11" i="3" s="1"/>
  <c r="K120" i="8" s="1" a="1"/>
  <c r="K120" i="8" s="1"/>
  <c r="E22" i="3" a="1"/>
  <c r="E22" i="3" s="1"/>
  <c r="E23" i="3" a="1"/>
  <c r="E23" i="3" s="1"/>
  <c r="E24" i="3" a="1"/>
  <c r="E24" i="3" s="1"/>
  <c r="E25" i="3" a="1"/>
  <c r="E25" i="3" s="1"/>
  <c r="E26" i="3" a="1"/>
  <c r="E26" i="3" s="1"/>
  <c r="E27" i="3" a="1"/>
  <c r="E27" i="3" s="1"/>
  <c r="E28" i="3" a="1"/>
  <c r="E28" i="3" s="1"/>
  <c r="E29" i="3" a="1"/>
  <c r="E29" i="3" s="1"/>
  <c r="E30" i="3" a="1"/>
  <c r="E30" i="3" s="1"/>
  <c r="E31" i="3" a="1"/>
  <c r="E31" i="3" s="1"/>
  <c r="E32" i="3" a="1"/>
  <c r="E32" i="3" s="1"/>
  <c r="E33" i="3" a="1"/>
  <c r="E33" i="3" s="1"/>
  <c r="E34" i="3" a="1"/>
  <c r="E34" i="3" s="1"/>
  <c r="E35" i="3" a="1"/>
  <c r="E35" i="3" s="1"/>
  <c r="E36" i="3" a="1"/>
  <c r="E36" i="3" s="1"/>
  <c r="E37" i="3" a="1"/>
  <c r="E37" i="3" s="1"/>
  <c r="E38" i="3" a="1"/>
  <c r="E38" i="3" s="1"/>
  <c r="E39" i="3" a="1"/>
  <c r="E39" i="3" s="1"/>
  <c r="E40" i="3" a="1"/>
  <c r="E40" i="3" s="1"/>
  <c r="E41" i="3" a="1"/>
  <c r="E41" i="3" s="1"/>
  <c r="E42" i="3" a="1"/>
  <c r="E42" i="3" s="1"/>
  <c r="E47" i="3" a="1"/>
  <c r="E47" i="3" s="1"/>
  <c r="E48" i="3" a="1"/>
  <c r="E48" i="3" s="1"/>
  <c r="E51" i="3" a="1"/>
  <c r="E51" i="3" s="1"/>
  <c r="E52" i="3" a="1"/>
  <c r="E52" i="3" s="1"/>
  <c r="E53" i="3" a="1"/>
  <c r="E53" i="3" s="1"/>
  <c r="E54" i="3" a="1"/>
  <c r="E54" i="3" s="1"/>
  <c r="E55" i="3" a="1"/>
  <c r="E55" i="3" s="1"/>
  <c r="E120" i="8" a="1"/>
  <c r="E120" i="8" s="1"/>
  <c r="E43" i="3" a="1"/>
  <c r="E43" i="3" s="1"/>
  <c r="E44" i="3" a="1"/>
  <c r="E44" i="3" s="1"/>
  <c r="E45" i="3" a="1"/>
  <c r="E45" i="3" s="1"/>
  <c r="E46" i="3" a="1"/>
  <c r="E46" i="3" s="1"/>
  <c r="E49" i="3" a="1"/>
  <c r="E49" i="3" s="1"/>
  <c r="E50" i="3" a="1"/>
  <c r="E50" i="3" s="1"/>
  <c r="E56" i="3" a="1"/>
  <c r="E56" i="3" s="1"/>
  <c r="I11" i="3" a="1"/>
  <c r="I11" i="3" s="1"/>
  <c r="G22" i="3" a="1"/>
  <c r="G22" i="3" s="1"/>
  <c r="G23" i="3" a="1"/>
  <c r="G23" i="3" s="1"/>
  <c r="G123" i="8" s="1" a="1"/>
  <c r="G123" i="8" s="1"/>
  <c r="G24" i="3" a="1"/>
  <c r="G24" i="3" s="1"/>
  <c r="G124" i="8" s="1" a="1"/>
  <c r="G124" i="8" s="1"/>
  <c r="G25" i="3" a="1"/>
  <c r="G25" i="3" s="1"/>
  <c r="G125" i="8" s="1" a="1"/>
  <c r="G125" i="8" s="1"/>
  <c r="G26" i="3" a="1"/>
  <c r="G26" i="3" s="1"/>
  <c r="G126" i="8" s="1" a="1"/>
  <c r="G126" i="8" s="1"/>
  <c r="G27" i="3" a="1"/>
  <c r="G27" i="3" s="1"/>
  <c r="G127" i="8" s="1" a="1"/>
  <c r="G127" i="8" s="1"/>
  <c r="G28" i="3" a="1"/>
  <c r="G28" i="3" s="1"/>
  <c r="G128" i="8" s="1" a="1"/>
  <c r="G128" i="8" s="1"/>
  <c r="G29" i="3" a="1"/>
  <c r="G29" i="3" s="1"/>
  <c r="G129" i="8" s="1" a="1"/>
  <c r="G129" i="8" s="1"/>
  <c r="G30" i="3" a="1"/>
  <c r="G30" i="3" s="1"/>
  <c r="G130" i="8" s="1" a="1"/>
  <c r="G130" i="8" s="1"/>
  <c r="G31" i="3" a="1"/>
  <c r="G31" i="3" s="1"/>
  <c r="G131" i="8" s="1" a="1"/>
  <c r="G131" i="8" s="1"/>
  <c r="G32" i="3" a="1"/>
  <c r="G32" i="3" s="1"/>
  <c r="G132" i="8" s="1" a="1"/>
  <c r="G132" i="8" s="1"/>
  <c r="G33" i="3" a="1"/>
  <c r="G33" i="3" s="1"/>
  <c r="G133" i="8" s="1" a="1"/>
  <c r="G133" i="8" s="1"/>
  <c r="G34" i="3" a="1"/>
  <c r="G34" i="3" s="1"/>
  <c r="G134" i="8" s="1" a="1"/>
  <c r="G134" i="8" s="1"/>
  <c r="G35" i="3" a="1"/>
  <c r="G35" i="3" s="1"/>
  <c r="G135" i="8" s="1" a="1"/>
  <c r="G135" i="8" s="1"/>
  <c r="G36" i="3" a="1"/>
  <c r="G36" i="3" s="1"/>
  <c r="G136" i="8" s="1" a="1"/>
  <c r="G136" i="8" s="1"/>
  <c r="G37" i="3" a="1"/>
  <c r="G37" i="3" s="1"/>
  <c r="G137" i="8" s="1" a="1"/>
  <c r="G137" i="8" s="1"/>
  <c r="G38" i="3" a="1"/>
  <c r="G38" i="3" s="1"/>
  <c r="G138" i="8" s="1" a="1"/>
  <c r="G138" i="8" s="1"/>
  <c r="G39" i="3" a="1"/>
  <c r="G39" i="3" s="1"/>
  <c r="G139" i="8" s="1" a="1"/>
  <c r="G139" i="8" s="1"/>
  <c r="G41" i="3" a="1"/>
  <c r="G41" i="3" s="1"/>
  <c r="G141" i="8" s="1" a="1"/>
  <c r="G141" i="8" s="1"/>
  <c r="G42" i="3" a="1"/>
  <c r="G42" i="3" s="1"/>
  <c r="G142" i="8" s="1" a="1"/>
  <c r="G142" i="8" s="1"/>
  <c r="G46" i="3" a="1"/>
  <c r="G46" i="3" s="1"/>
  <c r="G146" i="8" s="1" a="1"/>
  <c r="G146" i="8" s="1"/>
  <c r="G47" i="3" a="1"/>
  <c r="G47" i="3" s="1"/>
  <c r="G147" i="8" s="1" a="1"/>
  <c r="G147" i="8" s="1"/>
  <c r="G48" i="3" a="1"/>
  <c r="G48" i="3" s="1"/>
  <c r="G148" i="8" s="1" a="1"/>
  <c r="G148" i="8" s="1"/>
  <c r="G49" i="3" a="1"/>
  <c r="G49" i="3" s="1"/>
  <c r="G149" i="8" s="1" a="1"/>
  <c r="G149" i="8" s="1"/>
  <c r="G50" i="3" a="1"/>
  <c r="G50" i="3" s="1"/>
  <c r="G150" i="8" s="1" a="1"/>
  <c r="G150" i="8" s="1"/>
  <c r="G51" i="3" a="1"/>
  <c r="G51" i="3" s="1"/>
  <c r="G151" i="8" s="1" a="1"/>
  <c r="G151" i="8" s="1"/>
  <c r="G52" i="3" a="1"/>
  <c r="G52" i="3" s="1"/>
  <c r="G152" i="8" s="1" a="1"/>
  <c r="G152" i="8" s="1"/>
  <c r="G53" i="3" a="1"/>
  <c r="G53" i="3" s="1"/>
  <c r="G153" i="8" s="1" a="1"/>
  <c r="G153" i="8" s="1"/>
  <c r="G55" i="3" a="1"/>
  <c r="G55" i="3" s="1"/>
  <c r="G155" i="8" s="1" a="1"/>
  <c r="G155" i="8" s="1"/>
  <c r="G120" i="8" a="1"/>
  <c r="G120" i="8" s="1"/>
  <c r="G40" i="3" a="1"/>
  <c r="G40" i="3" s="1"/>
  <c r="G140" i="8" s="1" a="1"/>
  <c r="G140" i="8" s="1"/>
  <c r="G43" i="3" a="1"/>
  <c r="G43" i="3" s="1"/>
  <c r="G143" i="8" s="1" a="1"/>
  <c r="G143" i="8" s="1"/>
  <c r="G44" i="3" a="1"/>
  <c r="G44" i="3" s="1"/>
  <c r="G144" i="8" s="1" a="1"/>
  <c r="G144" i="8" s="1"/>
  <c r="G45" i="3" a="1"/>
  <c r="G45" i="3" s="1"/>
  <c r="G145" i="8" s="1" a="1"/>
  <c r="G145" i="8" s="1"/>
  <c r="G54" i="3" a="1"/>
  <c r="G54" i="3" s="1"/>
  <c r="G154" i="8" s="1" a="1"/>
  <c r="G154" i="8" s="1"/>
  <c r="G56" i="3" a="1"/>
  <c r="G56" i="3" s="1"/>
  <c r="G156" i="8" s="1" a="1"/>
  <c r="G156" i="8" s="1"/>
  <c r="J11" i="3" a="1"/>
  <c r="J11" i="3" s="1"/>
  <c r="D22" i="3" a="1"/>
  <c r="D22" i="3" s="1"/>
  <c r="D23" i="3" a="1"/>
  <c r="D23" i="3" s="1"/>
  <c r="D24" i="3" a="1"/>
  <c r="D24" i="3" s="1"/>
  <c r="D25" i="3" a="1"/>
  <c r="D25" i="3" s="1"/>
  <c r="D26" i="3" a="1"/>
  <c r="D26" i="3" s="1"/>
  <c r="D27" i="3" a="1"/>
  <c r="D27" i="3" s="1"/>
  <c r="D28" i="3" a="1"/>
  <c r="D28" i="3" s="1"/>
  <c r="D29" i="3" a="1"/>
  <c r="D29" i="3" s="1"/>
  <c r="D30" i="3" a="1"/>
  <c r="D30" i="3" s="1"/>
  <c r="D31" i="3" a="1"/>
  <c r="D31" i="3" s="1"/>
  <c r="D32" i="3" a="1"/>
  <c r="D32" i="3" s="1"/>
  <c r="D33" i="3" a="1"/>
  <c r="D33" i="3" s="1"/>
  <c r="D34" i="3" a="1"/>
  <c r="D34" i="3" s="1"/>
  <c r="D35" i="3" a="1"/>
  <c r="D35" i="3" s="1"/>
  <c r="D36" i="3" a="1"/>
  <c r="D36" i="3" s="1"/>
  <c r="D37" i="3" a="1"/>
  <c r="D37" i="3" s="1"/>
  <c r="D38" i="3" a="1"/>
  <c r="D38" i="3" s="1"/>
  <c r="D39" i="3" a="1"/>
  <c r="D39" i="3" s="1"/>
  <c r="D42" i="3" a="1"/>
  <c r="D42" i="3" s="1"/>
  <c r="D43" i="3" a="1"/>
  <c r="D43" i="3" s="1"/>
  <c r="D44" i="3" a="1"/>
  <c r="D44" i="3" s="1"/>
  <c r="D45" i="3" a="1"/>
  <c r="D45" i="3" s="1"/>
  <c r="D46" i="3" a="1"/>
  <c r="D46" i="3" s="1"/>
  <c r="D49" i="3" a="1"/>
  <c r="D49" i="3" s="1"/>
  <c r="D50" i="3" a="1"/>
  <c r="D50" i="3" s="1"/>
  <c r="D56" i="3" a="1"/>
  <c r="D56" i="3" s="1"/>
  <c r="D120" i="8" a="1"/>
  <c r="D120" i="8" s="1"/>
  <c r="D40" i="3" a="1"/>
  <c r="D40" i="3" s="1"/>
  <c r="D41" i="3" a="1"/>
  <c r="D41" i="3" s="1"/>
  <c r="D47" i="3" a="1"/>
  <c r="D47" i="3" s="1"/>
  <c r="D48" i="3" a="1"/>
  <c r="D48" i="3" s="1"/>
  <c r="D51" i="3" a="1"/>
  <c r="D51" i="3" s="1"/>
  <c r="D52" i="3" a="1"/>
  <c r="D52" i="3" s="1"/>
  <c r="D53" i="3" a="1"/>
  <c r="D53" i="3" s="1"/>
  <c r="D54" i="3" a="1"/>
  <c r="D54" i="3" s="1"/>
  <c r="D55" i="3" a="1"/>
  <c r="D55" i="3" s="1"/>
  <c r="F22" i="3" a="1"/>
  <c r="F22" i="3" s="1"/>
  <c r="F23" i="3" a="1"/>
  <c r="F23" i="3" s="1"/>
  <c r="F123" i="8" s="1" a="1"/>
  <c r="F123" i="8" s="1"/>
  <c r="F24" i="3" a="1"/>
  <c r="F24" i="3" s="1"/>
  <c r="F124" i="8" s="1" a="1"/>
  <c r="F124" i="8" s="1"/>
  <c r="F25" i="3" a="1"/>
  <c r="F25" i="3" s="1"/>
  <c r="F125" i="8" s="1" a="1"/>
  <c r="F125" i="8" s="1"/>
  <c r="F26" i="3" a="1"/>
  <c r="F26" i="3" s="1"/>
  <c r="F126" i="8" s="1" a="1"/>
  <c r="F126" i="8" s="1"/>
  <c r="F27" i="3" a="1"/>
  <c r="F27" i="3" s="1"/>
  <c r="F127" i="8" s="1" a="1"/>
  <c r="F127" i="8" s="1"/>
  <c r="F28" i="3" a="1"/>
  <c r="F28" i="3" s="1"/>
  <c r="F128" i="8" s="1" a="1"/>
  <c r="F128" i="8" s="1"/>
  <c r="F29" i="3" a="1"/>
  <c r="F29" i="3" s="1"/>
  <c r="F129" i="8" s="1" a="1"/>
  <c r="F129" i="8" s="1"/>
  <c r="F30" i="3" a="1"/>
  <c r="F30" i="3" s="1"/>
  <c r="F130" i="8" s="1" a="1"/>
  <c r="F130" i="8" s="1"/>
  <c r="F31" i="3" a="1"/>
  <c r="F31" i="3" s="1"/>
  <c r="F131" i="8" s="1" a="1"/>
  <c r="F131" i="8" s="1"/>
  <c r="F32" i="3" a="1"/>
  <c r="F32" i="3" s="1"/>
  <c r="F132" i="8" s="1" a="1"/>
  <c r="F132" i="8" s="1"/>
  <c r="F33" i="3" a="1"/>
  <c r="F33" i="3" s="1"/>
  <c r="F133" i="8" s="1" a="1"/>
  <c r="F133" i="8" s="1"/>
  <c r="F34" i="3" a="1"/>
  <c r="F34" i="3" s="1"/>
  <c r="F134" i="8" s="1" a="1"/>
  <c r="F134" i="8" s="1"/>
  <c r="F35" i="3" a="1"/>
  <c r="F35" i="3" s="1"/>
  <c r="F135" i="8" s="1" a="1"/>
  <c r="F135" i="8" s="1"/>
  <c r="F36" i="3" a="1"/>
  <c r="F36" i="3" s="1"/>
  <c r="F136" i="8" s="1" a="1"/>
  <c r="F136" i="8" s="1"/>
  <c r="F37" i="3" a="1"/>
  <c r="F37" i="3" s="1"/>
  <c r="F137" i="8" s="1" a="1"/>
  <c r="F137" i="8" s="1"/>
  <c r="F38" i="3" a="1"/>
  <c r="F38" i="3" s="1"/>
  <c r="F138" i="8" s="1" a="1"/>
  <c r="F138" i="8" s="1"/>
  <c r="F39" i="3" a="1"/>
  <c r="F39" i="3" s="1"/>
  <c r="F139" i="8" s="1" a="1"/>
  <c r="F139" i="8" s="1"/>
  <c r="F40" i="3" a="1"/>
  <c r="F40" i="3" s="1"/>
  <c r="F140" i="8" s="1" a="1"/>
  <c r="F140" i="8" s="1"/>
  <c r="F43" i="3" a="1"/>
  <c r="F43" i="3" s="1"/>
  <c r="F143" i="8" s="1" a="1"/>
  <c r="F143" i="8" s="1"/>
  <c r="F44" i="3" a="1"/>
  <c r="F44" i="3" s="1"/>
  <c r="F144" i="8" s="1" a="1"/>
  <c r="F144" i="8" s="1"/>
  <c r="F45" i="3" a="1"/>
  <c r="F45" i="3" s="1"/>
  <c r="F145" i="8" s="1" a="1"/>
  <c r="F145" i="8" s="1"/>
  <c r="F49" i="3" a="1"/>
  <c r="F49" i="3" s="1"/>
  <c r="F149" i="8" s="1" a="1"/>
  <c r="F149" i="8" s="1"/>
  <c r="F56" i="3" a="1"/>
  <c r="F56" i="3" s="1"/>
  <c r="F156" i="8" s="1" a="1"/>
  <c r="F156" i="8" s="1"/>
  <c r="F120" i="8" a="1"/>
  <c r="F120" i="8" s="1"/>
  <c r="F41" i="3" a="1"/>
  <c r="F41" i="3" s="1"/>
  <c r="F141" i="8" s="1" a="1"/>
  <c r="F141" i="8" s="1"/>
  <c r="F42" i="3" a="1"/>
  <c r="F42" i="3" s="1"/>
  <c r="F142" i="8" s="1" a="1"/>
  <c r="F142" i="8" s="1"/>
  <c r="F46" i="3" a="1"/>
  <c r="F46" i="3" s="1"/>
  <c r="F146" i="8" s="1" a="1"/>
  <c r="F146" i="8" s="1"/>
  <c r="F47" i="3" a="1"/>
  <c r="F47" i="3" s="1"/>
  <c r="F147" i="8" s="1" a="1"/>
  <c r="F147" i="8" s="1"/>
  <c r="F48" i="3" a="1"/>
  <c r="F48" i="3" s="1"/>
  <c r="F148" i="8" s="1" a="1"/>
  <c r="F148" i="8" s="1"/>
  <c r="F50" i="3" a="1"/>
  <c r="F50" i="3" s="1"/>
  <c r="F150" i="8" s="1" a="1"/>
  <c r="F150" i="8" s="1"/>
  <c r="F51" i="3" a="1"/>
  <c r="F51" i="3" s="1"/>
  <c r="F151" i="8" s="1" a="1"/>
  <c r="F151" i="8" s="1"/>
  <c r="F52" i="3" a="1"/>
  <c r="F52" i="3" s="1"/>
  <c r="F152" i="8" s="1" a="1"/>
  <c r="F152" i="8" s="1"/>
  <c r="F53" i="3" a="1"/>
  <c r="F53" i="3" s="1"/>
  <c r="F153" i="8" s="1" a="1"/>
  <c r="F153" i="8" s="1"/>
  <c r="F54" i="3" a="1"/>
  <c r="F54" i="3" s="1"/>
  <c r="F154" i="8" s="1" a="1"/>
  <c r="F154" i="8" s="1"/>
  <c r="F55" i="3" a="1"/>
  <c r="F55" i="3" s="1"/>
  <c r="F155" i="8" s="1" a="1"/>
  <c r="F155" i="8" s="1"/>
  <c r="H366" i="8" l="1" a="1"/>
  <c r="H366" i="8" s="1"/>
  <c r="H38" i="1" a="1"/>
  <c r="H38" i="1" s="1"/>
  <c r="H39" i="1" a="1"/>
  <c r="H39" i="1" s="1"/>
  <c r="C266" i="8" a="1"/>
  <c r="C266" i="8" s="1"/>
  <c r="I266" i="8" a="1"/>
  <c r="I266" i="8" s="1"/>
  <c r="I111" i="5" a="1"/>
  <c r="I111" i="5" s="1"/>
  <c r="G287" i="6" a="1"/>
  <c r="G287" i="6" s="1"/>
  <c r="G366" i="8" a="1"/>
  <c r="G366" i="8" s="1"/>
  <c r="C18" i="1" a="1"/>
  <c r="C18" i="1" s="1"/>
  <c r="C17" i="1" a="1"/>
  <c r="C17" i="1" s="1"/>
  <c r="C60" i="1" a="1"/>
  <c r="C60" i="1" s="1"/>
  <c r="C10" i="8" s="1" a="1"/>
  <c r="C10" i="8" s="1"/>
  <c r="C115" i="8" a="1"/>
  <c r="C115" i="8" s="1"/>
  <c r="H120" i="8" a="1"/>
  <c r="H120" i="8" s="1"/>
  <c r="H20" i="1" a="1"/>
  <c r="H20" i="1" s="1"/>
  <c r="H21" i="1" s="1" a="1"/>
  <c r="H21" i="1" s="1"/>
  <c r="H24" i="1" s="1" a="1"/>
  <c r="H24" i="1" s="1"/>
  <c r="H36" i="1" a="1"/>
  <c r="H36" i="1" s="1"/>
  <c r="H35" i="1" a="1"/>
  <c r="H35" i="1" s="1"/>
  <c r="C11" i="3" a="1"/>
  <c r="C11" i="3" s="1"/>
  <c r="K22" i="3" a="1"/>
  <c r="K22" i="3" s="1"/>
  <c r="E57" i="3" a="1"/>
  <c r="E57" i="3" s="1"/>
  <c r="E157" i="8" s="1" a="1"/>
  <c r="E157" i="8" s="1"/>
  <c r="E122" i="8" a="1"/>
  <c r="E122" i="8" s="1"/>
  <c r="K23" i="3" a="1"/>
  <c r="K23" i="3" s="1"/>
  <c r="K123" i="8" s="1" a="1"/>
  <c r="K123" i="8" s="1"/>
  <c r="E123" i="8" a="1"/>
  <c r="E123" i="8" s="1"/>
  <c r="K24" i="3" a="1"/>
  <c r="K24" i="3" s="1"/>
  <c r="K124" i="8" s="1" a="1"/>
  <c r="K124" i="8" s="1"/>
  <c r="E124" i="8" a="1"/>
  <c r="E124" i="8" s="1"/>
  <c r="K25" i="3" a="1"/>
  <c r="K25" i="3" s="1"/>
  <c r="K125" i="8" s="1" a="1"/>
  <c r="K125" i="8" s="1"/>
  <c r="E125" i="8" a="1"/>
  <c r="E125" i="8" s="1"/>
  <c r="K26" i="3" a="1"/>
  <c r="K26" i="3" s="1"/>
  <c r="K126" i="8" s="1" a="1"/>
  <c r="K126" i="8" s="1"/>
  <c r="E126" i="8" a="1"/>
  <c r="E126" i="8" s="1"/>
  <c r="K27" i="3" a="1"/>
  <c r="K27" i="3" s="1"/>
  <c r="K127" i="8" s="1" a="1"/>
  <c r="K127" i="8" s="1"/>
  <c r="E127" i="8" a="1"/>
  <c r="E127" i="8" s="1"/>
  <c r="K28" i="3" a="1"/>
  <c r="K28" i="3" s="1"/>
  <c r="K128" i="8" s="1" a="1"/>
  <c r="K128" i="8" s="1"/>
  <c r="E128" i="8" a="1"/>
  <c r="E128" i="8" s="1"/>
  <c r="K29" i="3" a="1"/>
  <c r="K29" i="3" s="1"/>
  <c r="K129" i="8" s="1" a="1"/>
  <c r="K129" i="8" s="1"/>
  <c r="E129" i="8" a="1"/>
  <c r="E129" i="8" s="1"/>
  <c r="K30" i="3" a="1"/>
  <c r="K30" i="3" s="1"/>
  <c r="K130" i="8" s="1" a="1"/>
  <c r="K130" i="8" s="1"/>
  <c r="E130" i="8" a="1"/>
  <c r="E130" i="8" s="1"/>
  <c r="K31" i="3" a="1"/>
  <c r="K31" i="3" s="1"/>
  <c r="K131" i="8" s="1" a="1"/>
  <c r="K131" i="8" s="1"/>
  <c r="E131" i="8" a="1"/>
  <c r="E131" i="8" s="1"/>
  <c r="K32" i="3" a="1"/>
  <c r="K32" i="3" s="1"/>
  <c r="K132" i="8" s="1" a="1"/>
  <c r="K132" i="8" s="1"/>
  <c r="E132" i="8" a="1"/>
  <c r="E132" i="8" s="1"/>
  <c r="K33" i="3" a="1"/>
  <c r="K33" i="3" s="1"/>
  <c r="K133" i="8" s="1" a="1"/>
  <c r="K133" i="8" s="1"/>
  <c r="E133" i="8" a="1"/>
  <c r="E133" i="8" s="1"/>
  <c r="K34" i="3" a="1"/>
  <c r="K34" i="3" s="1"/>
  <c r="K134" i="8" s="1" a="1"/>
  <c r="K134" i="8" s="1"/>
  <c r="E134" i="8" a="1"/>
  <c r="E134" i="8" s="1"/>
  <c r="K35" i="3" a="1"/>
  <c r="K35" i="3" s="1"/>
  <c r="K135" i="8" s="1" a="1"/>
  <c r="K135" i="8" s="1"/>
  <c r="E135" i="8" a="1"/>
  <c r="E135" i="8" s="1"/>
  <c r="K36" i="3" a="1"/>
  <c r="K36" i="3" s="1"/>
  <c r="K136" i="8" s="1" a="1"/>
  <c r="K136" i="8" s="1"/>
  <c r="E136" i="8" a="1"/>
  <c r="E136" i="8" s="1"/>
  <c r="K37" i="3" a="1"/>
  <c r="K37" i="3" s="1"/>
  <c r="K137" i="8" s="1" a="1"/>
  <c r="K137" i="8" s="1"/>
  <c r="E137" i="8" a="1"/>
  <c r="E137" i="8" s="1"/>
  <c r="K38" i="3" a="1"/>
  <c r="K38" i="3" s="1"/>
  <c r="K138" i="8" s="1" a="1"/>
  <c r="K138" i="8" s="1"/>
  <c r="E138" i="8" a="1"/>
  <c r="E138" i="8" s="1"/>
  <c r="E139" i="8" a="1"/>
  <c r="E139" i="8" s="1"/>
  <c r="K39" i="3" a="1"/>
  <c r="K39" i="3" s="1"/>
  <c r="K139" i="8" s="1" a="1"/>
  <c r="K139" i="8" s="1"/>
  <c r="K40" i="3" a="1"/>
  <c r="K40" i="3" s="1"/>
  <c r="K140" i="8" s="1" a="1"/>
  <c r="K140" i="8" s="1"/>
  <c r="E140" i="8" a="1"/>
  <c r="E140" i="8" s="1"/>
  <c r="K41" i="3" a="1"/>
  <c r="K41" i="3" s="1"/>
  <c r="K141" i="8" s="1" a="1"/>
  <c r="K141" i="8" s="1"/>
  <c r="E141" i="8" a="1"/>
  <c r="E141" i="8" s="1"/>
  <c r="K42" i="3" a="1"/>
  <c r="K42" i="3" s="1"/>
  <c r="K142" i="8" s="1" a="1"/>
  <c r="K142" i="8" s="1"/>
  <c r="E142" i="8" a="1"/>
  <c r="E142" i="8" s="1"/>
  <c r="K47" i="3" a="1"/>
  <c r="K47" i="3" s="1"/>
  <c r="K147" i="8" s="1" a="1"/>
  <c r="K147" i="8" s="1"/>
  <c r="E147" i="8" a="1"/>
  <c r="E147" i="8" s="1"/>
  <c r="K48" i="3" a="1"/>
  <c r="K48" i="3" s="1"/>
  <c r="K148" i="8" s="1" a="1"/>
  <c r="K148" i="8" s="1"/>
  <c r="E148" i="8" a="1"/>
  <c r="E148" i="8" s="1"/>
  <c r="K51" i="3" a="1"/>
  <c r="K51" i="3" s="1"/>
  <c r="K151" i="8" s="1" a="1"/>
  <c r="K151" i="8" s="1"/>
  <c r="E151" i="8" a="1"/>
  <c r="E151" i="8" s="1"/>
  <c r="K52" i="3" a="1"/>
  <c r="K52" i="3" s="1"/>
  <c r="K152" i="8" s="1" a="1"/>
  <c r="K152" i="8" s="1"/>
  <c r="E152" i="8" a="1"/>
  <c r="E152" i="8" s="1"/>
  <c r="K53" i="3" a="1"/>
  <c r="K53" i="3" s="1"/>
  <c r="K153" i="8" s="1" a="1"/>
  <c r="K153" i="8" s="1"/>
  <c r="E153" i="8" a="1"/>
  <c r="E153" i="8" s="1"/>
  <c r="K54" i="3" a="1"/>
  <c r="K54" i="3" s="1"/>
  <c r="K154" i="8" s="1" a="1"/>
  <c r="K154" i="8" s="1"/>
  <c r="E154" i="8" a="1"/>
  <c r="E154" i="8" s="1"/>
  <c r="K55" i="3" a="1"/>
  <c r="K55" i="3" s="1"/>
  <c r="K155" i="8" s="1" a="1"/>
  <c r="K155" i="8" s="1"/>
  <c r="E155" i="8" a="1"/>
  <c r="E155" i="8" s="1"/>
  <c r="K43" i="3" a="1"/>
  <c r="K43" i="3" s="1"/>
  <c r="K143" i="8" s="1" a="1"/>
  <c r="K143" i="8" s="1"/>
  <c r="E143" i="8" a="1"/>
  <c r="E143" i="8" s="1"/>
  <c r="K44" i="3" a="1"/>
  <c r="K44" i="3" s="1"/>
  <c r="K144" i="8" s="1" a="1"/>
  <c r="K144" i="8" s="1"/>
  <c r="E144" i="8" a="1"/>
  <c r="E144" i="8" s="1"/>
  <c r="K45" i="3" a="1"/>
  <c r="K45" i="3" s="1"/>
  <c r="K145" i="8" s="1" a="1"/>
  <c r="K145" i="8" s="1"/>
  <c r="E145" i="8" a="1"/>
  <c r="E145" i="8" s="1"/>
  <c r="E146" i="8" a="1"/>
  <c r="E146" i="8" s="1"/>
  <c r="K46" i="3" a="1"/>
  <c r="K46" i="3" s="1"/>
  <c r="K146" i="8" s="1" a="1"/>
  <c r="K146" i="8" s="1"/>
  <c r="K49" i="3" a="1"/>
  <c r="K49" i="3" s="1"/>
  <c r="K149" i="8" s="1" a="1"/>
  <c r="K149" i="8" s="1"/>
  <c r="E149" i="8" a="1"/>
  <c r="E149" i="8" s="1"/>
  <c r="E150" i="8" a="1"/>
  <c r="E150" i="8" s="1"/>
  <c r="K50" i="3" a="1"/>
  <c r="K50" i="3" s="1"/>
  <c r="K150" i="8" s="1" a="1"/>
  <c r="K150" i="8" s="1"/>
  <c r="K56" i="3" a="1"/>
  <c r="K56" i="3" s="1"/>
  <c r="K156" i="8" s="1" a="1"/>
  <c r="K156" i="8" s="1"/>
  <c r="E156" i="8" a="1"/>
  <c r="E156" i="8" s="1"/>
  <c r="I69" i="3" a="1"/>
  <c r="I69" i="3" s="1"/>
  <c r="I120" i="8" a="1"/>
  <c r="I120" i="8" s="1"/>
  <c r="I35" i="1" a="1"/>
  <c r="I35" i="1" s="1"/>
  <c r="C35" i="1" s="1" a="1"/>
  <c r="C35" i="1" s="1"/>
  <c r="I20" i="1" a="1"/>
  <c r="I20" i="1" s="1"/>
  <c r="I21" i="1" s="1" a="1"/>
  <c r="I21" i="1" s="1"/>
  <c r="I24" i="1" s="1" a="1"/>
  <c r="I24" i="1" s="1"/>
  <c r="I36" i="1" a="1"/>
  <c r="I36" i="1" s="1"/>
  <c r="C36" i="1" s="1" a="1"/>
  <c r="C36" i="1" s="1"/>
  <c r="G57" i="3" a="1"/>
  <c r="G57" i="3" s="1"/>
  <c r="G157" i="8" s="1" a="1"/>
  <c r="G157" i="8" s="1"/>
  <c r="G122" i="8" a="1"/>
  <c r="G122" i="8" s="1"/>
  <c r="J71" i="3" a="1"/>
  <c r="J71" i="3" s="1"/>
  <c r="J120" i="8" a="1"/>
  <c r="J120" i="8" s="1"/>
  <c r="J22" i="3" a="1"/>
  <c r="J22" i="3" s="1"/>
  <c r="D57" i="3" a="1"/>
  <c r="D57" i="3" s="1"/>
  <c r="D157" i="8" s="1" a="1"/>
  <c r="D157" i="8" s="1"/>
  <c r="D122" i="8" a="1"/>
  <c r="D122" i="8" s="1"/>
  <c r="C22" i="3" a="1"/>
  <c r="C22" i="3" s="1"/>
  <c r="J23" i="3" a="1"/>
  <c r="J23" i="3" s="1"/>
  <c r="J123" i="8" s="1" a="1"/>
  <c r="J123" i="8" s="1"/>
  <c r="D123" i="8" a="1"/>
  <c r="D123" i="8" s="1"/>
  <c r="C23" i="3" a="1"/>
  <c r="C23" i="3" s="1"/>
  <c r="C123" i="8" s="1" a="1"/>
  <c r="C123" i="8" s="1"/>
  <c r="J24" i="3" a="1"/>
  <c r="J24" i="3" s="1"/>
  <c r="J124" i="8" s="1" a="1"/>
  <c r="J124" i="8" s="1"/>
  <c r="D124" i="8" a="1"/>
  <c r="D124" i="8" s="1"/>
  <c r="C24" i="3" a="1"/>
  <c r="C24" i="3" s="1"/>
  <c r="C124" i="8" s="1" a="1"/>
  <c r="C124" i="8" s="1"/>
  <c r="J25" i="3" a="1"/>
  <c r="J25" i="3" s="1"/>
  <c r="J125" i="8" s="1" a="1"/>
  <c r="J125" i="8" s="1"/>
  <c r="D125" i="8" a="1"/>
  <c r="D125" i="8" s="1"/>
  <c r="C25" i="3" a="1"/>
  <c r="C25" i="3" s="1"/>
  <c r="C125" i="8" s="1" a="1"/>
  <c r="C125" i="8" s="1"/>
  <c r="J26" i="3" a="1"/>
  <c r="J26" i="3" s="1"/>
  <c r="J126" i="8" s="1" a="1"/>
  <c r="J126" i="8" s="1"/>
  <c r="D126" i="8" a="1"/>
  <c r="D126" i="8" s="1"/>
  <c r="C26" i="3" a="1"/>
  <c r="C26" i="3" s="1"/>
  <c r="C126" i="8" s="1" a="1"/>
  <c r="C126" i="8" s="1"/>
  <c r="J27" i="3" a="1"/>
  <c r="J27" i="3" s="1"/>
  <c r="J127" i="8" s="1" a="1"/>
  <c r="J127" i="8" s="1"/>
  <c r="D127" i="8" a="1"/>
  <c r="D127" i="8" s="1"/>
  <c r="C27" i="3" a="1"/>
  <c r="C27" i="3" s="1"/>
  <c r="C127" i="8" s="1" a="1"/>
  <c r="C127" i="8" s="1"/>
  <c r="J28" i="3" a="1"/>
  <c r="J28" i="3" s="1"/>
  <c r="J128" i="8" s="1" a="1"/>
  <c r="J128" i="8" s="1"/>
  <c r="D128" i="8" a="1"/>
  <c r="D128" i="8" s="1"/>
  <c r="C28" i="3" a="1"/>
  <c r="C28" i="3" s="1"/>
  <c r="C128" i="8" s="1" a="1"/>
  <c r="C128" i="8" s="1"/>
  <c r="J29" i="3" a="1"/>
  <c r="J29" i="3" s="1"/>
  <c r="J129" i="8" s="1" a="1"/>
  <c r="J129" i="8" s="1"/>
  <c r="D129" i="8" a="1"/>
  <c r="D129" i="8" s="1"/>
  <c r="C29" i="3" a="1"/>
  <c r="C29" i="3" s="1"/>
  <c r="C129" i="8" s="1" a="1"/>
  <c r="C129" i="8" s="1"/>
  <c r="J30" i="3" a="1"/>
  <c r="J30" i="3" s="1"/>
  <c r="J130" i="8" s="1" a="1"/>
  <c r="J130" i="8" s="1"/>
  <c r="D130" i="8" a="1"/>
  <c r="D130" i="8" s="1"/>
  <c r="C30" i="3" a="1"/>
  <c r="C30" i="3" s="1"/>
  <c r="C130" i="8" s="1" a="1"/>
  <c r="C130" i="8" s="1"/>
  <c r="J31" i="3" a="1"/>
  <c r="J31" i="3" s="1"/>
  <c r="J131" i="8" s="1" a="1"/>
  <c r="J131" i="8" s="1"/>
  <c r="D131" i="8" a="1"/>
  <c r="D131" i="8" s="1"/>
  <c r="C31" i="3" a="1"/>
  <c r="C31" i="3" s="1"/>
  <c r="C131" i="8" s="1" a="1"/>
  <c r="C131" i="8" s="1"/>
  <c r="J32" i="3" a="1"/>
  <c r="J32" i="3" s="1"/>
  <c r="J132" i="8" s="1" a="1"/>
  <c r="J132" i="8" s="1"/>
  <c r="D132" i="8" a="1"/>
  <c r="D132" i="8" s="1"/>
  <c r="C32" i="3" a="1"/>
  <c r="C32" i="3" s="1"/>
  <c r="C132" i="8" s="1" a="1"/>
  <c r="C132" i="8" s="1"/>
  <c r="J33" i="3" a="1"/>
  <c r="J33" i="3" s="1"/>
  <c r="J133" i="8" s="1" a="1"/>
  <c r="J133" i="8" s="1"/>
  <c r="D133" i="8" a="1"/>
  <c r="D133" i="8" s="1"/>
  <c r="C33" i="3" a="1"/>
  <c r="C33" i="3" s="1"/>
  <c r="C133" i="8" s="1" a="1"/>
  <c r="C133" i="8" s="1"/>
  <c r="J34" i="3" a="1"/>
  <c r="J34" i="3" s="1"/>
  <c r="J134" i="8" s="1" a="1"/>
  <c r="J134" i="8" s="1"/>
  <c r="D134" i="8" a="1"/>
  <c r="D134" i="8" s="1"/>
  <c r="C34" i="3" a="1"/>
  <c r="C34" i="3" s="1"/>
  <c r="C134" i="8" s="1" a="1"/>
  <c r="C134" i="8" s="1"/>
  <c r="J35" i="3" a="1"/>
  <c r="J35" i="3" s="1"/>
  <c r="J135" i="8" s="1" a="1"/>
  <c r="J135" i="8" s="1"/>
  <c r="D135" i="8" a="1"/>
  <c r="D135" i="8" s="1"/>
  <c r="C35" i="3" a="1"/>
  <c r="C35" i="3" s="1"/>
  <c r="C135" i="8" s="1" a="1"/>
  <c r="C135" i="8" s="1"/>
  <c r="J36" i="3" a="1"/>
  <c r="J36" i="3" s="1"/>
  <c r="J136" i="8" s="1" a="1"/>
  <c r="J136" i="8" s="1"/>
  <c r="D136" i="8" a="1"/>
  <c r="D136" i="8" s="1"/>
  <c r="C36" i="3" a="1"/>
  <c r="C36" i="3" s="1"/>
  <c r="C136" i="8" s="1" a="1"/>
  <c r="C136" i="8" s="1"/>
  <c r="J37" i="3" a="1"/>
  <c r="J37" i="3" s="1"/>
  <c r="J137" i="8" s="1" a="1"/>
  <c r="J137" i="8" s="1"/>
  <c r="D137" i="8" a="1"/>
  <c r="D137" i="8" s="1"/>
  <c r="C37" i="3" a="1"/>
  <c r="C37" i="3" s="1"/>
  <c r="C137" i="8" s="1" a="1"/>
  <c r="C137" i="8" s="1"/>
  <c r="J38" i="3" a="1"/>
  <c r="J38" i="3" s="1"/>
  <c r="J138" i="8" s="1" a="1"/>
  <c r="J138" i="8" s="1"/>
  <c r="D138" i="8" a="1"/>
  <c r="D138" i="8" s="1"/>
  <c r="C38" i="3" a="1"/>
  <c r="C38" i="3" s="1"/>
  <c r="C138" i="8" s="1" a="1"/>
  <c r="C138" i="8" s="1"/>
  <c r="D139" i="8" a="1"/>
  <c r="D139" i="8" s="1"/>
  <c r="J39" i="3" a="1"/>
  <c r="J39" i="3" s="1"/>
  <c r="J139" i="8" s="1" a="1"/>
  <c r="J139" i="8" s="1"/>
  <c r="C39" i="3" a="1"/>
  <c r="C39" i="3" s="1"/>
  <c r="C139" i="8" s="1" a="1"/>
  <c r="C139" i="8" s="1"/>
  <c r="J42" i="3" a="1"/>
  <c r="J42" i="3" s="1"/>
  <c r="J142" i="8" s="1" a="1"/>
  <c r="J142" i="8" s="1"/>
  <c r="D142" i="8" a="1"/>
  <c r="D142" i="8" s="1"/>
  <c r="C42" i="3" a="1"/>
  <c r="C42" i="3" s="1"/>
  <c r="C142" i="8" s="1" a="1"/>
  <c r="C142" i="8" s="1"/>
  <c r="J43" i="3" a="1"/>
  <c r="J43" i="3" s="1"/>
  <c r="J143" i="8" s="1" a="1"/>
  <c r="J143" i="8" s="1"/>
  <c r="D143" i="8" a="1"/>
  <c r="D143" i="8" s="1"/>
  <c r="C43" i="3" a="1"/>
  <c r="C43" i="3" s="1"/>
  <c r="C143" i="8" s="1" a="1"/>
  <c r="C143" i="8" s="1"/>
  <c r="J44" i="3" a="1"/>
  <c r="J44" i="3" s="1"/>
  <c r="J144" i="8" s="1" a="1"/>
  <c r="J144" i="8" s="1"/>
  <c r="D144" i="8" a="1"/>
  <c r="D144" i="8" s="1"/>
  <c r="C44" i="3" a="1"/>
  <c r="C44" i="3" s="1"/>
  <c r="C144" i="8" s="1" a="1"/>
  <c r="C144" i="8" s="1"/>
  <c r="J45" i="3" a="1"/>
  <c r="J45" i="3" s="1"/>
  <c r="J145" i="8" s="1" a="1"/>
  <c r="J145" i="8" s="1"/>
  <c r="D145" i="8" a="1"/>
  <c r="D145" i="8" s="1"/>
  <c r="C45" i="3" a="1"/>
  <c r="C45" i="3" s="1"/>
  <c r="C145" i="8" s="1" a="1"/>
  <c r="C145" i="8" s="1"/>
  <c r="J46" i="3" a="1"/>
  <c r="J46" i="3" s="1"/>
  <c r="J146" i="8" s="1" a="1"/>
  <c r="J146" i="8" s="1"/>
  <c r="D146" i="8" a="1"/>
  <c r="D146" i="8" s="1"/>
  <c r="C46" i="3" a="1"/>
  <c r="C46" i="3" s="1"/>
  <c r="C146" i="8" s="1" a="1"/>
  <c r="C146" i="8" s="1"/>
  <c r="J49" i="3" a="1"/>
  <c r="J49" i="3" s="1"/>
  <c r="J149" i="8" s="1" a="1"/>
  <c r="J149" i="8" s="1"/>
  <c r="D149" i="8" a="1"/>
  <c r="D149" i="8" s="1"/>
  <c r="C49" i="3" a="1"/>
  <c r="C49" i="3" s="1"/>
  <c r="C149" i="8" s="1" a="1"/>
  <c r="C149" i="8" s="1"/>
  <c r="J50" i="3" a="1"/>
  <c r="J50" i="3" s="1"/>
  <c r="J150" i="8" s="1" a="1"/>
  <c r="J150" i="8" s="1"/>
  <c r="D150" i="8" a="1"/>
  <c r="D150" i="8" s="1"/>
  <c r="C50" i="3" a="1"/>
  <c r="C50" i="3" s="1"/>
  <c r="C150" i="8" s="1" a="1"/>
  <c r="C150" i="8" s="1"/>
  <c r="J56" i="3" a="1"/>
  <c r="J56" i="3" s="1"/>
  <c r="J156" i="8" s="1" a="1"/>
  <c r="J156" i="8" s="1"/>
  <c r="D156" i="8" a="1"/>
  <c r="D156" i="8" s="1"/>
  <c r="C56" i="3" a="1"/>
  <c r="C56" i="3" s="1"/>
  <c r="C156" i="8" s="1" a="1"/>
  <c r="C156" i="8" s="1"/>
  <c r="J40" i="3" a="1"/>
  <c r="J40" i="3" s="1"/>
  <c r="J140" i="8" s="1" a="1"/>
  <c r="J140" i="8" s="1"/>
  <c r="D140" i="8" a="1"/>
  <c r="D140" i="8" s="1"/>
  <c r="C40" i="3" a="1"/>
  <c r="C40" i="3" s="1"/>
  <c r="C140" i="8" s="1" a="1"/>
  <c r="C140" i="8" s="1"/>
  <c r="D141" i="8" a="1"/>
  <c r="D141" i="8" s="1"/>
  <c r="J41" i="3" a="1"/>
  <c r="J41" i="3" s="1"/>
  <c r="J141" i="8" s="1" a="1"/>
  <c r="J141" i="8" s="1"/>
  <c r="C41" i="3" a="1"/>
  <c r="C41" i="3" s="1"/>
  <c r="C141" i="8" s="1" a="1"/>
  <c r="C141" i="8" s="1"/>
  <c r="J47" i="3" a="1"/>
  <c r="J47" i="3" s="1"/>
  <c r="J147" i="8" s="1" a="1"/>
  <c r="J147" i="8" s="1"/>
  <c r="D147" i="8" a="1"/>
  <c r="D147" i="8" s="1"/>
  <c r="C47" i="3" a="1"/>
  <c r="C47" i="3" s="1"/>
  <c r="C147" i="8" s="1" a="1"/>
  <c r="C147" i="8" s="1"/>
  <c r="D148" i="8" a="1"/>
  <c r="D148" i="8" s="1"/>
  <c r="J48" i="3" a="1"/>
  <c r="J48" i="3" s="1"/>
  <c r="J148" i="8" s="1" a="1"/>
  <c r="J148" i="8" s="1"/>
  <c r="C48" i="3" a="1"/>
  <c r="C48" i="3" s="1"/>
  <c r="C148" i="8" s="1" a="1"/>
  <c r="C148" i="8" s="1"/>
  <c r="J51" i="3" a="1"/>
  <c r="J51" i="3" s="1"/>
  <c r="J151" i="8" s="1" a="1"/>
  <c r="J151" i="8" s="1"/>
  <c r="D151" i="8" a="1"/>
  <c r="D151" i="8" s="1"/>
  <c r="C51" i="3" a="1"/>
  <c r="C51" i="3" s="1"/>
  <c r="C151" i="8" s="1" a="1"/>
  <c r="C151" i="8" s="1"/>
  <c r="D152" i="8" a="1"/>
  <c r="D152" i="8" s="1"/>
  <c r="J52" i="3" a="1"/>
  <c r="J52" i="3" s="1"/>
  <c r="J152" i="8" s="1" a="1"/>
  <c r="J152" i="8" s="1"/>
  <c r="C52" i="3" a="1"/>
  <c r="C52" i="3" s="1"/>
  <c r="C152" i="8" s="1" a="1"/>
  <c r="C152" i="8" s="1"/>
  <c r="J53" i="3" a="1"/>
  <c r="J53" i="3" s="1"/>
  <c r="J153" i="8" s="1" a="1"/>
  <c r="J153" i="8" s="1"/>
  <c r="D153" i="8" a="1"/>
  <c r="D153" i="8" s="1"/>
  <c r="C53" i="3" a="1"/>
  <c r="C53" i="3" s="1"/>
  <c r="C153" i="8" s="1" a="1"/>
  <c r="C153" i="8" s="1"/>
  <c r="J54" i="3" a="1"/>
  <c r="J54" i="3" s="1"/>
  <c r="J154" i="8" s="1" a="1"/>
  <c r="J154" i="8" s="1"/>
  <c r="D154" i="8" a="1"/>
  <c r="D154" i="8" s="1"/>
  <c r="C54" i="3" a="1"/>
  <c r="C54" i="3" s="1"/>
  <c r="C154" i="8" s="1" a="1"/>
  <c r="C154" i="8" s="1"/>
  <c r="D155" i="8" a="1"/>
  <c r="D155" i="8" s="1"/>
  <c r="J55" i="3" a="1"/>
  <c r="J55" i="3" s="1"/>
  <c r="J155" i="8" s="1" a="1"/>
  <c r="J155" i="8" s="1"/>
  <c r="C55" i="3" a="1"/>
  <c r="C55" i="3" s="1"/>
  <c r="C155" i="8" s="1" a="1"/>
  <c r="C155" i="8" s="1"/>
  <c r="F57" i="3" a="1"/>
  <c r="F57" i="3" s="1"/>
  <c r="F157" i="8" s="1" a="1"/>
  <c r="F157" i="8" s="1"/>
  <c r="F122" i="8" a="1"/>
  <c r="F122" i="8" s="1"/>
  <c r="I267" i="8" a="1"/>
  <c r="I267" i="8" s="1"/>
  <c r="C12" i="5" a="1"/>
  <c r="C12" i="5" s="1"/>
  <c r="I268" i="8" a="1"/>
  <c r="I268" i="8" s="1"/>
  <c r="C13" i="5" a="1"/>
  <c r="C13" i="5" s="1"/>
  <c r="C268" i="8" s="1" a="1"/>
  <c r="C268" i="8" s="1"/>
  <c r="I269" i="8" a="1"/>
  <c r="I269" i="8" s="1"/>
  <c r="C14" i="5" a="1"/>
  <c r="C14" i="5" s="1"/>
  <c r="C269" i="8" s="1" a="1"/>
  <c r="C269" i="8" s="1"/>
  <c r="I270" i="8" a="1"/>
  <c r="I270" i="8" s="1"/>
  <c r="C15" i="5" a="1"/>
  <c r="C15" i="5" s="1"/>
  <c r="C270" i="8" s="1" a="1"/>
  <c r="C270" i="8" s="1"/>
  <c r="I271" i="8" a="1"/>
  <c r="I271" i="8" s="1"/>
  <c r="C16" i="5" a="1"/>
  <c r="C16" i="5" s="1"/>
  <c r="C271" i="8" s="1" a="1"/>
  <c r="C271" i="8" s="1"/>
  <c r="I272" i="8" a="1"/>
  <c r="I272" i="8" s="1"/>
  <c r="C17" i="5" a="1"/>
  <c r="C17" i="5" s="1"/>
  <c r="C272" i="8" s="1" a="1"/>
  <c r="C272" i="8" s="1"/>
  <c r="I273" i="8" a="1"/>
  <c r="I273" i="8" s="1"/>
  <c r="C18" i="5" a="1"/>
  <c r="C18" i="5" s="1"/>
  <c r="C273" i="8" s="1" a="1"/>
  <c r="C273" i="8" s="1"/>
  <c r="I274" i="8" a="1"/>
  <c r="I274" i="8" s="1"/>
  <c r="C19" i="5" a="1"/>
  <c r="C19" i="5" s="1"/>
  <c r="C274" i="8" s="1" a="1"/>
  <c r="C274" i="8" s="1"/>
  <c r="I275" i="8" a="1"/>
  <c r="I275" i="8" s="1"/>
  <c r="C20" i="5" a="1"/>
  <c r="C20" i="5" s="1"/>
  <c r="C275" i="8" s="1" a="1"/>
  <c r="C275" i="8" s="1"/>
  <c r="I276" i="8" a="1"/>
  <c r="I276" i="8" s="1"/>
  <c r="C21" i="5" a="1"/>
  <c r="C21" i="5" s="1"/>
  <c r="C276" i="8" s="1" a="1"/>
  <c r="C276" i="8" s="1"/>
  <c r="I277" i="8" a="1"/>
  <c r="I277" i="8" s="1"/>
  <c r="C22" i="5" a="1"/>
  <c r="C22" i="5" s="1"/>
  <c r="C277" i="8" s="1" a="1"/>
  <c r="C277" i="8" s="1"/>
  <c r="I278" i="8" a="1"/>
  <c r="I278" i="8" s="1"/>
  <c r="C23" i="5" a="1"/>
  <c r="C23" i="5" s="1"/>
  <c r="C278" i="8" s="1" a="1"/>
  <c r="C278" i="8" s="1"/>
  <c r="I279" i="8" a="1"/>
  <c r="I279" i="8" s="1"/>
  <c r="C24" i="5" a="1"/>
  <c r="C24" i="5" s="1"/>
  <c r="C279" i="8" s="1" a="1"/>
  <c r="C279" i="8" s="1"/>
  <c r="I280" i="8" a="1"/>
  <c r="I280" i="8" s="1"/>
  <c r="C25" i="5" a="1"/>
  <c r="C25" i="5" s="1"/>
  <c r="C280" i="8" s="1" a="1"/>
  <c r="C280" i="8" s="1"/>
  <c r="I281" i="8" a="1"/>
  <c r="I281" i="8" s="1"/>
  <c r="C26" i="5" a="1"/>
  <c r="C26" i="5" s="1"/>
  <c r="C281" i="8" s="1" a="1"/>
  <c r="C281" i="8" s="1"/>
  <c r="I282" i="8" a="1"/>
  <c r="I282" i="8" s="1"/>
  <c r="C27" i="5" a="1"/>
  <c r="C27" i="5" s="1"/>
  <c r="C282" i="8" s="1" a="1"/>
  <c r="C282" i="8" s="1"/>
  <c r="I283" i="8" a="1"/>
  <c r="I283" i="8" s="1"/>
  <c r="C28" i="5" a="1"/>
  <c r="C28" i="5" s="1"/>
  <c r="C283" i="8" s="1" a="1"/>
  <c r="C283" i="8" s="1"/>
  <c r="I284" i="8" a="1"/>
  <c r="I284" i="8" s="1"/>
  <c r="C29" i="5" a="1"/>
  <c r="C29" i="5" s="1"/>
  <c r="C284" i="8" s="1" a="1"/>
  <c r="C284" i="8" s="1"/>
  <c r="I285" i="8" a="1"/>
  <c r="I285" i="8" s="1"/>
  <c r="C30" i="5" a="1"/>
  <c r="C30" i="5" s="1"/>
  <c r="C285" i="8" s="1" a="1"/>
  <c r="C285" i="8" s="1"/>
  <c r="I286" i="8" a="1"/>
  <c r="I286" i="8" s="1"/>
  <c r="C31" i="5" a="1"/>
  <c r="C31" i="5" s="1"/>
  <c r="C286" i="8" s="1" a="1"/>
  <c r="C286" i="8" s="1"/>
  <c r="I287" i="8" a="1"/>
  <c r="I287" i="8" s="1"/>
  <c r="C32" i="5" a="1"/>
  <c r="C32" i="5" s="1"/>
  <c r="C287" i="8" s="1" a="1"/>
  <c r="C287" i="8" s="1"/>
  <c r="I288" i="8" a="1"/>
  <c r="I288" i="8" s="1"/>
  <c r="C33" i="5" a="1"/>
  <c r="C33" i="5" s="1"/>
  <c r="C288" i="8" s="1" a="1"/>
  <c r="C288" i="8" s="1"/>
  <c r="I289" i="8" a="1"/>
  <c r="I289" i="8" s="1"/>
  <c r="C34" i="5" a="1"/>
  <c r="C34" i="5" s="1"/>
  <c r="C289" i="8" s="1" a="1"/>
  <c r="C289" i="8" s="1"/>
  <c r="I290" i="8" a="1"/>
  <c r="I290" i="8" s="1"/>
  <c r="C35" i="5" a="1"/>
  <c r="C35" i="5" s="1"/>
  <c r="C290" i="8" s="1" a="1"/>
  <c r="C290" i="8" s="1"/>
  <c r="I291" i="8" a="1"/>
  <c r="I291" i="8" s="1"/>
  <c r="C36" i="5" a="1"/>
  <c r="C36" i="5" s="1"/>
  <c r="C291" i="8" s="1" a="1"/>
  <c r="C291" i="8" s="1"/>
  <c r="I292" i="8" a="1"/>
  <c r="I292" i="8" s="1"/>
  <c r="C37" i="5" a="1"/>
  <c r="C37" i="5" s="1"/>
  <c r="C292" i="8" s="1" a="1"/>
  <c r="C292" i="8" s="1"/>
  <c r="I293" i="8" a="1"/>
  <c r="I293" i="8" s="1"/>
  <c r="C38" i="5" a="1"/>
  <c r="C38" i="5" s="1"/>
  <c r="C293" i="8" s="1" a="1"/>
  <c r="C293" i="8" s="1"/>
  <c r="I294" i="8" a="1"/>
  <c r="I294" i="8" s="1"/>
  <c r="C39" i="5" a="1"/>
  <c r="C39" i="5" s="1"/>
  <c r="C294" i="8" s="1" a="1"/>
  <c r="C294" i="8" s="1"/>
  <c r="I295" i="8" a="1"/>
  <c r="I295" i="8" s="1"/>
  <c r="C40" i="5" a="1"/>
  <c r="C40" i="5" s="1"/>
  <c r="C295" i="8" s="1" a="1"/>
  <c r="C295" i="8" s="1"/>
  <c r="I296" i="8" a="1"/>
  <c r="I296" i="8" s="1"/>
  <c r="C41" i="5" a="1"/>
  <c r="C41" i="5" s="1"/>
  <c r="C296" i="8" s="1" a="1"/>
  <c r="C296" i="8" s="1"/>
  <c r="I297" i="8" a="1"/>
  <c r="I297" i="8" s="1"/>
  <c r="C42" i="5" a="1"/>
  <c r="C42" i="5" s="1"/>
  <c r="C297" i="8" s="1" a="1"/>
  <c r="C297" i="8" s="1"/>
  <c r="I298" i="8" a="1"/>
  <c r="I298" i="8" s="1"/>
  <c r="C43" i="5" a="1"/>
  <c r="C43" i="5" s="1"/>
  <c r="C298" i="8" s="1" a="1"/>
  <c r="C298" i="8" s="1"/>
  <c r="I299" i="8" a="1"/>
  <c r="I299" i="8" s="1"/>
  <c r="C44" i="5" a="1"/>
  <c r="C44" i="5" s="1"/>
  <c r="C299" i="8" s="1" a="1"/>
  <c r="C299" i="8" s="1"/>
  <c r="I300" i="8" a="1"/>
  <c r="I300" i="8" s="1"/>
  <c r="C45" i="5" a="1"/>
  <c r="C45" i="5" s="1"/>
  <c r="C300" i="8" s="1" a="1"/>
  <c r="C300" i="8" s="1"/>
  <c r="I301" i="8" a="1"/>
  <c r="I301" i="8" s="1"/>
  <c r="C46" i="5" a="1"/>
  <c r="C46" i="5" s="1"/>
  <c r="C301" i="8" s="1" a="1"/>
  <c r="C301" i="8" s="1"/>
  <c r="I302" i="8" a="1"/>
  <c r="I302" i="8" s="1"/>
  <c r="C47" i="5" a="1"/>
  <c r="C47" i="5" s="1"/>
  <c r="C302" i="8" s="1" a="1"/>
  <c r="C302" i="8" s="1"/>
  <c r="I303" i="8" a="1"/>
  <c r="I303" i="8" s="1"/>
  <c r="C48" i="5" a="1"/>
  <c r="C48" i="5" s="1"/>
  <c r="C303" i="8" s="1" a="1"/>
  <c r="C303" i="8" s="1"/>
  <c r="I304" i="8" a="1"/>
  <c r="I304" i="8" s="1"/>
  <c r="C49" i="5" a="1"/>
  <c r="C49" i="5" s="1"/>
  <c r="C304" i="8" s="1" a="1"/>
  <c r="C304" i="8" s="1"/>
  <c r="I325" i="8" a="1"/>
  <c r="I325" i="8" s="1"/>
  <c r="C70" i="5" a="1"/>
  <c r="C70" i="5" s="1"/>
  <c r="C325" i="8" s="1" a="1"/>
  <c r="C325" i="8" s="1"/>
  <c r="I326" i="8" a="1"/>
  <c r="I326" i="8" s="1"/>
  <c r="C71" i="5" a="1"/>
  <c r="C71" i="5" s="1"/>
  <c r="C326" i="8" s="1" a="1"/>
  <c r="C326" i="8" s="1"/>
  <c r="I327" i="8" a="1"/>
  <c r="I327" i="8" s="1"/>
  <c r="C72" i="5" a="1"/>
  <c r="C72" i="5" s="1"/>
  <c r="C327" i="8" s="1" a="1"/>
  <c r="C327" i="8" s="1"/>
  <c r="I328" i="8" a="1"/>
  <c r="I328" i="8" s="1"/>
  <c r="C73" i="5" a="1"/>
  <c r="C73" i="5" s="1"/>
  <c r="C328" i="8" s="1" a="1"/>
  <c r="C328" i="8" s="1"/>
  <c r="I329" i="8" a="1"/>
  <c r="I329" i="8" s="1"/>
  <c r="C74" i="5" a="1"/>
  <c r="C74" i="5" s="1"/>
  <c r="C329" i="8" s="1" a="1"/>
  <c r="C329" i="8" s="1"/>
  <c r="I330" i="8" a="1"/>
  <c r="I330" i="8" s="1"/>
  <c r="C75" i="5" a="1"/>
  <c r="C75" i="5" s="1"/>
  <c r="C330" i="8" s="1" a="1"/>
  <c r="C330" i="8" s="1"/>
  <c r="I331" i="8" a="1"/>
  <c r="I331" i="8" s="1"/>
  <c r="C76" i="5" a="1"/>
  <c r="C76" i="5" s="1"/>
  <c r="C331" i="8" s="1" a="1"/>
  <c r="C331" i="8" s="1"/>
  <c r="I332" i="8" a="1"/>
  <c r="I332" i="8" s="1"/>
  <c r="C77" i="5" a="1"/>
  <c r="C77" i="5" s="1"/>
  <c r="C332" i="8" s="1" a="1"/>
  <c r="C332" i="8" s="1"/>
  <c r="I333" i="8" a="1"/>
  <c r="I333" i="8" s="1"/>
  <c r="C78" i="5" a="1"/>
  <c r="C78" i="5" s="1"/>
  <c r="C333" i="8" s="1" a="1"/>
  <c r="C333" i="8" s="1"/>
  <c r="I334" i="8" a="1"/>
  <c r="I334" i="8" s="1"/>
  <c r="C79" i="5" a="1"/>
  <c r="C79" i="5" s="1"/>
  <c r="C334" i="8" s="1" a="1"/>
  <c r="C334" i="8" s="1"/>
  <c r="I335" i="8" a="1"/>
  <c r="I335" i="8" s="1"/>
  <c r="C80" i="5" a="1"/>
  <c r="C80" i="5" s="1"/>
  <c r="C335" i="8" s="1" a="1"/>
  <c r="C335" i="8" s="1"/>
  <c r="I336" i="8" a="1"/>
  <c r="I336" i="8" s="1"/>
  <c r="C81" i="5" a="1"/>
  <c r="C81" i="5" s="1"/>
  <c r="C336" i="8" s="1" a="1"/>
  <c r="C336" i="8" s="1"/>
  <c r="I337" i="8" a="1"/>
  <c r="I337" i="8" s="1"/>
  <c r="C82" i="5" a="1"/>
  <c r="C82" i="5" s="1"/>
  <c r="C337" i="8" s="1" a="1"/>
  <c r="C337" i="8" s="1"/>
  <c r="I338" i="8" a="1"/>
  <c r="I338" i="8" s="1"/>
  <c r="C83" i="5" a="1"/>
  <c r="C83" i="5" s="1"/>
  <c r="C338" i="8" s="1" a="1"/>
  <c r="C338" i="8" s="1"/>
  <c r="I339" i="8" a="1"/>
  <c r="I339" i="8" s="1"/>
  <c r="C84" i="5" a="1"/>
  <c r="C84" i="5" s="1"/>
  <c r="C339" i="8" s="1" a="1"/>
  <c r="C339" i="8" s="1"/>
  <c r="I340" i="8" a="1"/>
  <c r="I340" i="8" s="1"/>
  <c r="C85" i="5" a="1"/>
  <c r="C85" i="5" s="1"/>
  <c r="C340" i="8" s="1" a="1"/>
  <c r="C340" i="8" s="1"/>
  <c r="I341" i="8" a="1"/>
  <c r="I341" i="8" s="1"/>
  <c r="C86" i="5" a="1"/>
  <c r="C86" i="5" s="1"/>
  <c r="C341" i="8" s="1" a="1"/>
  <c r="C341" i="8" s="1"/>
  <c r="I342" i="8" a="1"/>
  <c r="I342" i="8" s="1"/>
  <c r="C87" i="5" a="1"/>
  <c r="C87" i="5" s="1"/>
  <c r="C342" i="8" s="1" a="1"/>
  <c r="C342" i="8" s="1"/>
  <c r="I343" i="8" a="1"/>
  <c r="I343" i="8" s="1"/>
  <c r="C88" i="5" a="1"/>
  <c r="C88" i="5" s="1"/>
  <c r="C343" i="8" s="1" a="1"/>
  <c r="C343" i="8" s="1"/>
  <c r="I344" i="8" a="1"/>
  <c r="I344" i="8" s="1"/>
  <c r="C89" i="5" a="1"/>
  <c r="C89" i="5" s="1"/>
  <c r="C344" i="8" s="1" a="1"/>
  <c r="C344" i="8" s="1"/>
  <c r="I345" i="8" a="1"/>
  <c r="I345" i="8" s="1"/>
  <c r="C90" i="5" a="1"/>
  <c r="C90" i="5" s="1"/>
  <c r="C345" i="8" s="1" a="1"/>
  <c r="C345" i="8" s="1"/>
  <c r="I346" i="8" a="1"/>
  <c r="I346" i="8" s="1"/>
  <c r="C91" i="5" a="1"/>
  <c r="C91" i="5" s="1"/>
  <c r="C346" i="8" s="1" a="1"/>
  <c r="C346" i="8" s="1"/>
  <c r="I347" i="8" a="1"/>
  <c r="I347" i="8" s="1"/>
  <c r="C92" i="5" a="1"/>
  <c r="C92" i="5" s="1"/>
  <c r="C347" i="8" s="1" a="1"/>
  <c r="C347" i="8" s="1"/>
  <c r="I348" i="8" a="1"/>
  <c r="I348" i="8" s="1"/>
  <c r="C93" i="5" a="1"/>
  <c r="C93" i="5" s="1"/>
  <c r="C348" i="8" s="1" a="1"/>
  <c r="C348" i="8" s="1"/>
  <c r="I349" i="8" a="1"/>
  <c r="I349" i="8" s="1"/>
  <c r="C94" i="5" a="1"/>
  <c r="C94" i="5" s="1"/>
  <c r="C349" i="8" s="1" a="1"/>
  <c r="C349" i="8" s="1"/>
  <c r="I350" i="8" a="1"/>
  <c r="I350" i="8" s="1"/>
  <c r="C95" i="5" a="1"/>
  <c r="C95" i="5" s="1"/>
  <c r="C350" i="8" s="1" a="1"/>
  <c r="C350" i="8" s="1"/>
  <c r="I351" i="8" a="1"/>
  <c r="I351" i="8" s="1"/>
  <c r="C96" i="5" a="1"/>
  <c r="C96" i="5" s="1"/>
  <c r="C351" i="8" s="1" a="1"/>
  <c r="C351" i="8" s="1"/>
  <c r="I352" i="8" a="1"/>
  <c r="I352" i="8" s="1"/>
  <c r="C97" i="5" a="1"/>
  <c r="C97" i="5" s="1"/>
  <c r="C352" i="8" s="1" a="1"/>
  <c r="C352" i="8" s="1"/>
  <c r="I353" i="8" a="1"/>
  <c r="I353" i="8" s="1"/>
  <c r="C98" i="5" a="1"/>
  <c r="C98" i="5" s="1"/>
  <c r="C353" i="8" s="1" a="1"/>
  <c r="C353" i="8" s="1"/>
  <c r="I354" i="8" a="1"/>
  <c r="I354" i="8" s="1"/>
  <c r="C99" i="5" a="1"/>
  <c r="C99" i="5" s="1"/>
  <c r="C354" i="8" s="1" a="1"/>
  <c r="C354" i="8" s="1"/>
  <c r="I355" i="8" a="1"/>
  <c r="I355" i="8" s="1"/>
  <c r="C100" i="5" a="1"/>
  <c r="C100" i="5" s="1"/>
  <c r="C355" i="8" s="1" a="1"/>
  <c r="C355" i="8" s="1"/>
  <c r="I356" i="8" a="1"/>
  <c r="I356" i="8" s="1"/>
  <c r="C101" i="5" a="1"/>
  <c r="C101" i="5" s="1"/>
  <c r="C356" i="8" s="1" a="1"/>
  <c r="C356" i="8" s="1"/>
  <c r="I357" i="8" a="1"/>
  <c r="I357" i="8" s="1"/>
  <c r="C102" i="5" a="1"/>
  <c r="C102" i="5" s="1"/>
  <c r="C357" i="8" s="1" a="1"/>
  <c r="C357" i="8" s="1"/>
  <c r="I358" i="8" a="1"/>
  <c r="I358" i="8" s="1"/>
  <c r="C103" i="5" a="1"/>
  <c r="C103" i="5" s="1"/>
  <c r="C358" i="8" s="1" a="1"/>
  <c r="C358" i="8" s="1"/>
  <c r="I359" i="8" a="1"/>
  <c r="I359" i="8" s="1"/>
  <c r="C104" i="5" a="1"/>
  <c r="C104" i="5" s="1"/>
  <c r="C359" i="8" s="1" a="1"/>
  <c r="C359" i="8" s="1"/>
  <c r="I363" i="8" a="1"/>
  <c r="I363" i="8" s="1"/>
  <c r="C108" i="5" a="1"/>
  <c r="C108" i="5" s="1"/>
  <c r="C363" i="8" s="1" a="1"/>
  <c r="C363" i="8" s="1"/>
  <c r="I360" i="8" a="1"/>
  <c r="I360" i="8" s="1"/>
  <c r="C105" i="5" a="1"/>
  <c r="C105" i="5" s="1"/>
  <c r="C360" i="8" s="1" a="1"/>
  <c r="C360" i="8" s="1"/>
  <c r="I361" i="8" a="1"/>
  <c r="I361" i="8" s="1"/>
  <c r="C106" i="5" a="1"/>
  <c r="C106" i="5" s="1"/>
  <c r="C361" i="8" s="1" a="1"/>
  <c r="C361" i="8" s="1"/>
  <c r="I364" i="8" a="1"/>
  <c r="I364" i="8" s="1"/>
  <c r="C109" i="5" a="1"/>
  <c r="C109" i="5" s="1"/>
  <c r="C364" i="8" s="1" a="1"/>
  <c r="C364" i="8" s="1"/>
  <c r="I362" i="8" a="1"/>
  <c r="I362" i="8" s="1"/>
  <c r="C107" i="5" a="1"/>
  <c r="C107" i="5" s="1"/>
  <c r="C362" i="8" s="1" a="1"/>
  <c r="C362" i="8" s="1"/>
  <c r="I365" i="8" a="1"/>
  <c r="I365" i="8" s="1"/>
  <c r="C110" i="5" a="1"/>
  <c r="C110" i="5" s="1"/>
  <c r="C365" i="8" s="1" a="1"/>
  <c r="C365" i="8" s="1"/>
  <c r="I366" i="8" l="1" a="1"/>
  <c r="I366" i="8" s="1"/>
  <c r="I287" i="6" a="1"/>
  <c r="I287" i="6" s="1"/>
  <c r="I38" i="1" a="1"/>
  <c r="I38" i="1" s="1"/>
  <c r="I39" i="1" a="1"/>
  <c r="I39" i="1" s="1"/>
  <c r="K57" i="3" a="1"/>
  <c r="K57" i="3" s="1"/>
  <c r="K157" i="8" s="1" a="1"/>
  <c r="K157" i="8" s="1"/>
  <c r="K122" i="8" a="1"/>
  <c r="K122" i="8" s="1"/>
  <c r="H71" i="3" a="1"/>
  <c r="H71" i="3" s="1"/>
  <c r="I71" i="3" a="1"/>
  <c r="I71" i="3" s="1"/>
  <c r="J57" i="3" a="1"/>
  <c r="J57" i="3" s="1"/>
  <c r="J157" i="8" s="1" a="1"/>
  <c r="J157" i="8" s="1"/>
  <c r="J122" i="8" a="1"/>
  <c r="J122" i="8" s="1"/>
  <c r="C57" i="3" a="1"/>
  <c r="C57" i="3" s="1"/>
  <c r="C157" i="8" s="1" a="1"/>
  <c r="C157" i="8" s="1"/>
  <c r="C122" i="8" a="1"/>
  <c r="C122" i="8" s="1"/>
  <c r="D18" i="1" a="1"/>
  <c r="D18" i="1" s="1"/>
  <c r="C120" i="8" a="1"/>
  <c r="C120" i="8" s="1"/>
  <c r="H69" i="3" a="1"/>
  <c r="H69" i="3" s="1"/>
  <c r="C24" i="1" a="1"/>
  <c r="C24" i="1" s="1"/>
  <c r="D24" i="1" s="1" a="1"/>
  <c r="D24" i="1" s="1"/>
  <c r="C26" i="1" a="1"/>
  <c r="C26" i="1" s="1"/>
  <c r="C27" i="1" s="1" a="1"/>
  <c r="C27" i="1" s="1"/>
  <c r="C28" i="1" a="1"/>
  <c r="C28" i="1" s="1"/>
  <c r="C29" i="1" s="1" a="1"/>
  <c r="C29" i="1" s="1"/>
  <c r="C267" i="8" a="1"/>
  <c r="C267" i="8" s="1"/>
  <c r="C111" i="5" a="1"/>
  <c r="C111" i="5" s="1"/>
  <c r="C366" i="8" s="1" a="1"/>
  <c r="C366" i="8" s="1"/>
</calcChain>
</file>

<file path=xl/sharedStrings.xml><?xml version="1.0" encoding="utf-8"?>
<sst xmlns="http://schemas.openxmlformats.org/spreadsheetml/2006/main" count="2099" uniqueCount="1512">
  <si>
    <t>overview</t>
  </si>
  <si>
    <t>aa</t>
  </si>
  <si>
    <t>nf</t>
  </si>
  <si>
    <t>nm</t>
  </si>
  <si>
    <t>mf</t>
  </si>
  <si>
    <t>mm</t>
  </si>
  <si>
    <t>na</t>
  </si>
  <si>
    <t>ma</t>
  </si>
  <si>
    <t>af</t>
  </si>
  <si>
    <t>am</t>
  </si>
  <si>
    <t>All</t>
  </si>
  <si>
    <t>Native Female</t>
  </si>
  <si>
    <t>Native Male</t>
  </si>
  <si>
    <t>Migrant Female</t>
  </si>
  <si>
    <t>Migrant Male</t>
  </si>
  <si>
    <t>Utility Native Male + Female</t>
  </si>
  <si>
    <t>Utility Migrant Male + Female</t>
  </si>
  <si>
    <t>Utility All Female</t>
  </si>
  <si>
    <t>Utility All Male</t>
  </si>
  <si>
    <t>Utility Other</t>
  </si>
  <si>
    <t>Information</t>
  </si>
  <si>
    <t>This column contains general values (like definitions and sources)</t>
  </si>
  <si>
    <t>This column is important for the correct calculation</t>
  </si>
  <si>
    <t>This column only contains utilty values used to calculate the data on the left</t>
  </si>
  <si>
    <t>Editing this spreadsheet</t>
  </si>
  <si>
    <t>On a blue background, you can edit values and formulas</t>
  </si>
  <si>
    <t>On a green background, only change the formula (normally the formula should be right though)</t>
  </si>
  <si>
    <t>On a yellow background, don't change anything!</t>
  </si>
  <si>
    <t>On a dark grey background, you find important instructions</t>
  </si>
  <si>
    <t>Country</t>
  </si>
  <si>
    <t>Acronym (e.g. "DE")</t>
  </si>
  <si>
    <t>FR</t>
  </si>
  <si>
    <t>nn</t>
  </si>
  <si>
    <t>Name</t>
  </si>
  <si>
    <t>France</t>
  </si>
  <si>
    <t>nd</t>
  </si>
  <si>
    <t>Date when the sheets were generated</t>
  </si>
  <si>
    <t>2026-05-22 14:00</t>
  </si>
  <si>
    <t>Estimation</t>
  </si>
  <si>
    <t>This is an estimation of the tipping point</t>
  </si>
  <si>
    <t>Current population</t>
  </si>
  <si>
    <t>pn, pm</t>
  </si>
  <si>
    <t>Gap native - migrant</t>
  </si>
  <si>
    <t>Birth / year according to population</t>
  </si>
  <si>
    <t>Birth / year according to fertility</t>
  </si>
  <si>
    <t>Birth / year used for estimation</t>
  </si>
  <si>
    <t>We prefer the number of births according to the fertility</t>
  </si>
  <si>
    <t>Deaths / year</t>
  </si>
  <si>
    <t>Migration balance / year</t>
  </si>
  <si>
    <t>Population delta / year</t>
  </si>
  <si>
    <t>dn, dm</t>
  </si>
  <si>
    <t>Years until  33% share of migrants</t>
  </si>
  <si>
    <t>y = (pn - 2*pm) / (2*dm - dn)</t>
  </si>
  <si>
    <t>Estimated tipping point for  33% share of migrants</t>
  </si>
  <si>
    <t>Years until  50% share of migrants</t>
  </si>
  <si>
    <t>y = (pn - pm) / (dm - dn)</t>
  </si>
  <si>
    <t>Estimated tipping point for  50% share of migrants</t>
  </si>
  <si>
    <t>Indicators</t>
  </si>
  <si>
    <t>This indicators are used to find differences between countries and thus show where the data collection might be wrong</t>
  </si>
  <si>
    <t>Year of the population numbers</t>
  </si>
  <si>
    <t>Share of migrant population</t>
  </si>
  <si>
    <t>&gt; 20% normally</t>
  </si>
  <si>
    <t>Births per 1 mio. women (15-49)</t>
  </si>
  <si>
    <t>&gt; 30% normally</t>
  </si>
  <si>
    <t>Births per 1 mio. population</t>
  </si>
  <si>
    <t>&gt; 50% normally due to younger migrant population</t>
  </si>
  <si>
    <t>Deaths per 1 mio. population</t>
  </si>
  <si>
    <t>&lt; 0% normally due to younger migrant population</t>
  </si>
  <si>
    <t>Migration balance per 1 mio. of group</t>
  </si>
  <si>
    <t>Migration balance in % of population</t>
  </si>
  <si>
    <t>Migration Background</t>
  </si>
  <si>
    <t>How is the "Migration Background" defined in this country?</t>
  </si>
  <si>
    <t>i</t>
  </si>
  <si>
    <t>Definition of the 'migration background'</t>
  </si>
  <si>
    <t>MH i.w.S. nach INSEE-Definition: immigré (personne née étrangère à l'étranger et résidant en France; bleibt immigré auch nach Erwerb der frz. StAng) + descendant d'immigrés (en France geboren, mit mindestens einem immigré-Elternteil). 3. Generation nicht modelliert (V2-Thema TeO2).</t>
  </si>
  <si>
    <t>is</t>
  </si>
  <si>
    <t>Source of the data (verbal)</t>
  </si>
  <si>
    <t>URLs, where the data was found</t>
  </si>
  <si>
    <t>https://www.insee.fr/fr/metadonnees/definition/c1676</t>
  </si>
  <si>
    <t>Date, when the data was downloaded</t>
  </si>
  <si>
    <t>2026-05-22</t>
  </si>
  <si>
    <t>Manual remarks (not for AI!)</t>
  </si>
  <si>
    <t>Remarks of the AI (e.g. calculation)</t>
  </si>
  <si>
    <t>Variante B (INSEE-strikt): MH-Total = Immigrés + Descendants. Eingebürgerte Migranten bleiben immigré (INSEE-Definition). Français nés à l'étranger sind NICHT immigré → werden als Native gezählt (Diff zu Eurostat-FB-Konzept ca. 2,6 Mio.). PROJECT.md-Vorgabe: Variante B methodisch korrekt.</t>
  </si>
  <si>
    <t>Internal remarks</t>
  </si>
  <si>
    <t>Life Expectancy</t>
  </si>
  <si>
    <t>What is the avarage life expectancy in this country?</t>
  </si>
  <si>
    <t>l</t>
  </si>
  <si>
    <t>Life expectancy</t>
  </si>
  <si>
    <t>ls</t>
  </si>
  <si>
    <t>https://www.insee.fr/fr/statistiques/8719824, https://www.insee.fr/fr/statistiques/8313953</t>
  </si>
  <si>
    <t>Lebenserwartung 2024 aus INSEE Bilan démographique 2024/2025: Männer 80,0 J., Frauen 85,7 J. (vorläufig). Einheitliche e0 für Native und Migrant (CLAUDE.md §Lebenserwartung). INSEE Table de mortalité detailliert (Periodentafel) für 2024 noch nicht voll publiziert (nur 2020-2022 als komplette Tafel); 2024-Werte sind Bilan-Estimationen.</t>
  </si>
  <si>
    <t>population</t>
  </si>
  <si>
    <t>⚠️</t>
  </si>
  <si>
    <t>Do not add or delete lines until the next dark grey row below! The fields below are the fields used in other sheets and in the calculation. The address of these fields and their contents must remain always the same, so we can add calculations later!</t>
  </si>
  <si>
    <t>Population</t>
  </si>
  <si>
    <t>This is the base line of the caclution</t>
  </si>
  <si>
    <t>py</t>
  </si>
  <si>
    <t>Year of the count of the population</t>
  </si>
  <si>
    <t>p00</t>
  </si>
  <si>
    <t>0 years</t>
  </si>
  <si>
    <t>p01</t>
  </si>
  <si>
    <t>1 years</t>
  </si>
  <si>
    <t>p02</t>
  </si>
  <si>
    <t>2 years</t>
  </si>
  <si>
    <t>p03</t>
  </si>
  <si>
    <t>3 years</t>
  </si>
  <si>
    <t>p04</t>
  </si>
  <si>
    <t>4 years</t>
  </si>
  <si>
    <t>p05</t>
  </si>
  <si>
    <t>5 years</t>
  </si>
  <si>
    <t>p06</t>
  </si>
  <si>
    <t>6 years</t>
  </si>
  <si>
    <t>p07</t>
  </si>
  <si>
    <t>7 years</t>
  </si>
  <si>
    <t>p08</t>
  </si>
  <si>
    <t>8 years</t>
  </si>
  <si>
    <t>p09</t>
  </si>
  <si>
    <t>9 years</t>
  </si>
  <si>
    <t>p10</t>
  </si>
  <si>
    <t>10 years</t>
  </si>
  <si>
    <t>p11</t>
  </si>
  <si>
    <t>11 years</t>
  </si>
  <si>
    <t>p12</t>
  </si>
  <si>
    <t>12 years</t>
  </si>
  <si>
    <t>p13</t>
  </si>
  <si>
    <t>13 years</t>
  </si>
  <si>
    <t>p14</t>
  </si>
  <si>
    <t>14 years</t>
  </si>
  <si>
    <t>p15</t>
  </si>
  <si>
    <t>15 years</t>
  </si>
  <si>
    <t>p16</t>
  </si>
  <si>
    <t>16 years</t>
  </si>
  <si>
    <t>p17</t>
  </si>
  <si>
    <t>17 years</t>
  </si>
  <si>
    <t>p18</t>
  </si>
  <si>
    <t>18 years</t>
  </si>
  <si>
    <t>p19</t>
  </si>
  <si>
    <t>19 years</t>
  </si>
  <si>
    <t>p20</t>
  </si>
  <si>
    <t>20 years</t>
  </si>
  <si>
    <t>p21</t>
  </si>
  <si>
    <t>21 years</t>
  </si>
  <si>
    <t>p22</t>
  </si>
  <si>
    <t>22 years</t>
  </si>
  <si>
    <t>p23</t>
  </si>
  <si>
    <t>23 years</t>
  </si>
  <si>
    <t>p24</t>
  </si>
  <si>
    <t>24 years</t>
  </si>
  <si>
    <t>p25</t>
  </si>
  <si>
    <t>25 years</t>
  </si>
  <si>
    <t>p26</t>
  </si>
  <si>
    <t>26 years</t>
  </si>
  <si>
    <t>p27</t>
  </si>
  <si>
    <t>27 years</t>
  </si>
  <si>
    <t>p28</t>
  </si>
  <si>
    <t>28 years</t>
  </si>
  <si>
    <t>p29</t>
  </si>
  <si>
    <t>29 years</t>
  </si>
  <si>
    <t>p30</t>
  </si>
  <si>
    <t>30 years</t>
  </si>
  <si>
    <t>p31</t>
  </si>
  <si>
    <t>31 years</t>
  </si>
  <si>
    <t>p32</t>
  </si>
  <si>
    <t>32 years</t>
  </si>
  <si>
    <t>p33</t>
  </si>
  <si>
    <t>33 years</t>
  </si>
  <si>
    <t>p34</t>
  </si>
  <si>
    <t>34 years</t>
  </si>
  <si>
    <t>p35</t>
  </si>
  <si>
    <t>35 years</t>
  </si>
  <si>
    <t>p36</t>
  </si>
  <si>
    <t>36 years</t>
  </si>
  <si>
    <t>p37</t>
  </si>
  <si>
    <t>37 years</t>
  </si>
  <si>
    <t>p38</t>
  </si>
  <si>
    <t>38 years</t>
  </si>
  <si>
    <t>p39</t>
  </si>
  <si>
    <t>39 years</t>
  </si>
  <si>
    <t>p40</t>
  </si>
  <si>
    <t>40 years</t>
  </si>
  <si>
    <t>p41</t>
  </si>
  <si>
    <t>41 years</t>
  </si>
  <si>
    <t>p42</t>
  </si>
  <si>
    <t>42 years</t>
  </si>
  <si>
    <t>p43</t>
  </si>
  <si>
    <t>43 years</t>
  </si>
  <si>
    <t>p44</t>
  </si>
  <si>
    <t>44 years</t>
  </si>
  <si>
    <t>p45</t>
  </si>
  <si>
    <t>45 years</t>
  </si>
  <si>
    <t>p46</t>
  </si>
  <si>
    <t>46 years</t>
  </si>
  <si>
    <t>p47</t>
  </si>
  <si>
    <t>47 years</t>
  </si>
  <si>
    <t>p48</t>
  </si>
  <si>
    <t>48 years</t>
  </si>
  <si>
    <t>p49</t>
  </si>
  <si>
    <t>49 years</t>
  </si>
  <si>
    <t>p50</t>
  </si>
  <si>
    <t>50 years</t>
  </si>
  <si>
    <t>p51</t>
  </si>
  <si>
    <t>51 years</t>
  </si>
  <si>
    <t>p52</t>
  </si>
  <si>
    <t>52 years</t>
  </si>
  <si>
    <t>p53</t>
  </si>
  <si>
    <t>53 years</t>
  </si>
  <si>
    <t>p54</t>
  </si>
  <si>
    <t>54 years</t>
  </si>
  <si>
    <t>p55</t>
  </si>
  <si>
    <t>55 years</t>
  </si>
  <si>
    <t>p56</t>
  </si>
  <si>
    <t>56 years</t>
  </si>
  <si>
    <t>p57</t>
  </si>
  <si>
    <t>57 years</t>
  </si>
  <si>
    <t>p58</t>
  </si>
  <si>
    <t>58 years</t>
  </si>
  <si>
    <t>p59</t>
  </si>
  <si>
    <t>59 years</t>
  </si>
  <si>
    <t>p60</t>
  </si>
  <si>
    <t>60 years</t>
  </si>
  <si>
    <t>p61</t>
  </si>
  <si>
    <t>61 years</t>
  </si>
  <si>
    <t>p62</t>
  </si>
  <si>
    <t>62 years</t>
  </si>
  <si>
    <t>p63</t>
  </si>
  <si>
    <t>63 years</t>
  </si>
  <si>
    <t>p64</t>
  </si>
  <si>
    <t>64 years</t>
  </si>
  <si>
    <t>p65</t>
  </si>
  <si>
    <t>65 years</t>
  </si>
  <si>
    <t>p66</t>
  </si>
  <si>
    <t>66 years</t>
  </si>
  <si>
    <t>p67</t>
  </si>
  <si>
    <t>67 years</t>
  </si>
  <si>
    <t>p68</t>
  </si>
  <si>
    <t>68 years</t>
  </si>
  <si>
    <t>p69</t>
  </si>
  <si>
    <t>69 years</t>
  </si>
  <si>
    <t>p70</t>
  </si>
  <si>
    <t>70 years</t>
  </si>
  <si>
    <t>p71</t>
  </si>
  <si>
    <t>71 years</t>
  </si>
  <si>
    <t>p72</t>
  </si>
  <si>
    <t>72 years</t>
  </si>
  <si>
    <t>p73</t>
  </si>
  <si>
    <t>73 years</t>
  </si>
  <si>
    <t>p74</t>
  </si>
  <si>
    <t>74 years</t>
  </si>
  <si>
    <t>p75</t>
  </si>
  <si>
    <t>75 years</t>
  </si>
  <si>
    <t>p76</t>
  </si>
  <si>
    <t>76 years</t>
  </si>
  <si>
    <t>p77</t>
  </si>
  <si>
    <t>77 years</t>
  </si>
  <si>
    <t>p78</t>
  </si>
  <si>
    <t>78 years</t>
  </si>
  <si>
    <t>p79</t>
  </si>
  <si>
    <t>79 years</t>
  </si>
  <si>
    <t>p80</t>
  </si>
  <si>
    <t>80 years</t>
  </si>
  <si>
    <t>p81</t>
  </si>
  <si>
    <t>81 years</t>
  </si>
  <si>
    <t>p82</t>
  </si>
  <si>
    <t>82 years</t>
  </si>
  <si>
    <t>p83</t>
  </si>
  <si>
    <t>83 years</t>
  </si>
  <si>
    <t>p84</t>
  </si>
  <si>
    <t>84 years</t>
  </si>
  <si>
    <t>p85</t>
  </si>
  <si>
    <t>85 years</t>
  </si>
  <si>
    <t>p86</t>
  </si>
  <si>
    <t>86 years</t>
  </si>
  <si>
    <t>p87</t>
  </si>
  <si>
    <t>87 years</t>
  </si>
  <si>
    <t>p88</t>
  </si>
  <si>
    <t>88 years</t>
  </si>
  <si>
    <t>p89</t>
  </si>
  <si>
    <t>89 years</t>
  </si>
  <si>
    <t>p90</t>
  </si>
  <si>
    <t>90 years</t>
  </si>
  <si>
    <t>p91</t>
  </si>
  <si>
    <t>91 years</t>
  </si>
  <si>
    <t>p92</t>
  </si>
  <si>
    <t>92 years</t>
  </si>
  <si>
    <t>p93</t>
  </si>
  <si>
    <t>93 years</t>
  </si>
  <si>
    <t>p94</t>
  </si>
  <si>
    <t>94 years</t>
  </si>
  <si>
    <t>p95</t>
  </si>
  <si>
    <t>95 years</t>
  </si>
  <si>
    <t>p96</t>
  </si>
  <si>
    <t>96 years</t>
  </si>
  <si>
    <t>p97</t>
  </si>
  <si>
    <t>97 years</t>
  </si>
  <si>
    <t>p98</t>
  </si>
  <si>
    <t>98 years</t>
  </si>
  <si>
    <t>p99</t>
  </si>
  <si>
    <t>99 years and older</t>
  </si>
  <si>
    <t>pt</t>
  </si>
  <si>
    <t>Total</t>
  </si>
  <si>
    <t>ps</t>
  </si>
  <si>
    <t>https://ec.europa.eu/eurostat/databrowser/view/demo_pjan, https://www.insee.fr/fr/statistiques/8582067, https://www.insee.fr/fr/statistiques/4187125</t>
  </si>
  <si>
    <t>Pop-Total per Einzelalter × Sex aus Eurostat demo_pjan 2025 (geo=FR, France entière, Total 68,882,600). 1. Generation Migrant (immigré) aus INSEE RP2022 IMG1B (4 broad bins × Sex × 11 Origine-Regionen, France entière, Géographie 01/01/2025) Total = 7.023.595; disaggregiert auf Einzelalter über Pop-Total-Form innerhalb jedes Bandes (analog AT-Mikrozensus-Disaggregation, CLAUDE.md). 2. Generation (descendants d'immigrés) aus INSEE Insee Références 2024 (Décembre 2024, enquête Emploi 2024, France hors Mayotte, logement ordinaire) Total = 7.987.000 in 4 Banden (31,3%/18%/31,2%/19,5%); disaggregiert auf Einzelalter über Pop-Total-Form. Sex-Split der Descendants nicht öffentlich publiziert → 50/50-Konvention (Plan-Entscheidung; Alternative leer würde INSEE-Definition zerstören). Migrant = 1.Gen + 2.Gen = 15,010,590 (21.8%). Native = Pop − Migrant. Approximationen: (a) 1.-Gen-Quote innerhalb 4-Bin konstant; (b) Descendants-Sex-Split 50/50; (c) Geographic-Mismatch Eurostat (France entière inkl. Mayotte) vs. INSEE-Descendants (hors Mayotte) — Diff &lt;30 K. Variante A (Eurostat-FB direkt, ohne INSEE-Strikt-Filter) wäre breiter (~25 % Migrant), aber methodisch-falsch für FR (PROJECT.md). 3. Generation nicht modelliert (V2-Thema TeO2).</t>
  </si>
  <si>
    <t>✏️</t>
  </si>
  <si>
    <t>Enter your data below and make sure that you adjust the formulas above, if necessary.  If calculations are necessary, use the fields below for it and use formulas in the area above, to fill in the fields above exactly as intended.</t>
  </si>
  <si>
    <t>Calculation of the population</t>
  </si>
  <si>
    <t>births</t>
  </si>
  <si>
    <t>Fertility</t>
  </si>
  <si>
    <t>The values in this section are used to calculate the number of births in the population goups</t>
  </si>
  <si>
    <t>f</t>
  </si>
  <si>
    <t>Official fertility rate</t>
  </si>
  <si>
    <t>Population of age 0 (=births)</t>
  </si>
  <si>
    <t>Population of women of age 15-49</t>
  </si>
  <si>
    <t>Factor: fertile women x fertility rate</t>
  </si>
  <si>
    <t>f00</t>
  </si>
  <si>
    <t>Calculated births by fertility rate</t>
  </si>
  <si>
    <t>fs</t>
  </si>
  <si>
    <t>https://www.insee.fr/fr/statistiques/6801884, https://www.insee.fr/fr/statistiques/6793238</t>
  </si>
  <si>
    <t>TFR nach lieu de naissance Mutter (INSEE Insee Première 1939, Februar 2023, jüngste publizierte Werte mit immigré-Aufschlüsselung): TFR Native (femmes nées en France) = 1,70; TFR Migrant (femmes immigrées) = 2,30 für 2021. INSEE Bilan démographique 2025 (jüngste Publikation) hat KEINE lieu-de-naissance-Aufschlüsselung; nur Total-ICF (1,56 für 2025; 1,62 für 2024). Methodische Approximation (CLAUDE.md §Fertilität): TFR-immigré wird auf gesamte Migrant-Pop angewendet inkl. Descendants — diese haben faktisch TFR näher an Native, was zu leichter Überschätzung Migrant-Geburten führt. Bewusste Approximation lt. CLAUDE.md, keine Korrektur.</t>
  </si>
  <si>
    <t>Births</t>
  </si>
  <si>
    <t>The values in this section are used to calculate at which age of the mother the children are born</t>
  </si>
  <si>
    <t>b15</t>
  </si>
  <si>
    <t>15 years and younger age of the mother</t>
  </si>
  <si>
    <t>b16</t>
  </si>
  <si>
    <t>16 years age of the mother</t>
  </si>
  <si>
    <t>b17</t>
  </si>
  <si>
    <t>17 years age of the mother</t>
  </si>
  <si>
    <t>b18</t>
  </si>
  <si>
    <t>18 years age of the mother</t>
  </si>
  <si>
    <t>b19</t>
  </si>
  <si>
    <t>19 years age of the mother</t>
  </si>
  <si>
    <t>b20</t>
  </si>
  <si>
    <t>20 years age of the mother</t>
  </si>
  <si>
    <t>b21</t>
  </si>
  <si>
    <t>21 years age of the mother</t>
  </si>
  <si>
    <t>b22</t>
  </si>
  <si>
    <t>22 years age of the mother</t>
  </si>
  <si>
    <t>b23</t>
  </si>
  <si>
    <t>23 years age of the mother</t>
  </si>
  <si>
    <t>b24</t>
  </si>
  <si>
    <t>24 years age of the mother</t>
  </si>
  <si>
    <t>b25</t>
  </si>
  <si>
    <t>25 years age of the mother</t>
  </si>
  <si>
    <t>b26</t>
  </si>
  <si>
    <t>26 years age of the mother</t>
  </si>
  <si>
    <t>b27</t>
  </si>
  <si>
    <t>27 years age of the mother</t>
  </si>
  <si>
    <t>b28</t>
  </si>
  <si>
    <t>28 years age of the mother</t>
  </si>
  <si>
    <t>b29</t>
  </si>
  <si>
    <t>29 years age of the mother</t>
  </si>
  <si>
    <t>b30</t>
  </si>
  <si>
    <t>30 years age of the mother</t>
  </si>
  <si>
    <t>b31</t>
  </si>
  <si>
    <t>31 years age of the mother</t>
  </si>
  <si>
    <t>b32</t>
  </si>
  <si>
    <t>32 years age of the mother</t>
  </si>
  <si>
    <t>b33</t>
  </si>
  <si>
    <t>33 years age of the mother</t>
  </si>
  <si>
    <t>b34</t>
  </si>
  <si>
    <t>34 years age of the mother</t>
  </si>
  <si>
    <t>b35</t>
  </si>
  <si>
    <t>35 years age of the mother</t>
  </si>
  <si>
    <t>b36</t>
  </si>
  <si>
    <t>36 years age of the mother</t>
  </si>
  <si>
    <t>b37</t>
  </si>
  <si>
    <t>37 years age of the mother</t>
  </si>
  <si>
    <t>b38</t>
  </si>
  <si>
    <t>38 years age of the mother</t>
  </si>
  <si>
    <t>b39</t>
  </si>
  <si>
    <t>39 years age of the mother</t>
  </si>
  <si>
    <t>b40</t>
  </si>
  <si>
    <t>40 years age of the mother</t>
  </si>
  <si>
    <t>b41</t>
  </si>
  <si>
    <t>41 years age of the mother</t>
  </si>
  <si>
    <t>b42</t>
  </si>
  <si>
    <t>42 years age of the mother</t>
  </si>
  <si>
    <t>b43</t>
  </si>
  <si>
    <t>43 years age of the mother</t>
  </si>
  <si>
    <t>b44</t>
  </si>
  <si>
    <t>44 years age of the mother</t>
  </si>
  <si>
    <t>b45</t>
  </si>
  <si>
    <t>45 years age of the mother</t>
  </si>
  <si>
    <t>b46</t>
  </si>
  <si>
    <t>46 years age of the mother</t>
  </si>
  <si>
    <t>b47</t>
  </si>
  <si>
    <t>47 years age of the mother</t>
  </si>
  <si>
    <t>b48</t>
  </si>
  <si>
    <t>48 years age of the mother</t>
  </si>
  <si>
    <t>b49</t>
  </si>
  <si>
    <t>49 years and older age of the mother</t>
  </si>
  <si>
    <t>bt</t>
  </si>
  <si>
    <t>bs</t>
  </si>
  <si>
    <t>siehe C14 (TFR-Quelle); ASFR-Shape aus Eurostat demo_facbc 2024</t>
  </si>
  <si>
    <t>ASFR-Shape per Mutter-Alter in H74:H108 (Native, c_birth=NAT) und I74:I108 (Migrant, c_birth=FOR) aus Eurostat demo_facbc 2024 (geo=FR; Geburten × Einzelalter Y15-Y49 × c_birth). Eurostat publiziert Single-Year-Ages für FR — direkt übernommen, kein Bin-Disaggregation nötig. Vorlagen-Formel Z. 22-56: D22 = D$11×$H22/$H$57 — H22 = H74 (Pull) → ASFR-Shape normiert sich intern via H22/H57. Die absolute Native-Geburten-Anzahl (H11 = 424.063 für 2024) wird über Top-Block-Formel berechnet: Total-Pop-Age-0 × Native-Birth-Factor-Ratio (D10/C10). Modell-Approximation (CLAUDE.md §Fertilität): TFR-immigré wird auf gesamte Migrant-Pop angewandt inkl. Descendants, die faktisch TFR näher an Native haben — bewusst, keine Korrektur.</t>
  </si>
  <si>
    <t>Calculation of the births</t>
  </si>
  <si>
    <t>Use the fields of this row, if numbers for age, natives/migrants are known</t>
  </si>
  <si>
    <t>Use the fields of this row, if numbers for age are known (but not natives/migrants)</t>
  </si>
  <si>
    <t>Use the fields of this row, if numbers for natives/migrants are known (but not age)</t>
  </si>
  <si>
    <t>Use the fields of this row, if only the total of births is known</t>
  </si>
  <si>
    <t>If no age specific numbers are found enter the available values here</t>
  </si>
  <si>
    <t>deaths</t>
  </si>
  <si>
    <t>Deaths</t>
  </si>
  <si>
    <t>This table is needed to calculate the Leslie matrix</t>
  </si>
  <si>
    <t>d00</t>
  </si>
  <si>
    <t>0 years age of the deceased</t>
  </si>
  <si>
    <t>d01</t>
  </si>
  <si>
    <t>1 years age of the deceased</t>
  </si>
  <si>
    <t>d02</t>
  </si>
  <si>
    <t>2 years age of the deceased</t>
  </si>
  <si>
    <t>d03</t>
  </si>
  <si>
    <t>3 years age of the deceased</t>
  </si>
  <si>
    <t>d04</t>
  </si>
  <si>
    <t>4 years age of the deceased</t>
  </si>
  <si>
    <t>d05</t>
  </si>
  <si>
    <t>5 years age of the deceased</t>
  </si>
  <si>
    <t>d06</t>
  </si>
  <si>
    <t>6 years age of the deceased</t>
  </si>
  <si>
    <t>d07</t>
  </si>
  <si>
    <t>7 years age of the deceased</t>
  </si>
  <si>
    <t>d08</t>
  </si>
  <si>
    <t>8 years age of the deceased</t>
  </si>
  <si>
    <t>d09</t>
  </si>
  <si>
    <t>9 years age of the deceased</t>
  </si>
  <si>
    <t>d10</t>
  </si>
  <si>
    <t>10 years age of the deceased</t>
  </si>
  <si>
    <t>d11</t>
  </si>
  <si>
    <t>11 years age of the deceased</t>
  </si>
  <si>
    <t>d12</t>
  </si>
  <si>
    <t>12 years age of the deceased</t>
  </si>
  <si>
    <t>d13</t>
  </si>
  <si>
    <t>13 years age of the deceased</t>
  </si>
  <si>
    <t>d14</t>
  </si>
  <si>
    <t>14 years age of the deceased</t>
  </si>
  <si>
    <t>d15</t>
  </si>
  <si>
    <t>15 years age of the deceased</t>
  </si>
  <si>
    <t>d16</t>
  </si>
  <si>
    <t>16 years age of the deceased</t>
  </si>
  <si>
    <t>d17</t>
  </si>
  <si>
    <t>17 years age of the deceased</t>
  </si>
  <si>
    <t>d18</t>
  </si>
  <si>
    <t>18 years age of the deceased</t>
  </si>
  <si>
    <t>d19</t>
  </si>
  <si>
    <t>19 years age of the deceased</t>
  </si>
  <si>
    <t>d20</t>
  </si>
  <si>
    <t>20 years age of the deceased</t>
  </si>
  <si>
    <t>d21</t>
  </si>
  <si>
    <t>21 years age of the deceased</t>
  </si>
  <si>
    <t>d22</t>
  </si>
  <si>
    <t>22 years age of the deceased</t>
  </si>
  <si>
    <t>d23</t>
  </si>
  <si>
    <t>23 years age of the deceased</t>
  </si>
  <si>
    <t>d24</t>
  </si>
  <si>
    <t>24 years age of the deceased</t>
  </si>
  <si>
    <t>d25</t>
  </si>
  <si>
    <t>25 years age of the deceased</t>
  </si>
  <si>
    <t>d26</t>
  </si>
  <si>
    <t>26 years age of the deceased</t>
  </si>
  <si>
    <t>d27</t>
  </si>
  <si>
    <t>27 years age of the deceased</t>
  </si>
  <si>
    <t>d28</t>
  </si>
  <si>
    <t>28 years age of the deceased</t>
  </si>
  <si>
    <t>d29</t>
  </si>
  <si>
    <t>29 years age of the deceased</t>
  </si>
  <si>
    <t>d30</t>
  </si>
  <si>
    <t>30 years age of the deceased</t>
  </si>
  <si>
    <t>d31</t>
  </si>
  <si>
    <t>31 years age of the deceased</t>
  </si>
  <si>
    <t>d32</t>
  </si>
  <si>
    <t>32 years age of the deceased</t>
  </si>
  <si>
    <t>d33</t>
  </si>
  <si>
    <t>33 years age of the deceased</t>
  </si>
  <si>
    <t>d34</t>
  </si>
  <si>
    <t>34 years age of the deceased</t>
  </si>
  <si>
    <t>d35</t>
  </si>
  <si>
    <t>35 years age of the deceased</t>
  </si>
  <si>
    <t>d36</t>
  </si>
  <si>
    <t>36 years age of the deceased</t>
  </si>
  <si>
    <t>d37</t>
  </si>
  <si>
    <t>37 years age of the deceased</t>
  </si>
  <si>
    <t>d38</t>
  </si>
  <si>
    <t>38 years age of the deceased</t>
  </si>
  <si>
    <t>d39</t>
  </si>
  <si>
    <t>39 years age of the deceased</t>
  </si>
  <si>
    <t>d40</t>
  </si>
  <si>
    <t>40 years age of the deceased</t>
  </si>
  <si>
    <t>d41</t>
  </si>
  <si>
    <t>41 years age of the deceased</t>
  </si>
  <si>
    <t>d42</t>
  </si>
  <si>
    <t>42 years age of the deceased</t>
  </si>
  <si>
    <t>d43</t>
  </si>
  <si>
    <t>43 years age of the deceased</t>
  </si>
  <si>
    <t>d44</t>
  </si>
  <si>
    <t>44 years age of the deceased</t>
  </si>
  <si>
    <t>d45</t>
  </si>
  <si>
    <t>45 years age of the deceased</t>
  </si>
  <si>
    <t>d46</t>
  </si>
  <si>
    <t>46 years age of the deceased</t>
  </si>
  <si>
    <t>d47</t>
  </si>
  <si>
    <t>47 years age of the deceased</t>
  </si>
  <si>
    <t>d48</t>
  </si>
  <si>
    <t>48 years age of the deceased</t>
  </si>
  <si>
    <t>d49</t>
  </si>
  <si>
    <t>49 years age of the deceased</t>
  </si>
  <si>
    <t>d50</t>
  </si>
  <si>
    <t>50 years age of the deceased</t>
  </si>
  <si>
    <t>d51</t>
  </si>
  <si>
    <t>51 years age of the deceased</t>
  </si>
  <si>
    <t>d52</t>
  </si>
  <si>
    <t>52 years age of the deceased</t>
  </si>
  <si>
    <t>d53</t>
  </si>
  <si>
    <t>53 years age of the deceased</t>
  </si>
  <si>
    <t>d54</t>
  </si>
  <si>
    <t>54 years age of the deceased</t>
  </si>
  <si>
    <t>d55</t>
  </si>
  <si>
    <t>55 years age of the deceased</t>
  </si>
  <si>
    <t>d56</t>
  </si>
  <si>
    <t>56 years age of the deceased</t>
  </si>
  <si>
    <t>d57</t>
  </si>
  <si>
    <t>57 years age of the deceased</t>
  </si>
  <si>
    <t>d58</t>
  </si>
  <si>
    <t>58 years age of the deceased</t>
  </si>
  <si>
    <t>d59</t>
  </si>
  <si>
    <t>59 years age of the deceased</t>
  </si>
  <si>
    <t>d60</t>
  </si>
  <si>
    <t>60 years age of the deceased</t>
  </si>
  <si>
    <t>d61</t>
  </si>
  <si>
    <t>61 years age of the deceased</t>
  </si>
  <si>
    <t>d62</t>
  </si>
  <si>
    <t>62 years age of the deceased</t>
  </si>
  <si>
    <t>d63</t>
  </si>
  <si>
    <t>63 years age of the deceased</t>
  </si>
  <si>
    <t>d64</t>
  </si>
  <si>
    <t>64 years age of the deceased</t>
  </si>
  <si>
    <t>d65</t>
  </si>
  <si>
    <t>65 years age of the deceased</t>
  </si>
  <si>
    <t>d66</t>
  </si>
  <si>
    <t>66 years age of the deceased</t>
  </si>
  <si>
    <t>d67</t>
  </si>
  <si>
    <t>67 years age of the deceased</t>
  </si>
  <si>
    <t>d68</t>
  </si>
  <si>
    <t>68 years age of the deceased</t>
  </si>
  <si>
    <t>d69</t>
  </si>
  <si>
    <t>69 years age of the deceased</t>
  </si>
  <si>
    <t>d70</t>
  </si>
  <si>
    <t>70 years age of the deceased</t>
  </si>
  <si>
    <t>d71</t>
  </si>
  <si>
    <t>71 years age of the deceased</t>
  </si>
  <si>
    <t>d72</t>
  </si>
  <si>
    <t>72 years age of the deceased</t>
  </si>
  <si>
    <t>d73</t>
  </si>
  <si>
    <t>73 years age of the deceased</t>
  </si>
  <si>
    <t>d74</t>
  </si>
  <si>
    <t>74 years age of the deceased</t>
  </si>
  <si>
    <t>d75</t>
  </si>
  <si>
    <t>75 years age of the deceased</t>
  </si>
  <si>
    <t>d76</t>
  </si>
  <si>
    <t>76 years age of the deceased</t>
  </si>
  <si>
    <t>d77</t>
  </si>
  <si>
    <t>77 years age of the deceased</t>
  </si>
  <si>
    <t>d78</t>
  </si>
  <si>
    <t>78 years age of the deceased</t>
  </si>
  <si>
    <t>d79</t>
  </si>
  <si>
    <t>79 years age of the deceased</t>
  </si>
  <si>
    <t>d80</t>
  </si>
  <si>
    <t>80 years age of the deceased</t>
  </si>
  <si>
    <t>d81</t>
  </si>
  <si>
    <t>81 years age of the deceased</t>
  </si>
  <si>
    <t>d82</t>
  </si>
  <si>
    <t>82 years age of the deceased</t>
  </si>
  <si>
    <t>d83</t>
  </si>
  <si>
    <t>83 years age of the deceased</t>
  </si>
  <si>
    <t>d84</t>
  </si>
  <si>
    <t>84 years age of the deceased</t>
  </si>
  <si>
    <t>d85</t>
  </si>
  <si>
    <t>85 years age of the deceased</t>
  </si>
  <si>
    <t>d86</t>
  </si>
  <si>
    <t>86 years age of the deceased</t>
  </si>
  <si>
    <t>d87</t>
  </si>
  <si>
    <t>87 years age of the deceased</t>
  </si>
  <si>
    <t>d88</t>
  </si>
  <si>
    <t>88 years age of the deceased</t>
  </si>
  <si>
    <t>d89</t>
  </si>
  <si>
    <t>89 years age of the deceased</t>
  </si>
  <si>
    <t>d90</t>
  </si>
  <si>
    <t>90 years age of the deceased</t>
  </si>
  <si>
    <t>d91</t>
  </si>
  <si>
    <t>91 years age of the deceased</t>
  </si>
  <si>
    <t>d92</t>
  </si>
  <si>
    <t>92 years age of the deceased</t>
  </si>
  <si>
    <t>d93</t>
  </si>
  <si>
    <t>93 years age of the deceased</t>
  </si>
  <si>
    <t>d94</t>
  </si>
  <si>
    <t>94 years age of the deceased</t>
  </si>
  <si>
    <t>d95</t>
  </si>
  <si>
    <t>95 years age of the deceased</t>
  </si>
  <si>
    <t>d96</t>
  </si>
  <si>
    <t>96 years age of the deceased</t>
  </si>
  <si>
    <t>d97</t>
  </si>
  <si>
    <t>97 years age of the deceased</t>
  </si>
  <si>
    <t>d98</t>
  </si>
  <si>
    <t>98 years age of the deceased</t>
  </si>
  <si>
    <t>d99</t>
  </si>
  <si>
    <t>99 years and older age of the deceased</t>
  </si>
  <si>
    <t>dt</t>
  </si>
  <si>
    <t>ds</t>
  </si>
  <si>
    <t>https://ec.europa.eu/eurostat/databrowser/view/demo_magec</t>
  </si>
  <si>
    <t>Sterbefälle aus Eurostat demo_magec 2024 (geo=FR, Einzelalter × Sex). Total 2024 ≈ 643,332. NAT/MIG-Split (CLAUDE.md §Sterbe): anteilig zur calibrated Pop-Altersstruktur Native/Migrant pro Alter × Sex (einheitliche Sterbetafel, gleiche Mortalität für Native und Migrant). Modellannahme: Healthy-Migrant-Effekt nicht modelliert (CLAUDE.md-konform; in Realität haben Migranten jüngerer Alter günstigere Sterberaten).</t>
  </si>
  <si>
    <t>Calculation of the deaths</t>
  </si>
  <si>
    <t>migration</t>
  </si>
  <si>
    <t>Migration balance</t>
  </si>
  <si>
    <t>This is the total of immigrations (into the country) minus emigration (out of the country)</t>
  </si>
  <si>
    <t>Year of the last migration numbers</t>
  </si>
  <si>
    <t>Avarage migration balance (10 years)</t>
  </si>
  <si>
    <t>m00</t>
  </si>
  <si>
    <t>m01</t>
  </si>
  <si>
    <t>m02</t>
  </si>
  <si>
    <t>m03</t>
  </si>
  <si>
    <t>m04</t>
  </si>
  <si>
    <t>m05</t>
  </si>
  <si>
    <t>m06</t>
  </si>
  <si>
    <t>m07</t>
  </si>
  <si>
    <t>m08</t>
  </si>
  <si>
    <t>m09</t>
  </si>
  <si>
    <t>m10</t>
  </si>
  <si>
    <t>m11</t>
  </si>
  <si>
    <t>m12</t>
  </si>
  <si>
    <t>m13</t>
  </si>
  <si>
    <t>m14</t>
  </si>
  <si>
    <t>m15</t>
  </si>
  <si>
    <t>m16</t>
  </si>
  <si>
    <t>m17</t>
  </si>
  <si>
    <t>m18</t>
  </si>
  <si>
    <t>m19</t>
  </si>
  <si>
    <t>m20</t>
  </si>
  <si>
    <t>m21</t>
  </si>
  <si>
    <t>m22</t>
  </si>
  <si>
    <t>m23</t>
  </si>
  <si>
    <t>m24</t>
  </si>
  <si>
    <t>m25</t>
  </si>
  <si>
    <t>m26</t>
  </si>
  <si>
    <t>m27</t>
  </si>
  <si>
    <t>m28</t>
  </si>
  <si>
    <t>m29</t>
  </si>
  <si>
    <t>m30</t>
  </si>
  <si>
    <t>m31</t>
  </si>
  <si>
    <t>m32</t>
  </si>
  <si>
    <t>m33</t>
  </si>
  <si>
    <t>m34</t>
  </si>
  <si>
    <t>m35</t>
  </si>
  <si>
    <t>m36</t>
  </si>
  <si>
    <t>m37</t>
  </si>
  <si>
    <t>m38</t>
  </si>
  <si>
    <t>m39</t>
  </si>
  <si>
    <t>m40</t>
  </si>
  <si>
    <t>m41</t>
  </si>
  <si>
    <t>m42</t>
  </si>
  <si>
    <t>m43</t>
  </si>
  <si>
    <t>m44</t>
  </si>
  <si>
    <t>m45</t>
  </si>
  <si>
    <t>m46</t>
  </si>
  <si>
    <t>m47</t>
  </si>
  <si>
    <t>m48</t>
  </si>
  <si>
    <t>m49</t>
  </si>
  <si>
    <t>m50</t>
  </si>
  <si>
    <t>m51</t>
  </si>
  <si>
    <t>m52</t>
  </si>
  <si>
    <t>m53</t>
  </si>
  <si>
    <t>m54</t>
  </si>
  <si>
    <t>m55</t>
  </si>
  <si>
    <t>m56</t>
  </si>
  <si>
    <t>m57</t>
  </si>
  <si>
    <t>m58</t>
  </si>
  <si>
    <t>m59</t>
  </si>
  <si>
    <t>m60</t>
  </si>
  <si>
    <t>m61</t>
  </si>
  <si>
    <t>m62</t>
  </si>
  <si>
    <t>m63</t>
  </si>
  <si>
    <t>m64</t>
  </si>
  <si>
    <t>m65</t>
  </si>
  <si>
    <t>m66</t>
  </si>
  <si>
    <t>m67</t>
  </si>
  <si>
    <t>m68</t>
  </si>
  <si>
    <t>m69</t>
  </si>
  <si>
    <t>m70</t>
  </si>
  <si>
    <t>m71</t>
  </si>
  <si>
    <t>m72</t>
  </si>
  <si>
    <t>m73</t>
  </si>
  <si>
    <t>m74</t>
  </si>
  <si>
    <t>m75</t>
  </si>
  <si>
    <t>m76</t>
  </si>
  <si>
    <t>m77</t>
  </si>
  <si>
    <t>m78</t>
  </si>
  <si>
    <t>m79</t>
  </si>
  <si>
    <t>m80</t>
  </si>
  <si>
    <t>m81</t>
  </si>
  <si>
    <t>m82</t>
  </si>
  <si>
    <t>m83</t>
  </si>
  <si>
    <t>m84</t>
  </si>
  <si>
    <t>m85</t>
  </si>
  <si>
    <t>m86</t>
  </si>
  <si>
    <t>m87</t>
  </si>
  <si>
    <t>m88</t>
  </si>
  <si>
    <t>m89</t>
  </si>
  <si>
    <t>m90</t>
  </si>
  <si>
    <t>m91</t>
  </si>
  <si>
    <t>m92</t>
  </si>
  <si>
    <t>m93</t>
  </si>
  <si>
    <t>m94</t>
  </si>
  <si>
    <t>m95</t>
  </si>
  <si>
    <t>m96</t>
  </si>
  <si>
    <t>m97</t>
  </si>
  <si>
    <t>m98</t>
  </si>
  <si>
    <t>m99</t>
  </si>
  <si>
    <t>mt</t>
  </si>
  <si>
    <t>ms</t>
  </si>
  <si>
    <t>Enter URLs here, if you have multiple URLs seperate them with a comma</t>
  </si>
  <si>
    <t>yyyy-MM-dd</t>
  </si>
  <si>
    <t>we used the 10-year average number of the migration balance (2015-2024); the numbers are binomially distributed between the age of 5 and 54</t>
  </si>
  <si>
    <t>Immigration</t>
  </si>
  <si>
    <t>Fill in the numbers of people immigrating into this country here.  For the calculation only the last 10 years are relevant. But we need the older values for later so we can calculate the numbers more correctly.</t>
  </si>
  <si>
    <t>10 year Ø of immigration</t>
  </si>
  <si>
    <t>https://ec.europa.eu/eurostat/databrowser/view/migr_imm3ctb, https://ec.europa.eu/eurostat/databrowser/view/migr_emi4ctb, https://www.insee.fr/fr/statistiques/7454727</t>
  </si>
  <si>
    <t>Imm 2008-2024 aus Eurostat migr_imm3ctb 2008-2024 (geo=FR; c_birth=NAT für Native, c_birth=TOTAL für Total; F/G via Vorlagen-Residual-Formel = Migrant). Eurostat-Coverage 2008-2024 vollständig. Methodische Note: Eurostat-Long-term-Definition (≥12 Mo Wohnsitz) ist enger als INSEE-Hauptwohnsitz; Werte daher konservativer als INSEE-Total. Sanity-Check: Eurostat-Imm-Total 2018-2021 vs. INSEE-Imm-Total (Insee Première 2050): Eurostat ca. 25-30 % niedriger als INSEE (definitorisch erklärbar, kein Daten-Fehler). Imm pre-2008 nicht in Eurostat; INSEE-Recensement-basierte Schätzungen vorhanden ab 2006, aber für 1949-2005 nur lückenhaft. V1.1-Ergänzung 2026-05-22: Imm 2006-2014 (9 Jahre, Z. 180-188) nachgepflegt aus INSEE Insee Première 1945 (Tanneau, Avril 2023) Figures 2a + 2b — Entrées immigré + non-immigré. Vorlagen-Mechanik analog V1-Emi-2015-2021-Befüllung: D/E = Non-Immigré-Entrées (Native) mit 50/50-Sex-Approximation; J/K = Total (Immigré + Non-Immigré) mit 50/50-Sex; F/G via Vorlagen-Residual-Formel (Migrant = Total - Native). Granularität in Quelle: 1.000 (gerundet). Sex-Split nicht publiziert → 50/50-Konvention (analog V1-Emi-IP2050-Approach). Quellen-Wechsel 2008-2014: V1 nutzte Eurostat migr_imm3ctb (c_birth=NAT × Sex) für 2008-2024. V1.1 überschreibt 2008-2014 Imm mit INSEE-Daten (CLAUDE.md: nationale Quelle hat Vorrang). Eurostat-Daten für 2008-2014 sind ersetzt; 2015-2024 bleiben Eurostat (im 10-J-Ø-Fenster, unverändert per V1.1-Garantie). Methodenbruch IP1945 (pre-2015) → Eurostat (2015+) dokumentiert. Vintage-Bruch IP1945 (April 2023) vs. IP2050 (Mai 2025, V1-Quelle für 2015-2021): INSEE-Footnote bestätigt 'solde migratoire... inchangé' für 2006-2023 — d.h. Entrées und Sorties wurden in IP2050 revidiert, der Solde blieb identisch. V1.1 nutzt IP1945-Vintage für 2006-2014 (älter, da IP2050 nur Insee Première 2050 erst Mai 2025 publiziert); Solde-Konsistenz gewährleistet. Pre-2006: bleibt LEER + dokumentiert (Insee Première 2050-Reihe startet 2006, Recensement-Saldo-Methode für 1962-2006 ist V2-Thema). Pieds-Noirs 1962: nicht relevant für V1.1 (Reihe startet 2006).</t>
  </si>
  <si>
    <t>Emigration</t>
  </si>
  <si>
    <t>Fill in the numbers of people emigrating from this country here.  For the calculation only the last 10 years are relevant. But we need the older values for later so we can calculate the numbers more correctly.</t>
  </si>
  <si>
    <t>10 year Ø of emigration</t>
  </si>
  <si>
    <t>https://www.insee.fr/fr/statistiques/8570316, https://ec.europa.eu/eurostat/databrowser/view/migr_emi4ctb, https://www.insee.fr/fr/statistiques/7454727</t>
  </si>
  <si>
    <t>Emigration 2015-2021 (7 Jahre): INSEE Insee Première 2050 'Flux migratoires' (Mai 2025) Figure 2a (immigré) + Figure 2b (non-immigré) — Sorties absolut in Tausenden, OHNE Sex-Split publiziert. Im Sheet befüllt: D (Native F), E (Native M), J (Total F), K (Total M) mit INSEE-Totals × 50/50-Sex-Approximation; F (Migrant F), G (Migrant M) via Vorlagen-Formel als Residual J-D, K-E. Begründung der 50/50-Annahme: kein anderes INSEE-Tabellen-Quartil publiziert Sex-Anteil der Sorties; 50/50 ist minimal-invasive Annahme analog zu Descendants-Sex in Population (Plan §2.2). Alternative Lücken-Konvention H/I würde D/E leer lassen und die 10-J-Ø-AVERAGE asymmetrisch zwischen Imm (10 Jahre) und Emi (3 Jahre 2022-2024) machen — verletzt User-Vorgabe 'symmetrisches 10-J-Ø-Fenster'. INSEE-Sorties-Methodik: indirekt aus (Solde - Entrées) aus Recensement-zu-Recensement-Differenz. Emigration 2022-2024 (3 Jahre): Eurostat migr_emi4ctb publiziert für FR keinen NAT/FOR-Split (c_birth=TOTAL only); INSEE Insee Première 2050 ist für diese Jahre 'nd' (Sorties noch nicht publiziert, wartend auf nächsten Recensement-Vergleich). DGEF, OECD SOPEMI, INED publizieren ebenfalls keinen aktuellen Split. §3.2-Eskalation an User durchgeführt 2026-05-22, User-Entscheidung: Eurostat-Total × INSEE-2021-Ratio (Native 37,6 % / Migrant 62,4 %) als Fortschreibung des jüngsten publizierten nationalen Splits. Annahme: Stabilität der Native/Migrant-Sorties-Ratio über die Ukraine-Jahre 2022-2024 (nicht verifizierbar wegen Datenlücke). Implementation: D/E (Native F/M) = Eurostat-Total × 37,6 %, J/K (Total F/M) = Eurostat-Total; F/G (Migrant) via Vorlagen-Formel J-D, K-E (Residual = Total × 62,4 %). 10-J-Ø-Fenster 2015-2024 symmetrisch (Imm + Emi gleicher Zeitraum). Sensitivität (Endbericht): alternative Stichjahr-Verschiebung C7=2021 → 10-J-Ø 2012-2021 voll-INSEE-Split — wird im Endbericht-Vergleich quantifiziert. V1.1-Ergänzung 2026-05-22: Emi 2006-2014 (9 Jahre, Z. 267-275) nachgepflegt aus INSEE Insee Première 1945 — Sorties immigré + non-immigré. Wie Imm-Block (D/E Native, J/K Total, F/G Residual), 50/50-Sex-Approximation. Werte in 1.000 gerundet. V1 hatte für Emi pre-2015 keine Daten — diese Lücke wird mit V1.1 geschlossen. Methodische Konsistenz zu V1-Emi-IP2050 2015-2021: gleiche INSEE-Methodik (Recensement-zu-Recensement-Sorties-Ableitung), gleiche Granularität (Total per Sex, 50/50-Approx). Vintage-Bruch IP1945→IP2050 zu 2014/2015 in Sorties dokumentiert (Solde unverändert lt. INSEE-Footnote). Pre-2006: leer + dokumentiert (Reihe-Start in IP1945 = 2006; Recensement-Saldo-Methode für 1962-2006 ist V2-Thema).</t>
  </si>
  <si>
    <t>origin</t>
  </si>
  <si>
    <t>Origin of Migrants</t>
  </si>
  <si>
    <t>This table contains the countries the current migrants come from.</t>
  </si>
  <si>
    <t>Year of the numbers</t>
  </si>
  <si>
    <t>Europe</t>
  </si>
  <si>
    <t>c1ad</t>
  </si>
  <si>
    <t>Andorra</t>
  </si>
  <si>
    <t>AD</t>
  </si>
  <si>
    <t>c1al</t>
  </si>
  <si>
    <t>Albania</t>
  </si>
  <si>
    <t>AL</t>
  </si>
  <si>
    <t>c1at</t>
  </si>
  <si>
    <t>Austria</t>
  </si>
  <si>
    <t>AT</t>
  </si>
  <si>
    <t>c1ax</t>
  </si>
  <si>
    <t>Åland Islands</t>
  </si>
  <si>
    <t>AX</t>
  </si>
  <si>
    <t>c1ba</t>
  </si>
  <si>
    <t>Bosnia and Herzegovina</t>
  </si>
  <si>
    <t>BA</t>
  </si>
  <si>
    <t>c1be</t>
  </si>
  <si>
    <t>Belgium</t>
  </si>
  <si>
    <t>BE</t>
  </si>
  <si>
    <t>c1bg</t>
  </si>
  <si>
    <t>Bulgaria</t>
  </si>
  <si>
    <t>BG</t>
  </si>
  <si>
    <t>c1by</t>
  </si>
  <si>
    <t>Belarus</t>
  </si>
  <si>
    <t>BY</t>
  </si>
  <si>
    <t>c1ch</t>
  </si>
  <si>
    <t>Switzerland</t>
  </si>
  <si>
    <t>CH</t>
  </si>
  <si>
    <t>c1cz</t>
  </si>
  <si>
    <t>Czechia[i]</t>
  </si>
  <si>
    <t>CZ</t>
  </si>
  <si>
    <t>c1de</t>
  </si>
  <si>
    <t>Germany</t>
  </si>
  <si>
    <t>DE</t>
  </si>
  <si>
    <t>c1dk</t>
  </si>
  <si>
    <t>Denmark</t>
  </si>
  <si>
    <t>DK</t>
  </si>
  <si>
    <t>c1ee</t>
  </si>
  <si>
    <t>Estonia</t>
  </si>
  <si>
    <t>EE</t>
  </si>
  <si>
    <t>c1es</t>
  </si>
  <si>
    <t>Spain</t>
  </si>
  <si>
    <t>ES</t>
  </si>
  <si>
    <t>c1fi</t>
  </si>
  <si>
    <t>Finland</t>
  </si>
  <si>
    <t>FI</t>
  </si>
  <si>
    <t>c1fo</t>
  </si>
  <si>
    <t>Faroe Islands (the)</t>
  </si>
  <si>
    <t>FO</t>
  </si>
  <si>
    <t>c1fr</t>
  </si>
  <si>
    <t>c1gb</t>
  </si>
  <si>
    <t>United Kingdom of Great Britain and Northern Ireland (the)</t>
  </si>
  <si>
    <t>GB</t>
  </si>
  <si>
    <t>c1gg</t>
  </si>
  <si>
    <t>Guernsey</t>
  </si>
  <si>
    <t>GG</t>
  </si>
  <si>
    <t>c1gi</t>
  </si>
  <si>
    <t>Gibraltar</t>
  </si>
  <si>
    <t>GI</t>
  </si>
  <si>
    <t>c1gr</t>
  </si>
  <si>
    <t>Greece</t>
  </si>
  <si>
    <t>GR</t>
  </si>
  <si>
    <t>c1hr</t>
  </si>
  <si>
    <t>Croatia</t>
  </si>
  <si>
    <t>HR</t>
  </si>
  <si>
    <t>c1hu</t>
  </si>
  <si>
    <t>Hungary</t>
  </si>
  <si>
    <t>HU</t>
  </si>
  <si>
    <t>c1ie</t>
  </si>
  <si>
    <t>Ireland</t>
  </si>
  <si>
    <t>IE</t>
  </si>
  <si>
    <t>c1im</t>
  </si>
  <si>
    <t>Isle of Man</t>
  </si>
  <si>
    <t>IM</t>
  </si>
  <si>
    <t>c1is</t>
  </si>
  <si>
    <t>Iceland</t>
  </si>
  <si>
    <t>IS</t>
  </si>
  <si>
    <t>c1it</t>
  </si>
  <si>
    <t>Italy</t>
  </si>
  <si>
    <t>IT</t>
  </si>
  <si>
    <t>c1je</t>
  </si>
  <si>
    <t>Jersey</t>
  </si>
  <si>
    <t>JE</t>
  </si>
  <si>
    <t>c1li</t>
  </si>
  <si>
    <t>Liechtenstein</t>
  </si>
  <si>
    <t>LI</t>
  </si>
  <si>
    <t>c1lt</t>
  </si>
  <si>
    <t>Lithuania</t>
  </si>
  <si>
    <t>LT</t>
  </si>
  <si>
    <t>c1lu</t>
  </si>
  <si>
    <t>Luxembourg</t>
  </si>
  <si>
    <t>LU</t>
  </si>
  <si>
    <t>c1lv</t>
  </si>
  <si>
    <t>Latvia</t>
  </si>
  <si>
    <t>LV</t>
  </si>
  <si>
    <t>c1mc</t>
  </si>
  <si>
    <t>Monaco</t>
  </si>
  <si>
    <t>MC</t>
  </si>
  <si>
    <t>c1md</t>
  </si>
  <si>
    <t>Moldova (the Republic of)</t>
  </si>
  <si>
    <t>MD</t>
  </si>
  <si>
    <t>c1me</t>
  </si>
  <si>
    <t>Montenegro</t>
  </si>
  <si>
    <t>ME</t>
  </si>
  <si>
    <t>c1mk</t>
  </si>
  <si>
    <t>North Macedonia</t>
  </si>
  <si>
    <t>MK</t>
  </si>
  <si>
    <t>c1mt</t>
  </si>
  <si>
    <t>Malta</t>
  </si>
  <si>
    <t>MT</t>
  </si>
  <si>
    <t>c1nl</t>
  </si>
  <si>
    <t>Netherlands (Kingdom of the)</t>
  </si>
  <si>
    <t>NL</t>
  </si>
  <si>
    <t>c1no</t>
  </si>
  <si>
    <t>Norway</t>
  </si>
  <si>
    <t>NO</t>
  </si>
  <si>
    <t>c1pl</t>
  </si>
  <si>
    <t>Poland</t>
  </si>
  <si>
    <t>PL</t>
  </si>
  <si>
    <t>c1pt</t>
  </si>
  <si>
    <t>Portugal</t>
  </si>
  <si>
    <t>PT</t>
  </si>
  <si>
    <t>c1ro</t>
  </si>
  <si>
    <t>Romania</t>
  </si>
  <si>
    <t>RO</t>
  </si>
  <si>
    <t>c1rs</t>
  </si>
  <si>
    <t>Serbia</t>
  </si>
  <si>
    <t>RS</t>
  </si>
  <si>
    <t>c1ru</t>
  </si>
  <si>
    <t>Russian Federation (the)</t>
  </si>
  <si>
    <t>RU</t>
  </si>
  <si>
    <t>c1se</t>
  </si>
  <si>
    <t>Sweden</t>
  </si>
  <si>
    <t>SE</t>
  </si>
  <si>
    <t>c1si</t>
  </si>
  <si>
    <t>Slovenia</t>
  </si>
  <si>
    <t>SI</t>
  </si>
  <si>
    <t>c1sj</t>
  </si>
  <si>
    <t>SJ</t>
  </si>
  <si>
    <t>c1sk</t>
  </si>
  <si>
    <t>Slovakia</t>
  </si>
  <si>
    <t>SK</t>
  </si>
  <si>
    <t>c1sm</t>
  </si>
  <si>
    <t>San Marino</t>
  </si>
  <si>
    <t>SM</t>
  </si>
  <si>
    <t>c1ua</t>
  </si>
  <si>
    <t>Ukraine[ad]</t>
  </si>
  <si>
    <t>UA</t>
  </si>
  <si>
    <t>c1va</t>
  </si>
  <si>
    <t>Vatican</t>
  </si>
  <si>
    <t>VA</t>
  </si>
  <si>
    <t>c1xk</t>
  </si>
  <si>
    <t>Kosovo</t>
  </si>
  <si>
    <t>XK</t>
  </si>
  <si>
    <t>c1</t>
  </si>
  <si>
    <t>North America</t>
  </si>
  <si>
    <t>c2ag</t>
  </si>
  <si>
    <t>Antigua and Barbuda</t>
  </si>
  <si>
    <t>AG</t>
  </si>
  <si>
    <t>c2ai</t>
  </si>
  <si>
    <t>Anguilla</t>
  </si>
  <si>
    <t>AI</t>
  </si>
  <si>
    <t>c2aw</t>
  </si>
  <si>
    <t>Aruba</t>
  </si>
  <si>
    <t>AW</t>
  </si>
  <si>
    <t>c2bb</t>
  </si>
  <si>
    <t>Barbados</t>
  </si>
  <si>
    <t>BB</t>
  </si>
  <si>
    <t>c2bl</t>
  </si>
  <si>
    <t>Saint Barthélemy</t>
  </si>
  <si>
    <t>BL</t>
  </si>
  <si>
    <t>c2bm</t>
  </si>
  <si>
    <t>Bermuda</t>
  </si>
  <si>
    <t>BM</t>
  </si>
  <si>
    <t>c2bq</t>
  </si>
  <si>
    <t>Bonaire, Sint Eustatius, Saba</t>
  </si>
  <si>
    <t>BQ</t>
  </si>
  <si>
    <t>c2bs</t>
  </si>
  <si>
    <t>Bahamas (the)</t>
  </si>
  <si>
    <t>BS</t>
  </si>
  <si>
    <t>c2bz</t>
  </si>
  <si>
    <t>Belize</t>
  </si>
  <si>
    <t>BZ</t>
  </si>
  <si>
    <t>c2ca</t>
  </si>
  <si>
    <t>Canada</t>
  </si>
  <si>
    <t>CA</t>
  </si>
  <si>
    <t>c2cr</t>
  </si>
  <si>
    <t>Costa Rica</t>
  </si>
  <si>
    <t>CR</t>
  </si>
  <si>
    <t>c2cu</t>
  </si>
  <si>
    <t>Cuba</t>
  </si>
  <si>
    <t>CU</t>
  </si>
  <si>
    <t>c2cw</t>
  </si>
  <si>
    <t>Curaçao</t>
  </si>
  <si>
    <t>CW</t>
  </si>
  <si>
    <t>c2dm</t>
  </si>
  <si>
    <t>Dominica</t>
  </si>
  <si>
    <t>DM</t>
  </si>
  <si>
    <t>c2do</t>
  </si>
  <si>
    <t>Dominican Republic (the)</t>
  </si>
  <si>
    <t>DO</t>
  </si>
  <si>
    <t>c2gd</t>
  </si>
  <si>
    <t>Grenada</t>
  </si>
  <si>
    <t>GD</t>
  </si>
  <si>
    <t>c2gl</t>
  </si>
  <si>
    <t>Greenland</t>
  </si>
  <si>
    <t>GL</t>
  </si>
  <si>
    <t>c2gp</t>
  </si>
  <si>
    <t>Guadeloupe</t>
  </si>
  <si>
    <t>GP</t>
  </si>
  <si>
    <t>c2gt</t>
  </si>
  <si>
    <t>Guatemala</t>
  </si>
  <si>
    <t>GT</t>
  </si>
  <si>
    <t>c2hn</t>
  </si>
  <si>
    <t>Honduras</t>
  </si>
  <si>
    <t>HN</t>
  </si>
  <si>
    <t>c2ht</t>
  </si>
  <si>
    <t>Haiti</t>
  </si>
  <si>
    <t>HT</t>
  </si>
  <si>
    <t>c2jm</t>
  </si>
  <si>
    <t>Jamaica</t>
  </si>
  <si>
    <t>JM</t>
  </si>
  <si>
    <t>c2kn</t>
  </si>
  <si>
    <t>Saint Kitts and Nevis</t>
  </si>
  <si>
    <t>KN</t>
  </si>
  <si>
    <t>c2ky</t>
  </si>
  <si>
    <t>Cayman Islands (the)</t>
  </si>
  <si>
    <t>KY</t>
  </si>
  <si>
    <t>c2lc</t>
  </si>
  <si>
    <t>Saint Lucia</t>
  </si>
  <si>
    <t>LC</t>
  </si>
  <si>
    <t>c2mf</t>
  </si>
  <si>
    <t>Saint Martin (French part)</t>
  </si>
  <si>
    <t>MF</t>
  </si>
  <si>
    <t>c2mq</t>
  </si>
  <si>
    <t>Martinique</t>
  </si>
  <si>
    <t>MQ</t>
  </si>
  <si>
    <t>c2ms</t>
  </si>
  <si>
    <t>Montserrat</t>
  </si>
  <si>
    <t>MS</t>
  </si>
  <si>
    <t>c2mx</t>
  </si>
  <si>
    <t>Mexico</t>
  </si>
  <si>
    <t>MX</t>
  </si>
  <si>
    <t>c2ni</t>
  </si>
  <si>
    <t>Nicaragua</t>
  </si>
  <si>
    <t>NI</t>
  </si>
  <si>
    <t>c2pa</t>
  </si>
  <si>
    <t>Panama</t>
  </si>
  <si>
    <t>PA</t>
  </si>
  <si>
    <t>c2pm</t>
  </si>
  <si>
    <t>Saint Pierre and Miquelon</t>
  </si>
  <si>
    <t>PM</t>
  </si>
  <si>
    <t>c2pr</t>
  </si>
  <si>
    <t>Puerto Rico</t>
  </si>
  <si>
    <t>PR</t>
  </si>
  <si>
    <t>c2sv</t>
  </si>
  <si>
    <t>El Salvador</t>
  </si>
  <si>
    <t>SV</t>
  </si>
  <si>
    <t>c2sx</t>
  </si>
  <si>
    <t>Sint Maarten (Dutch part)</t>
  </si>
  <si>
    <t>SX</t>
  </si>
  <si>
    <t>c2tc</t>
  </si>
  <si>
    <t>Turks and Caicos Islands (the)</t>
  </si>
  <si>
    <t>TC</t>
  </si>
  <si>
    <t>c2tt</t>
  </si>
  <si>
    <t>Trinidad and Tobago</t>
  </si>
  <si>
    <t>TT</t>
  </si>
  <si>
    <t>c2us</t>
  </si>
  <si>
    <t>United States of America (the)</t>
  </si>
  <si>
    <t>US</t>
  </si>
  <si>
    <t>c2vc</t>
  </si>
  <si>
    <t>Saint Vincent and the Grenadines</t>
  </si>
  <si>
    <t>VC</t>
  </si>
  <si>
    <t>c2vg</t>
  </si>
  <si>
    <t>Virgin Islands (British)</t>
  </si>
  <si>
    <t>VG</t>
  </si>
  <si>
    <t>c2vi</t>
  </si>
  <si>
    <t>Virgin Islands (U.S.)</t>
  </si>
  <si>
    <t>VI</t>
  </si>
  <si>
    <t>c3ar</t>
  </si>
  <si>
    <t>Argentina</t>
  </si>
  <si>
    <t>AR</t>
  </si>
  <si>
    <t>c2</t>
  </si>
  <si>
    <t>South America</t>
  </si>
  <si>
    <t>c3bo</t>
  </si>
  <si>
    <t>Bolivia (Plurinational State of)</t>
  </si>
  <si>
    <t>BO</t>
  </si>
  <si>
    <t>c3br</t>
  </si>
  <si>
    <t>Brazil</t>
  </si>
  <si>
    <t>BR</t>
  </si>
  <si>
    <t>c3cl</t>
  </si>
  <si>
    <t>Chile</t>
  </si>
  <si>
    <t>CL</t>
  </si>
  <si>
    <t>c3co</t>
  </si>
  <si>
    <t>Colombia</t>
  </si>
  <si>
    <t>CO</t>
  </si>
  <si>
    <t>c3ec</t>
  </si>
  <si>
    <t>Ecuador</t>
  </si>
  <si>
    <t>EC</t>
  </si>
  <si>
    <t>c3fk</t>
  </si>
  <si>
    <t>Falkland Islands (the) [Malvinas]</t>
  </si>
  <si>
    <t>FK</t>
  </si>
  <si>
    <t>c3gf</t>
  </si>
  <si>
    <t>French Guiana</t>
  </si>
  <si>
    <t>GF</t>
  </si>
  <si>
    <t>c3gy</t>
  </si>
  <si>
    <t>Guyana</t>
  </si>
  <si>
    <t>GY</t>
  </si>
  <si>
    <t>c3pe</t>
  </si>
  <si>
    <t>Peru</t>
  </si>
  <si>
    <t>PE</t>
  </si>
  <si>
    <t>c3py</t>
  </si>
  <si>
    <t>Paraguay</t>
  </si>
  <si>
    <t>PY</t>
  </si>
  <si>
    <t>c3sr</t>
  </si>
  <si>
    <t>Suriname</t>
  </si>
  <si>
    <t>SR</t>
  </si>
  <si>
    <t>c3uy</t>
  </si>
  <si>
    <t>Uruguay</t>
  </si>
  <si>
    <t>UY</t>
  </si>
  <si>
    <t>c3ve</t>
  </si>
  <si>
    <t>Venezuela (Bolivarian Republic of)</t>
  </si>
  <si>
    <t>VE</t>
  </si>
  <si>
    <t>c3</t>
  </si>
  <si>
    <t>Africa</t>
  </si>
  <si>
    <t>c4ao</t>
  </si>
  <si>
    <t>Angola</t>
  </si>
  <si>
    <t>AO</t>
  </si>
  <si>
    <t>c4bf</t>
  </si>
  <si>
    <t>Burkina Faso</t>
  </si>
  <si>
    <t>BF</t>
  </si>
  <si>
    <t>c4bi</t>
  </si>
  <si>
    <t>Burundi</t>
  </si>
  <si>
    <t>BI</t>
  </si>
  <si>
    <t>c4bj</t>
  </si>
  <si>
    <t>Benin</t>
  </si>
  <si>
    <t>BJ</t>
  </si>
  <si>
    <t>c4bw</t>
  </si>
  <si>
    <t>Botswana</t>
  </si>
  <si>
    <t>BW</t>
  </si>
  <si>
    <t>c4cd</t>
  </si>
  <si>
    <t>Congo (the Democratic Republic of the)</t>
  </si>
  <si>
    <t>CD</t>
  </si>
  <si>
    <t>c4cf</t>
  </si>
  <si>
    <t>Central African Republic (the)</t>
  </si>
  <si>
    <t>CF</t>
  </si>
  <si>
    <t>c4cg</t>
  </si>
  <si>
    <t>Congo (the)</t>
  </si>
  <si>
    <t>CG</t>
  </si>
  <si>
    <t>c4ci</t>
  </si>
  <si>
    <t>Côte d'Ivoire</t>
  </si>
  <si>
    <t>CI</t>
  </si>
  <si>
    <t>c4cm</t>
  </si>
  <si>
    <t>Cameroon</t>
  </si>
  <si>
    <t>CM</t>
  </si>
  <si>
    <t>c4cv</t>
  </si>
  <si>
    <t>Cabo Verde[f]</t>
  </si>
  <si>
    <t>CV</t>
  </si>
  <si>
    <t>c4dj</t>
  </si>
  <si>
    <t>Djibouti</t>
  </si>
  <si>
    <t>DJ</t>
  </si>
  <si>
    <t>c4dz</t>
  </si>
  <si>
    <t>Algeria</t>
  </si>
  <si>
    <t>DZ</t>
  </si>
  <si>
    <t>c4eg</t>
  </si>
  <si>
    <t>Egypt</t>
  </si>
  <si>
    <t>EG</t>
  </si>
  <si>
    <t>c4eh</t>
  </si>
  <si>
    <t>Western Sahara</t>
  </si>
  <si>
    <t>EH</t>
  </si>
  <si>
    <t>c4er</t>
  </si>
  <si>
    <t>Eritrea</t>
  </si>
  <si>
    <t>ER</t>
  </si>
  <si>
    <t>c4et</t>
  </si>
  <si>
    <t>Ethiopia</t>
  </si>
  <si>
    <t>ET</t>
  </si>
  <si>
    <t>c4ga</t>
  </si>
  <si>
    <t>Gabon</t>
  </si>
  <si>
    <t>GA</t>
  </si>
  <si>
    <t>c4gh</t>
  </si>
  <si>
    <t>Ghana</t>
  </si>
  <si>
    <t>GH</t>
  </si>
  <si>
    <t>c4gm</t>
  </si>
  <si>
    <t>Gambia (the)</t>
  </si>
  <si>
    <t>GM</t>
  </si>
  <si>
    <t>c4gn</t>
  </si>
  <si>
    <t>Guinea</t>
  </si>
  <si>
    <t>GN</t>
  </si>
  <si>
    <t>c4gq</t>
  </si>
  <si>
    <t>Equatorial Guinea</t>
  </si>
  <si>
    <t>GQ</t>
  </si>
  <si>
    <t>c4gw</t>
  </si>
  <si>
    <t>Guinea-Bissau</t>
  </si>
  <si>
    <t>GW</t>
  </si>
  <si>
    <t>c4io</t>
  </si>
  <si>
    <t>British Indian Ocean Territory (the)</t>
  </si>
  <si>
    <t>IO</t>
  </si>
  <si>
    <t>c4ke</t>
  </si>
  <si>
    <t>Kenya</t>
  </si>
  <si>
    <t>KE</t>
  </si>
  <si>
    <t>c4km</t>
  </si>
  <si>
    <t>Comoros (the)</t>
  </si>
  <si>
    <t>KM</t>
  </si>
  <si>
    <t>c4lr</t>
  </si>
  <si>
    <t>Liberia</t>
  </si>
  <si>
    <t>LR</t>
  </si>
  <si>
    <t>c4ls</t>
  </si>
  <si>
    <t>Lesotho</t>
  </si>
  <si>
    <t>LS</t>
  </si>
  <si>
    <t>c4ly</t>
  </si>
  <si>
    <t>Libya</t>
  </si>
  <si>
    <t>LY</t>
  </si>
  <si>
    <t>c4ma</t>
  </si>
  <si>
    <t>Morocco</t>
  </si>
  <si>
    <t>MA</t>
  </si>
  <si>
    <t>c4mg</t>
  </si>
  <si>
    <t>Madagascar</t>
  </si>
  <si>
    <t>MG</t>
  </si>
  <si>
    <t>c4ml</t>
  </si>
  <si>
    <t>Mali</t>
  </si>
  <si>
    <t>ML</t>
  </si>
  <si>
    <t>c4mr</t>
  </si>
  <si>
    <t>Mauritania</t>
  </si>
  <si>
    <t>MR</t>
  </si>
  <si>
    <t>c4mu</t>
  </si>
  <si>
    <t>Mauritius</t>
  </si>
  <si>
    <t>MU</t>
  </si>
  <si>
    <t>c4mw</t>
  </si>
  <si>
    <t>Malawi</t>
  </si>
  <si>
    <t>MW</t>
  </si>
  <si>
    <t>c4mz</t>
  </si>
  <si>
    <t>Mozambique</t>
  </si>
  <si>
    <t>MZ</t>
  </si>
  <si>
    <t>c4na</t>
  </si>
  <si>
    <t>Namibia</t>
  </si>
  <si>
    <t>NA</t>
  </si>
  <si>
    <t>c4ne</t>
  </si>
  <si>
    <t>Niger (the)</t>
  </si>
  <si>
    <t>NE</t>
  </si>
  <si>
    <t>c4ng</t>
  </si>
  <si>
    <t>Nigeria</t>
  </si>
  <si>
    <t>NG</t>
  </si>
  <si>
    <t>c4re</t>
  </si>
  <si>
    <t>Réunion</t>
  </si>
  <si>
    <t>RE</t>
  </si>
  <si>
    <t>c4rw</t>
  </si>
  <si>
    <t>Rwanda</t>
  </si>
  <si>
    <t>RW</t>
  </si>
  <si>
    <t>c4sd</t>
  </si>
  <si>
    <t>Sudan (the)</t>
  </si>
  <si>
    <t>SD</t>
  </si>
  <si>
    <t>c4sh</t>
  </si>
  <si>
    <t>Saint Helena, Ascension Island, Tristan da Cunha</t>
  </si>
  <si>
    <t>SH</t>
  </si>
  <si>
    <t>c4sl</t>
  </si>
  <si>
    <t>Sierra Leone</t>
  </si>
  <si>
    <t>SL</t>
  </si>
  <si>
    <t>c4sn</t>
  </si>
  <si>
    <t>Senegal</t>
  </si>
  <si>
    <t>SN</t>
  </si>
  <si>
    <t>c4so</t>
  </si>
  <si>
    <t>Somalia</t>
  </si>
  <si>
    <t>SO</t>
  </si>
  <si>
    <t>c4ss</t>
  </si>
  <si>
    <t>South Sudan</t>
  </si>
  <si>
    <t>SS</t>
  </si>
  <si>
    <t>c4st</t>
  </si>
  <si>
    <t>Sao Tome and Principe</t>
  </si>
  <si>
    <t>ST</t>
  </si>
  <si>
    <t>c4sz</t>
  </si>
  <si>
    <t>Eswatini</t>
  </si>
  <si>
    <t>SZ</t>
  </si>
  <si>
    <t>c4td</t>
  </si>
  <si>
    <t>Chad</t>
  </si>
  <si>
    <t>TD</t>
  </si>
  <si>
    <t>c4tg</t>
  </si>
  <si>
    <t>Togo</t>
  </si>
  <si>
    <t>TG</t>
  </si>
  <si>
    <t>c4tn</t>
  </si>
  <si>
    <t>Tunisia</t>
  </si>
  <si>
    <t>TN</t>
  </si>
  <si>
    <t>c4tz</t>
  </si>
  <si>
    <t>Tanzania</t>
  </si>
  <si>
    <t>TZ</t>
  </si>
  <si>
    <t>c4ug</t>
  </si>
  <si>
    <t>Uganda</t>
  </si>
  <si>
    <t>UG</t>
  </si>
  <si>
    <t>c4yt</t>
  </si>
  <si>
    <t>Mayotte</t>
  </si>
  <si>
    <t>YT</t>
  </si>
  <si>
    <t>c4za</t>
  </si>
  <si>
    <t>South Africa</t>
  </si>
  <si>
    <t>ZA</t>
  </si>
  <si>
    <t>c4zm</t>
  </si>
  <si>
    <t>Zambia</t>
  </si>
  <si>
    <t>ZM</t>
  </si>
  <si>
    <t>c4zw</t>
  </si>
  <si>
    <t>Zimbabwe</t>
  </si>
  <si>
    <t>ZW</t>
  </si>
  <si>
    <t>c4</t>
  </si>
  <si>
    <t>Middle East</t>
  </si>
  <si>
    <t>c5ae</t>
  </si>
  <si>
    <t>United Arab Emirates (the)</t>
  </si>
  <si>
    <t>AE</t>
  </si>
  <si>
    <t>c5af</t>
  </si>
  <si>
    <t>Afghanistan</t>
  </si>
  <si>
    <t>AF</t>
  </si>
  <si>
    <t>c5am</t>
  </si>
  <si>
    <t>Armenia</t>
  </si>
  <si>
    <t>AM</t>
  </si>
  <si>
    <t>c5bh</t>
  </si>
  <si>
    <t>Bahrain</t>
  </si>
  <si>
    <t>BH</t>
  </si>
  <si>
    <t>c5cy</t>
  </si>
  <si>
    <t>Cyprus</t>
  </si>
  <si>
    <t>CY</t>
  </si>
  <si>
    <t>c5ge</t>
  </si>
  <si>
    <t>Georgia</t>
  </si>
  <si>
    <t>GE</t>
  </si>
  <si>
    <t>c5il</t>
  </si>
  <si>
    <t>Israel</t>
  </si>
  <si>
    <t>IL</t>
  </si>
  <si>
    <t>c5iq</t>
  </si>
  <si>
    <t>Iraq</t>
  </si>
  <si>
    <t>IQ</t>
  </si>
  <si>
    <t>c5ir</t>
  </si>
  <si>
    <t>Iran (Islamic Republic of)</t>
  </si>
  <si>
    <t>IR</t>
  </si>
  <si>
    <t>c5jo</t>
  </si>
  <si>
    <t>Jordan</t>
  </si>
  <si>
    <t>JO</t>
  </si>
  <si>
    <t>c5kw</t>
  </si>
  <si>
    <t>Kuwait</t>
  </si>
  <si>
    <t>KW</t>
  </si>
  <si>
    <t>c5lb</t>
  </si>
  <si>
    <t>Lebanon</t>
  </si>
  <si>
    <t>LB</t>
  </si>
  <si>
    <t>c5om</t>
  </si>
  <si>
    <t>Oman</t>
  </si>
  <si>
    <t>OM</t>
  </si>
  <si>
    <t>c5pk</t>
  </si>
  <si>
    <t>Pakistan</t>
  </si>
  <si>
    <t>PK</t>
  </si>
  <si>
    <t>c5ps</t>
  </si>
  <si>
    <t>Palestine</t>
  </si>
  <si>
    <t>PS</t>
  </si>
  <si>
    <t>c5qa</t>
  </si>
  <si>
    <t>Qatar</t>
  </si>
  <si>
    <t>QA</t>
  </si>
  <si>
    <t>c5sa</t>
  </si>
  <si>
    <t>Saudi Arabia</t>
  </si>
  <si>
    <t>SA</t>
  </si>
  <si>
    <t>c5sy</t>
  </si>
  <si>
    <t>Syrian Arab Republic (the)</t>
  </si>
  <si>
    <t>SY</t>
  </si>
  <si>
    <t>c5tl</t>
  </si>
  <si>
    <t>Timor-Leste</t>
  </si>
  <si>
    <t>TL</t>
  </si>
  <si>
    <t>c5tr</t>
  </si>
  <si>
    <t>Türkiye</t>
  </si>
  <si>
    <t>TR</t>
  </si>
  <si>
    <t>c5ye</t>
  </si>
  <si>
    <t>Yemen</t>
  </si>
  <si>
    <t>YE</t>
  </si>
  <si>
    <t>c5</t>
  </si>
  <si>
    <t>Far East</t>
  </si>
  <si>
    <t>c6az</t>
  </si>
  <si>
    <t>Azerbaijan</t>
  </si>
  <si>
    <t>AZ</t>
  </si>
  <si>
    <t>c6bd</t>
  </si>
  <si>
    <t>Bangladesh</t>
  </si>
  <si>
    <t>BD</t>
  </si>
  <si>
    <t>c6bn</t>
  </si>
  <si>
    <t>Brunei Darussalam</t>
  </si>
  <si>
    <t>BN</t>
  </si>
  <si>
    <t>c6bt</t>
  </si>
  <si>
    <t>Bhutan</t>
  </si>
  <si>
    <t>BT</t>
  </si>
  <si>
    <t>c6cn</t>
  </si>
  <si>
    <t>China</t>
  </si>
  <si>
    <t>CN</t>
  </si>
  <si>
    <t>c6cx</t>
  </si>
  <si>
    <t>Christmas Island</t>
  </si>
  <si>
    <t>CX</t>
  </si>
  <si>
    <t>c6hk</t>
  </si>
  <si>
    <t>Hong Kong</t>
  </si>
  <si>
    <t>HK</t>
  </si>
  <si>
    <t>c6id</t>
  </si>
  <si>
    <t>Indonesia</t>
  </si>
  <si>
    <t>ID</t>
  </si>
  <si>
    <t>c6in</t>
  </si>
  <si>
    <t>India</t>
  </si>
  <si>
    <t>IN</t>
  </si>
  <si>
    <t>c6jp</t>
  </si>
  <si>
    <t>Japan</t>
  </si>
  <si>
    <t>JP</t>
  </si>
  <si>
    <t>c6kg</t>
  </si>
  <si>
    <t>Kyrgyzstan</t>
  </si>
  <si>
    <t>KG</t>
  </si>
  <si>
    <t>c6kh</t>
  </si>
  <si>
    <t>Cambodia</t>
  </si>
  <si>
    <t>KH</t>
  </si>
  <si>
    <t>c6kp</t>
  </si>
  <si>
    <t>Korea (the Democratic People's Republic of)</t>
  </si>
  <si>
    <t>KP</t>
  </si>
  <si>
    <t>c6kr</t>
  </si>
  <si>
    <t>Korea (the Republic of)</t>
  </si>
  <si>
    <t>KR</t>
  </si>
  <si>
    <t>c6kz</t>
  </si>
  <si>
    <t>Kazakhstan</t>
  </si>
  <si>
    <t>KZ</t>
  </si>
  <si>
    <t>c6la</t>
  </si>
  <si>
    <t>Lao People's Democratic Republic (the)</t>
  </si>
  <si>
    <t>LA</t>
  </si>
  <si>
    <t>c6lk</t>
  </si>
  <si>
    <t>Sri Lanka</t>
  </si>
  <si>
    <t>LK</t>
  </si>
  <si>
    <t>c6mm</t>
  </si>
  <si>
    <t>Myanmar</t>
  </si>
  <si>
    <t>MM</t>
  </si>
  <si>
    <t>c6mn</t>
  </si>
  <si>
    <t>Mongolia</t>
  </si>
  <si>
    <t>MN</t>
  </si>
  <si>
    <t>c6mo</t>
  </si>
  <si>
    <t>Macao</t>
  </si>
  <si>
    <t>MO</t>
  </si>
  <si>
    <t>c6mv</t>
  </si>
  <si>
    <t>Maldives</t>
  </si>
  <si>
    <t>MV</t>
  </si>
  <si>
    <t>c6my</t>
  </si>
  <si>
    <t>Malaysia</t>
  </si>
  <si>
    <t>MY</t>
  </si>
  <si>
    <t>c6np</t>
  </si>
  <si>
    <t>Nepal</t>
  </si>
  <si>
    <t>NP</t>
  </si>
  <si>
    <t>c6ph</t>
  </si>
  <si>
    <t>Philippines (the)</t>
  </si>
  <si>
    <t>PH</t>
  </si>
  <si>
    <t>c6sc</t>
  </si>
  <si>
    <t>Seychelles</t>
  </si>
  <si>
    <t>SC</t>
  </si>
  <si>
    <t>c6sg</t>
  </si>
  <si>
    <t>Singapore</t>
  </si>
  <si>
    <t>SG</t>
  </si>
  <si>
    <t>c6th</t>
  </si>
  <si>
    <t>Thailand</t>
  </si>
  <si>
    <t>TH</t>
  </si>
  <si>
    <t>c6tj</t>
  </si>
  <si>
    <t>Tajikistan</t>
  </si>
  <si>
    <t>TJ</t>
  </si>
  <si>
    <t>c6tm</t>
  </si>
  <si>
    <t>Turkmenistan</t>
  </si>
  <si>
    <t>TM</t>
  </si>
  <si>
    <t>c6tw</t>
  </si>
  <si>
    <t>Taiwan (Province of China)</t>
  </si>
  <si>
    <t>TW</t>
  </si>
  <si>
    <t>c6uz</t>
  </si>
  <si>
    <t>Uzbekistan</t>
  </si>
  <si>
    <t>UZ</t>
  </si>
  <si>
    <t>c6vn</t>
  </si>
  <si>
    <t>Viet Nam[ah]</t>
  </si>
  <si>
    <t>VN</t>
  </si>
  <si>
    <t>c6</t>
  </si>
  <si>
    <t>Oceania</t>
  </si>
  <si>
    <t>c7as</t>
  </si>
  <si>
    <t>American Samoa</t>
  </si>
  <si>
    <t>AS</t>
  </si>
  <si>
    <t>c7au</t>
  </si>
  <si>
    <t>Australia[b]</t>
  </si>
  <si>
    <t>AU</t>
  </si>
  <si>
    <t>c7cc</t>
  </si>
  <si>
    <t>Cocos (Keeling) Islands (the)</t>
  </si>
  <si>
    <t>CC</t>
  </si>
  <si>
    <t>c7ck</t>
  </si>
  <si>
    <t>Cook Islands (the)</t>
  </si>
  <si>
    <t>CK</t>
  </si>
  <si>
    <t>c7fj</t>
  </si>
  <si>
    <t>Fiji</t>
  </si>
  <si>
    <t>FJ</t>
  </si>
  <si>
    <t>c7fm</t>
  </si>
  <si>
    <t>Micronesia (Federated States of)</t>
  </si>
  <si>
    <t>FM</t>
  </si>
  <si>
    <t>c7gu</t>
  </si>
  <si>
    <t>Guam</t>
  </si>
  <si>
    <t>GU</t>
  </si>
  <si>
    <t>c7ki</t>
  </si>
  <si>
    <t>Kiribati</t>
  </si>
  <si>
    <t>KI</t>
  </si>
  <si>
    <t>c7mh</t>
  </si>
  <si>
    <t>Marshall Islands (the)</t>
  </si>
  <si>
    <t>MH</t>
  </si>
  <si>
    <t>c7mp</t>
  </si>
  <si>
    <t>Northern Mariana Islands (the)</t>
  </si>
  <si>
    <t>MP</t>
  </si>
  <si>
    <t>c7nc</t>
  </si>
  <si>
    <t>New Caledonia</t>
  </si>
  <si>
    <t>NC</t>
  </si>
  <si>
    <t>c7nf</t>
  </si>
  <si>
    <t>Norfolk Island</t>
  </si>
  <si>
    <t>NF</t>
  </si>
  <si>
    <t>c7nr</t>
  </si>
  <si>
    <t>Nauru</t>
  </si>
  <si>
    <t>NR</t>
  </si>
  <si>
    <t>c7nu</t>
  </si>
  <si>
    <t>Niue</t>
  </si>
  <si>
    <t>NU</t>
  </si>
  <si>
    <t>c7nz</t>
  </si>
  <si>
    <t>New Zealand</t>
  </si>
  <si>
    <t>NZ</t>
  </si>
  <si>
    <t>c7pf</t>
  </si>
  <si>
    <t>French Polynesia</t>
  </si>
  <si>
    <t>PF</t>
  </si>
  <si>
    <t>c7pg</t>
  </si>
  <si>
    <t>Papua New Guinea</t>
  </si>
  <si>
    <t>PG</t>
  </si>
  <si>
    <t>c7pn</t>
  </si>
  <si>
    <t>Pitcairn</t>
  </si>
  <si>
    <t>PN</t>
  </si>
  <si>
    <t>c7pw</t>
  </si>
  <si>
    <t>Palau</t>
  </si>
  <si>
    <t>PW</t>
  </si>
  <si>
    <t>c7sb</t>
  </si>
  <si>
    <t>Solomon Islands</t>
  </si>
  <si>
    <t>SB</t>
  </si>
  <si>
    <t>c7tk</t>
  </si>
  <si>
    <t>Tokelau</t>
  </si>
  <si>
    <t>TK</t>
  </si>
  <si>
    <t>c7to</t>
  </si>
  <si>
    <t>Tonga</t>
  </si>
  <si>
    <t>TO</t>
  </si>
  <si>
    <t>c7tv</t>
  </si>
  <si>
    <t>Tuvalu</t>
  </si>
  <si>
    <t>TV</t>
  </si>
  <si>
    <t>c7um</t>
  </si>
  <si>
    <t>United States Minor Outlying Islands (the)</t>
  </si>
  <si>
    <t>UM</t>
  </si>
  <si>
    <t>c7vu</t>
  </si>
  <si>
    <t>Vanuatu</t>
  </si>
  <si>
    <t>VU</t>
  </si>
  <si>
    <t>c7wf</t>
  </si>
  <si>
    <t>Wallis and Futuna</t>
  </si>
  <si>
    <t>WF</t>
  </si>
  <si>
    <t>c7ws</t>
  </si>
  <si>
    <t>Samoa</t>
  </si>
  <si>
    <t>WS</t>
  </si>
  <si>
    <t>c7</t>
  </si>
  <si>
    <t>Antarctica</t>
  </si>
  <si>
    <t>c8aq</t>
  </si>
  <si>
    <t>AQ</t>
  </si>
  <si>
    <t>c8bv</t>
  </si>
  <si>
    <t>Bouvet Island</t>
  </si>
  <si>
    <t>BV</t>
  </si>
  <si>
    <t>c8gs</t>
  </si>
  <si>
    <t>South Georgia and the South Sandwich Islands</t>
  </si>
  <si>
    <t>GS</t>
  </si>
  <si>
    <t>c8hm</t>
  </si>
  <si>
    <t>Heard Island and McDonald Islands</t>
  </si>
  <si>
    <t>HM</t>
  </si>
  <si>
    <t>c8tf</t>
  </si>
  <si>
    <t>French Southern Territories (the)</t>
  </si>
  <si>
    <t>TF</t>
  </si>
  <si>
    <t>c8</t>
  </si>
  <si>
    <t>c9</t>
  </si>
  <si>
    <t>Other / Unknown</t>
  </si>
  <si>
    <t>ct</t>
  </si>
  <si>
    <t>For checking: Total of migrants</t>
  </si>
  <si>
    <t>For checking: Total of migration</t>
  </si>
  <si>
    <t>patria</t>
  </si>
  <si>
    <t>Naturalisation</t>
  </si>
  <si>
    <t>Fill in the numbers of people being naturalized in the specified year. This is not relevant for the calculation of version 1 but it is important for future versions.</t>
  </si>
  <si>
    <t>https://ec.europa.eu/eurostat/databrowser/view/migr_acq</t>
  </si>
  <si>
    <t>Naturalisationen 2008-2024 aus Eurostat migr_acq (Acquisition of citizenship by sex, age, former citizenship), geo=FR, citizen=TOTAL, age=TOTAL × Sex (F, M). Eurostat filtert auf FR-resident-only → methodisch sauber für IFR-Modell (analog AT-V2-Entscheidung). Vorgangsweise (CLAUDE.md §Pass-Wechsel): nur Migrant F (Spalte F) und Migrant M (Spalte G); Native bleibt leer. Naturalisationen 1950-2007: INSEE/DGEF publiziert historische Reihen, aber Sex-Split-Coverage lückenhaft. FR-Sondereinbürgerungs-Effekt: 'acquisitions par décret' und 'par déclaration' beide FR-resident; Konsulats-Abstammungs-Erwerb (analog AT-§58c) im Eurostat-Wert nicht enthalten. 2025: Eurostat-Lag, leer. V1.1-Ergänzung 2026-05-22: Naturalisationen 1950-1997 (48 Jahre) nachgepflegt aus Spire &amp; Thave 'Les acquisitions de nationalité depuis 1945', INSEE Synthèses n° 30 (1999), Annexe 3 (Daten validiert von der Sous-direction des naturalisations, DPM, Ministère des Affaires sociales). Spalte 'Acquisitions y compris manifestation de volonté, y compris effet collectif' direkt in I-Spalte (Utility Migrant M+F) — Lücken-Konvention (AT-V3-Präzedenz, kein Sex-Split publiziert für historische Reihe). Originalformel =G+F überschrieben; F/G der Jahre 1950-1997 leer. Methodenwahl 'incl. manifestation de volonté' (Begründung User-Entscheidung): Vollständigkeit &gt; Definitions-Konsistenz für historische Reihen. Das Fenster 1994-1998 ist die einzige Periode, in der die ansonsten unregistrierten Plein-Droit-Erwerbe von in Frankreich geborenen Kindern ausländischer Eltern aktiv erfasst wurden — diese ~30k/Jahr sind reale Einbürgerungen UND eine wertvolle Messung der strukturellen Untererfassung in den anderen Jahren. Alternative Spalte 'hors manifestation' für 1994-1997 = 318,620 (gegenüber 444,979 incl. manif): Differenz 4-Jahre = ca. 100k = Größenordnung der jährlichen Untererfassung. Methodenbruch 1997/1998 zu 1998-2007-Reihe (Eurostat migr_acq, resident-only): ab 1998 Eurostat-Methodik aktiv, die historische DPM-Reihe (1945-1997) hatte teils Auslandseinbürgerungen via Konsulat-Erwerb mit drin (Mitte 1990er ca. 2-5 % der Acquisitions). Pieds-Noirs 1962 (28.149) ist KEIN Ausreißer in der Reihe — Pieds-Noirs behielten 1962 ihre frz. Staatsangehörigkeit de plein droit und erscheinen NICHT als 'acquisition' (Spire-Thave Encadré 1, S. 11). Jahre 1945-1949 fallen außerhalb Template-Range (B9=1950, B84=2025); aggregierter Wert für 1945-1949 = 300,684 (17.884 + 38.869 + 111.736 + 70.925 + 61.270), nicht in Sheet aggregiert.</t>
  </si>
  <si>
    <t>Expatriation</t>
  </si>
  <si>
    <t>Fill in the numbers of people being expatriated in the specified year. This is not relevant for the calculation of version 1 but it is important for future versions.</t>
  </si>
  <si>
    <t>Expatriation: INSEE/Min. Intérieur publiziert keine konsistente Sorties-de-nationalité-Zeitreihe für FR. Analog AT-Vorgehen: alle Jahre leer + dokumentiert. BMI-Anfrage wäre V2-Thema. Effekt auf Modell: gering (typisch &lt;2.000/Jahr).</t>
  </si>
  <si>
    <t>export</t>
  </si>
  <si>
    <t>Do not change this sheet!</t>
  </si>
  <si>
    <t>Overview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</si>
</sst>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0.0000000000"/>
    <numFmt numFmtId="166" formatCode="0.0000"/>
  </numFmts>
  <fonts count="12">
    <font>
      <sz val="10"/>
      <color rgb="FF000000"/>
      <name val="Helvetica Neue"/>
      <scheme val="minor"/>
    </font>
    <font>
      <sz val="12"/>
      <color rgb="FF000000"/>
      <name val="Helvetica Neue"/>
    </font>
    <font>
      <sz val="10"/>
      <color rgb="FF000000"/>
      <name val="Helvetica Neue"/>
    </font>
    <font>
      <b/>
      <sz val="10"/>
      <color rgb="FFFEFFFE"/>
      <name val="Helvetica Neue"/>
    </font>
    <font>
      <b/>
      <sz val="10"/>
      <color rgb="FF000000"/>
      <name val="Helvetica Neue"/>
    </font>
    <font>
      <sz val="10"/>
      <color rgb="FF56C1FE"/>
      <name val="Helvetica Neue"/>
    </font>
    <font>
      <sz val="10"/>
      <name val="Helvetica Neue"/>
    </font>
    <font>
      <sz val="10"/>
      <color rgb="FFFEFFFE"/>
      <name val="Helvetica Neue"/>
    </font>
    <font>
      <b/>
      <sz val="16"/>
      <color rgb="FF000000"/>
      <name val="Helvetica Neue"/>
    </font>
    <font>
      <sz val="16"/>
      <color rgb="FF000000"/>
      <name val="Helvetica Neue"/>
    </font>
    <font>
      <sz val="15"/>
      <color rgb="FFFEFFFE"/>
      <name val="Helvetica Neue"/>
    </font>
    <font>
      <sz val="10"/>
      <color rgb="FF00A1FE"/>
      <name val="Helvetica Neue"/>
    </font>
  </fonts>
  <fills count="10">
    <fill>
      <patternFill patternType="none"/>
    </fill>
    <fill>
      <patternFill patternType="gray125"/>
    </fill>
    <fill>
      <patternFill patternType="solid">
        <fgColor rgb="FF000000"/>
        <bgColor rgb="FF000000"/>
      </patternFill>
    </fill>
    <fill>
      <patternFill patternType="solid">
        <fgColor rgb="FFFFF056"/>
        <bgColor rgb="FFFFF056"/>
      </patternFill>
    </fill>
    <fill>
      <patternFill patternType="solid">
        <fgColor rgb="FFBDC0BF"/>
        <bgColor rgb="FFBDC0BF"/>
      </patternFill>
    </fill>
    <fill>
      <patternFill patternType="solid">
        <fgColor rgb="FFDBDBDB"/>
        <bgColor rgb="FFDBDBDB"/>
      </patternFill>
    </fill>
    <fill>
      <patternFill patternType="solid">
        <fgColor rgb="FF56C1FE"/>
        <bgColor rgb="FF56C1FE"/>
      </patternFill>
    </fill>
    <fill>
      <patternFill patternType="solid">
        <fgColor rgb="FF60D836"/>
        <bgColor rgb="FF60D836"/>
      </patternFill>
    </fill>
    <fill>
      <patternFill patternType="solid">
        <fgColor rgb="FF5E5E5E"/>
        <bgColor rgb="FF5E5E5E"/>
      </patternFill>
    </fill>
    <fill>
      <patternFill patternType="solid">
        <fgColor rgb="FF919191"/>
        <bgColor rgb="FF919191"/>
      </patternFill>
    </fill>
  </fills>
  <borders count="52">
    <border>
      <left/>
      <right/>
      <top/>
      <bottom/>
      <diagonal/>
    </border>
    <border>
      <left/>
      <right/>
      <top style="thin">
        <color rgb="FFA5A5A5"/>
      </top>
      <bottom style="thin">
        <color rgb="FFA5A5A5"/>
      </bottom>
      <diagonal/>
    </border>
    <border>
      <left/>
      <right/>
      <top style="thin">
        <color rgb="FFA5A5A5"/>
      </top>
      <bottom style="thin">
        <color rgb="FF3F3F3F"/>
      </bottom>
      <diagonal/>
    </border>
    <border>
      <left/>
      <right/>
      <top style="thin">
        <color rgb="FF3F3F3F"/>
      </top>
      <bottom/>
      <diagonal/>
    </border>
    <border>
      <left/>
      <right/>
      <top style="thin">
        <color rgb="FF3F3F3F"/>
      </top>
      <bottom/>
      <diagonal/>
    </border>
    <border>
      <left/>
      <right/>
      <top style="thin">
        <color rgb="FF3F3F3F"/>
      </top>
      <bottom style="thin">
        <color rgb="FFA5A5A5"/>
      </bottom>
      <diagonal/>
    </border>
    <border>
      <left/>
      <right/>
      <top/>
      <bottom/>
      <diagonal/>
    </border>
    <border>
      <left/>
      <right/>
      <top/>
      <bottom/>
      <diagonal/>
    </border>
    <border>
      <left/>
      <right/>
      <top/>
      <bottom/>
      <diagonal/>
    </border>
    <border>
      <left/>
      <right/>
      <top/>
      <bottom/>
      <diagonal/>
    </border>
    <border>
      <left/>
      <right/>
      <top style="thin">
        <color rgb="FFA5A5A5"/>
      </top>
      <bottom style="thin">
        <color rgb="FFA5A5A5"/>
      </bottom>
      <diagonal/>
    </border>
    <border>
      <left/>
      <right/>
      <top/>
      <bottom style="thin">
        <color rgb="FFA5A5A5"/>
      </bottom>
      <diagonal/>
    </border>
    <border>
      <left/>
      <right/>
      <top/>
      <bottom style="thin">
        <color rgb="FFA5A5A5"/>
      </bottom>
      <diagonal/>
    </border>
    <border>
      <left/>
      <right/>
      <top/>
      <bottom style="thin">
        <color rgb="FFA5A5A5"/>
      </bottom>
      <diagonal/>
    </border>
    <border>
      <left/>
      <right/>
      <top/>
      <bottom style="thin">
        <color rgb="FFA5A5A5"/>
      </bottom>
      <diagonal/>
    </border>
    <border>
      <left/>
      <right/>
      <top style="thin">
        <color rgb="FFA5A5A5"/>
      </top>
      <bottom style="thin">
        <color rgb="FFA5A5A5"/>
      </bottom>
      <diagonal/>
    </border>
    <border>
      <left/>
      <right/>
      <top style="thin">
        <color rgb="FFA5A5A5"/>
      </top>
      <bottom style="thin">
        <color rgb="FFA5A5A5"/>
      </bottom>
      <diagonal/>
    </border>
    <border>
      <left/>
      <right/>
      <top style="thin">
        <color rgb="FFA5A5A5"/>
      </top>
      <bottom/>
      <diagonal/>
    </border>
    <border>
      <left/>
      <right/>
      <top style="thin">
        <color rgb="FFA5A5A5"/>
      </top>
      <bottom/>
      <diagonal/>
    </border>
    <border>
      <left/>
      <right/>
      <top/>
      <bottom style="thin">
        <color rgb="FFA5A5A5"/>
      </bottom>
      <diagonal/>
    </border>
    <border>
      <left style="thin">
        <color rgb="FFA5A5A5"/>
      </left>
      <right style="thin">
        <color rgb="FFA5A5A5"/>
      </right>
      <top/>
      <bottom style="thin">
        <color rgb="FFA5A5A5"/>
      </bottom>
      <diagonal/>
    </border>
    <border>
      <left style="thin">
        <color rgb="FFA5A5A5"/>
      </left>
      <right style="thin">
        <color rgb="FF3F3F3F"/>
      </right>
      <top/>
      <bottom style="thin">
        <color rgb="FFA5A5A5"/>
      </bottom>
      <diagonal/>
    </border>
    <border>
      <left style="thin">
        <color rgb="FF3F3F3F"/>
      </left>
      <right style="thin">
        <color rgb="FFA5A5A5"/>
      </right>
      <top style="thin">
        <color rgb="FFA5A5A5"/>
      </top>
      <bottom style="thin">
        <color rgb="FFA5A5A5"/>
      </bottom>
      <diagonal/>
    </border>
    <border>
      <left style="thin">
        <color rgb="FFA5A5A5"/>
      </left>
      <right style="thin">
        <color rgb="FFA5A5A5"/>
      </right>
      <top style="thin">
        <color rgb="FFA5A5A5"/>
      </top>
      <bottom style="thin">
        <color rgb="FFA5A5A5"/>
      </bottom>
      <diagonal/>
    </border>
    <border>
      <left/>
      <right/>
      <top style="thin">
        <color rgb="FF3F3F3F"/>
      </top>
      <bottom style="thin">
        <color rgb="FFA5A5A5"/>
      </bottom>
      <diagonal/>
    </border>
    <border>
      <left style="thin">
        <color rgb="FFA5A5A5"/>
      </left>
      <right style="thin">
        <color rgb="FF3F3F3F"/>
      </right>
      <top style="thin">
        <color rgb="FFA5A5A5"/>
      </top>
      <bottom style="thin">
        <color rgb="FFA5A5A5"/>
      </bottom>
      <diagonal/>
    </border>
    <border>
      <left/>
      <right style="thin">
        <color rgb="FFA5A5A5"/>
      </right>
      <top/>
      <bottom style="thin">
        <color rgb="FFA5A5A5"/>
      </bottom>
      <diagonal/>
    </border>
    <border>
      <left style="thin">
        <color rgb="FFA5A5A5"/>
      </left>
      <right/>
      <top/>
      <bottom style="thin">
        <color rgb="FFA5A5A5"/>
      </bottom>
      <diagonal/>
    </border>
    <border>
      <left style="thin">
        <color rgb="FFA5A5A5"/>
      </left>
      <right style="thin">
        <color rgb="FFA5A5A5"/>
      </right>
      <top/>
      <bottom/>
      <diagonal/>
    </border>
    <border>
      <left style="thin">
        <color rgb="FFA5A5A5"/>
      </left>
      <right style="thin">
        <color rgb="FF3F3F3F"/>
      </right>
      <top/>
      <bottom/>
      <diagonal/>
    </border>
    <border>
      <left style="thin">
        <color rgb="FF3F3F3F"/>
      </left>
      <right style="thin">
        <color rgb="FFA5A5A5"/>
      </right>
      <top/>
      <bottom/>
      <diagonal/>
    </border>
    <border>
      <left style="thin">
        <color rgb="FFA5A5A5"/>
      </left>
      <right style="thin">
        <color rgb="FFA5A5A5"/>
      </right>
      <top/>
      <bottom/>
      <diagonal/>
    </border>
    <border>
      <left/>
      <right/>
      <top style="thin">
        <color rgb="FF3F3F3F"/>
      </top>
      <bottom style="thin">
        <color rgb="FFA5A5A5"/>
      </bottom>
      <diagonal/>
    </border>
    <border>
      <left/>
      <right/>
      <top style="thin">
        <color rgb="FF3F3F3F"/>
      </top>
      <bottom style="thin">
        <color rgb="FFA5A5A5"/>
      </bottom>
      <diagonal/>
    </border>
    <border>
      <left style="thin">
        <color rgb="FF3F3F3F"/>
      </left>
      <right/>
      <top style="thin">
        <color rgb="FFA5A5A5"/>
      </top>
      <bottom style="thin">
        <color rgb="FFA5A5A5"/>
      </bottom>
      <diagonal/>
    </border>
    <border>
      <left/>
      <right style="thin">
        <color rgb="FFA5A5A5"/>
      </right>
      <top style="thin">
        <color rgb="FFA5A5A5"/>
      </top>
      <bottom style="thin">
        <color rgb="FFA5A5A5"/>
      </bottom>
      <diagonal/>
    </border>
    <border>
      <left style="thin">
        <color rgb="FFA5A5A5"/>
      </left>
      <right style="thin">
        <color rgb="FFA5A5A5"/>
      </right>
      <top style="thin">
        <color rgb="FFA5A5A5"/>
      </top>
      <bottom/>
      <diagonal/>
    </border>
    <border>
      <left style="thin">
        <color rgb="FFA5A5A5"/>
      </left>
      <right style="thin">
        <color rgb="FF3F3F3F"/>
      </right>
      <top style="thin">
        <color rgb="FFA5A5A5"/>
      </top>
      <bottom/>
      <diagonal/>
    </border>
    <border>
      <left style="thin">
        <color rgb="FF3F3F3F"/>
      </left>
      <right/>
      <top style="thin">
        <color rgb="FFA5A5A5"/>
      </top>
      <bottom/>
      <diagonal/>
    </border>
    <border>
      <left style="thin">
        <color rgb="FF3F3F3F"/>
      </left>
      <right style="thin">
        <color rgb="FFA5A5A5"/>
      </right>
      <top/>
      <bottom style="thin">
        <color rgb="FFA5A5A5"/>
      </bottom>
      <diagonal/>
    </border>
    <border>
      <left/>
      <right/>
      <top style="thin">
        <color rgb="FFA5A5A5"/>
      </top>
      <bottom/>
      <diagonal/>
    </border>
    <border>
      <left/>
      <right/>
      <top style="thin">
        <color rgb="FFA5A5A5"/>
      </top>
      <bottom/>
      <diagonal/>
    </border>
    <border>
      <left/>
      <right/>
      <top style="thin">
        <color rgb="FFA5A5A5"/>
      </top>
      <bottom/>
      <diagonal/>
    </border>
    <border>
      <left/>
      <right style="thin">
        <color rgb="FFA5A5A5"/>
      </right>
      <top/>
      <bottom/>
      <diagonal/>
    </border>
    <border>
      <left style="thin">
        <color rgb="FFA5A5A5"/>
      </left>
      <right/>
      <top/>
      <bottom/>
      <diagonal/>
    </border>
    <border>
      <left style="thin">
        <color rgb="FFA5A5A5"/>
      </left>
      <right/>
      <top style="thin">
        <color rgb="FFA5A5A5"/>
      </top>
      <bottom style="thin">
        <color rgb="FFA5A5A5"/>
      </bottom>
      <diagonal/>
    </border>
    <border>
      <left style="thin">
        <color rgb="FFA5A5A5"/>
      </left>
      <right/>
      <top style="thin">
        <color rgb="FFA5A5A5"/>
      </top>
      <bottom/>
      <diagonal/>
    </border>
    <border>
      <left style="thin">
        <color rgb="FFA5A5A5"/>
      </left>
      <right/>
      <top style="thin">
        <color rgb="FFA5A5A5"/>
      </top>
      <bottom style="thin">
        <color rgb="FFA5A5A5"/>
      </bottom>
      <diagonal/>
    </border>
    <border>
      <left style="thin">
        <color rgb="FFA5A5A5"/>
      </left>
      <right style="thin">
        <color rgb="FFA5A5A5"/>
      </right>
      <top/>
      <bottom style="thin">
        <color rgb="FFA5A5A5"/>
      </bottom>
      <diagonal/>
    </border>
    <border>
      <left/>
      <right style="thin">
        <color rgb="FFA5A5A5"/>
      </right>
      <top style="thin">
        <color rgb="FFA5A5A5"/>
      </top>
      <bottom/>
      <diagonal/>
    </border>
    <border>
      <left style="thin">
        <color rgb="FFA5A5A5"/>
      </left>
      <right/>
      <top style="thin">
        <color rgb="FFA5A5A5"/>
      </top>
      <bottom/>
      <diagonal/>
    </border>
    <border>
      <left/>
      <right style="thin">
        <color rgb="FFA5A5A5"/>
      </right>
      <top/>
      <bottom/>
      <diagonal/>
    </border>
  </borders>
  <cellStyleXfs count="1">
    <xf numFmtId="0" fontId="0" fillId="0" borderId="0"/>
  </cellStyleXfs>
  <cellXfs count="194">
    <xf numFmtId="0" fontId="0" fillId="0" borderId="0" xfId="0" applyAlignment="1">
      <alignment vertical="top" wrapText="1"/>
    </xf>
    <xf numFmtId="0" fontId="2" fillId="0" borderId="0" xfId="0" applyFont="1" applyAlignment="1">
      <alignment vertical="top" wrapText="1"/>
    </xf>
    <xf numFmtId="0" fontId="3" fillId="2" borderId="1" xfId="0" applyFont="1" applyFill="1" applyBorder="1" applyAlignment="1">
      <alignment vertical="top" wrapText="1"/>
    </xf>
    <xf numFmtId="49" fontId="3" fillId="2" borderId="1" xfId="0" applyNumberFormat="1" applyFont="1" applyFill="1" applyBorder="1" applyAlignment="1">
      <alignment vertical="top" wrapText="1"/>
    </xf>
    <xf numFmtId="0" fontId="3" fillId="2" borderId="2" xfId="0" applyFont="1" applyFill="1" applyBorder="1" applyAlignment="1">
      <alignment vertical="top" wrapText="1"/>
    </xf>
    <xf numFmtId="0" fontId="4" fillId="3" borderId="2" xfId="0" applyFont="1" applyFill="1" applyBorder="1" applyAlignment="1">
      <alignment vertical="top" wrapText="1"/>
    </xf>
    <xf numFmtId="49" fontId="4" fillId="4" borderId="2" xfId="0" applyNumberFormat="1" applyFont="1" applyFill="1" applyBorder="1" applyAlignment="1">
      <alignment vertical="top" wrapText="1"/>
    </xf>
    <xf numFmtId="0" fontId="3" fillId="2" borderId="3" xfId="0" applyFont="1" applyFill="1" applyBorder="1" applyAlignment="1">
      <alignment vertical="top" wrapText="1"/>
    </xf>
    <xf numFmtId="49" fontId="4" fillId="5" borderId="3" xfId="0" applyNumberFormat="1" applyFont="1" applyFill="1" applyBorder="1" applyAlignment="1">
      <alignment vertical="top" wrapText="1"/>
    </xf>
    <xf numFmtId="49" fontId="5" fillId="0" borderId="4" xfId="0" applyNumberFormat="1" applyFont="1" applyBorder="1" applyAlignment="1">
      <alignment vertical="top" wrapText="1"/>
    </xf>
    <xf numFmtId="49" fontId="5" fillId="0" borderId="5" xfId="0" applyNumberFormat="1" applyFont="1" applyBorder="1" applyAlignment="1">
      <alignment vertical="top" wrapText="1"/>
    </xf>
    <xf numFmtId="0" fontId="3" fillId="2" borderId="6" xfId="0" applyFont="1" applyFill="1" applyBorder="1" applyAlignment="1">
      <alignment vertical="top" wrapText="1"/>
    </xf>
    <xf numFmtId="49" fontId="4" fillId="5" borderId="6" xfId="0" applyNumberFormat="1" applyFont="1" applyFill="1" applyBorder="1" applyAlignment="1">
      <alignment vertical="top" wrapText="1"/>
    </xf>
    <xf numFmtId="0" fontId="2" fillId="0" borderId="10" xfId="0" applyFont="1" applyBorder="1" applyAlignment="1">
      <alignment vertical="top" wrapText="1"/>
    </xf>
    <xf numFmtId="0" fontId="4" fillId="5" borderId="6" xfId="0" applyFont="1" applyFill="1" applyBorder="1" applyAlignment="1">
      <alignment vertical="top" wrapText="1"/>
    </xf>
    <xf numFmtId="0" fontId="3" fillId="2" borderId="11" xfId="0" applyFont="1" applyFill="1" applyBorder="1" applyAlignment="1">
      <alignment vertical="top" wrapText="1"/>
    </xf>
    <xf numFmtId="0" fontId="4" fillId="5" borderId="11" xfId="0" applyFont="1" applyFill="1" applyBorder="1" applyAlignment="1">
      <alignment vertical="top" wrapText="1"/>
    </xf>
    <xf numFmtId="0" fontId="4" fillId="5" borderId="1" xfId="0" applyFont="1" applyFill="1" applyBorder="1" applyAlignment="1">
      <alignment vertical="top" wrapText="1"/>
    </xf>
    <xf numFmtId="49" fontId="2" fillId="0" borderId="10" xfId="0" applyNumberFormat="1" applyFont="1" applyBorder="1" applyAlignment="1">
      <alignment vertical="top" wrapText="1"/>
    </xf>
    <xf numFmtId="0" fontId="8" fillId="9" borderId="1" xfId="0" applyFont="1" applyFill="1" applyBorder="1" applyAlignment="1">
      <alignment vertical="top" wrapText="1"/>
    </xf>
    <xf numFmtId="49" fontId="8" fillId="9" borderId="1" xfId="0" applyNumberFormat="1" applyFont="1" applyFill="1" applyBorder="1" applyAlignment="1">
      <alignment vertical="top" wrapText="1"/>
    </xf>
    <xf numFmtId="0" fontId="9" fillId="9" borderId="1" xfId="0" applyFont="1" applyFill="1" applyBorder="1" applyAlignment="1">
      <alignment vertical="top" wrapText="1"/>
    </xf>
    <xf numFmtId="49" fontId="4" fillId="5" borderId="1" xfId="0" applyNumberFormat="1" applyFont="1" applyFill="1" applyBorder="1" applyAlignment="1">
      <alignment vertical="top" wrapText="1"/>
    </xf>
    <xf numFmtId="0" fontId="3" fillId="2" borderId="17" xfId="0" applyFont="1" applyFill="1" applyBorder="1" applyAlignment="1">
      <alignment vertical="top" wrapText="1"/>
    </xf>
    <xf numFmtId="0" fontId="4" fillId="5" borderId="17" xfId="0" applyFont="1" applyFill="1" applyBorder="1" applyAlignment="1">
      <alignment vertical="top" wrapText="1"/>
    </xf>
    <xf numFmtId="0" fontId="2" fillId="0" borderId="18" xfId="0" applyFont="1" applyBorder="1" applyAlignment="1">
      <alignment vertical="top" wrapText="1"/>
    </xf>
    <xf numFmtId="1" fontId="2" fillId="3" borderId="6" xfId="0" applyNumberFormat="1" applyFont="1" applyFill="1" applyBorder="1" applyAlignment="1">
      <alignment vertical="top" wrapText="1"/>
    </xf>
    <xf numFmtId="10" fontId="2" fillId="3" borderId="6" xfId="0" applyNumberFormat="1" applyFont="1" applyFill="1" applyBorder="1" applyAlignment="1">
      <alignment vertical="top" wrapText="1"/>
    </xf>
    <xf numFmtId="1" fontId="2" fillId="3" borderId="1" xfId="0" applyNumberFormat="1" applyFont="1" applyFill="1" applyBorder="1" applyAlignment="1">
      <alignment vertical="top" wrapText="1"/>
    </xf>
    <xf numFmtId="49" fontId="4" fillId="5" borderId="11" xfId="0" applyNumberFormat="1" applyFont="1" applyFill="1" applyBorder="1" applyAlignment="1">
      <alignment vertical="top" wrapText="1"/>
    </xf>
    <xf numFmtId="1" fontId="2" fillId="3" borderId="11" xfId="0" applyNumberFormat="1" applyFont="1" applyFill="1" applyBorder="1" applyAlignment="1">
      <alignment vertical="top" wrapText="1"/>
    </xf>
    <xf numFmtId="10" fontId="2" fillId="3" borderId="11" xfId="0" applyNumberFormat="1" applyFont="1" applyFill="1" applyBorder="1" applyAlignment="1">
      <alignment vertical="top" wrapText="1"/>
    </xf>
    <xf numFmtId="0" fontId="2" fillId="0" borderId="19" xfId="0" applyFont="1" applyBorder="1" applyAlignment="1">
      <alignment vertical="top" wrapText="1"/>
    </xf>
    <xf numFmtId="49" fontId="4" fillId="5" borderId="17" xfId="0" applyNumberFormat="1" applyFont="1" applyFill="1" applyBorder="1" applyAlignment="1">
      <alignment vertical="top" wrapText="1"/>
    </xf>
    <xf numFmtId="2" fontId="2" fillId="3" borderId="6" xfId="0" applyNumberFormat="1" applyFont="1" applyFill="1" applyBorder="1" applyAlignment="1">
      <alignment vertical="top" wrapText="1"/>
    </xf>
    <xf numFmtId="10" fontId="2" fillId="3" borderId="17" xfId="0" applyNumberFormat="1" applyFont="1" applyFill="1" applyBorder="1" applyAlignment="1">
      <alignment vertical="top" wrapText="1"/>
    </xf>
    <xf numFmtId="0" fontId="2" fillId="3" borderId="17" xfId="0" applyFont="1" applyFill="1" applyBorder="1" applyAlignment="1">
      <alignment vertical="top" wrapText="1"/>
    </xf>
    <xf numFmtId="0" fontId="2" fillId="3" borderId="6" xfId="0" applyFont="1" applyFill="1" applyBorder="1" applyAlignment="1">
      <alignment vertical="top" wrapText="1"/>
    </xf>
    <xf numFmtId="164" fontId="2" fillId="3" borderId="6" xfId="0" applyNumberFormat="1" applyFont="1" applyFill="1" applyBorder="1" applyAlignment="1">
      <alignment vertical="top" wrapText="1"/>
    </xf>
    <xf numFmtId="49" fontId="3" fillId="2" borderId="6" xfId="0" applyNumberFormat="1" applyFont="1" applyFill="1" applyBorder="1" applyAlignment="1">
      <alignment vertical="top" wrapText="1"/>
    </xf>
    <xf numFmtId="2" fontId="2" fillId="3" borderId="6" xfId="0" applyNumberFormat="1" applyFont="1" applyFill="1" applyBorder="1" applyAlignment="1">
      <alignment horizontal="right" vertical="top" wrapText="1"/>
    </xf>
    <xf numFmtId="2" fontId="2" fillId="6" borderId="6" xfId="0" applyNumberFormat="1" applyFont="1" applyFill="1" applyBorder="1" applyAlignment="1">
      <alignment horizontal="right" vertical="top" wrapText="1"/>
    </xf>
    <xf numFmtId="0" fontId="3" fillId="2" borderId="20" xfId="0" applyFont="1" applyFill="1" applyBorder="1" applyAlignment="1">
      <alignment vertical="top" wrapText="1"/>
    </xf>
    <xf numFmtId="0" fontId="4" fillId="5" borderId="21" xfId="0" applyFont="1" applyFill="1" applyBorder="1" applyAlignment="1">
      <alignment vertical="top" wrapText="1"/>
    </xf>
    <xf numFmtId="0" fontId="2" fillId="0" borderId="22" xfId="0" applyFont="1" applyBorder="1" applyAlignment="1">
      <alignment vertical="top" wrapText="1"/>
    </xf>
    <xf numFmtId="0" fontId="2" fillId="0" borderId="23" xfId="0" applyFont="1" applyBorder="1" applyAlignment="1">
      <alignment vertical="top" wrapText="1"/>
    </xf>
    <xf numFmtId="0" fontId="4" fillId="3" borderId="17" xfId="0" applyFont="1" applyFill="1" applyBorder="1" applyAlignment="1">
      <alignment vertical="top" wrapText="1"/>
    </xf>
    <xf numFmtId="49" fontId="4" fillId="4" borderId="17" xfId="0" applyNumberFormat="1" applyFont="1" applyFill="1" applyBorder="1" applyAlignment="1">
      <alignment vertical="top" wrapText="1"/>
    </xf>
    <xf numFmtId="0" fontId="3" fillId="8" borderId="6" xfId="0" applyFont="1" applyFill="1" applyBorder="1" applyAlignment="1">
      <alignment vertical="top" wrapText="1"/>
    </xf>
    <xf numFmtId="49" fontId="10" fillId="8" borderId="6" xfId="0" applyNumberFormat="1" applyFont="1" applyFill="1" applyBorder="1" applyAlignment="1">
      <alignment horizontal="right" vertical="top" wrapText="1"/>
    </xf>
    <xf numFmtId="0" fontId="7" fillId="8" borderId="24" xfId="0" applyFont="1" applyFill="1" applyBorder="1" applyAlignment="1">
      <alignment horizontal="left" vertical="top" wrapText="1"/>
    </xf>
    <xf numFmtId="0" fontId="8" fillId="9" borderId="11" xfId="0" applyFont="1" applyFill="1" applyBorder="1" applyAlignment="1">
      <alignment vertical="top" wrapText="1"/>
    </xf>
    <xf numFmtId="49" fontId="8" fillId="9" borderId="11" xfId="0" applyNumberFormat="1" applyFont="1" applyFill="1" applyBorder="1" applyAlignment="1">
      <alignment vertical="top" wrapText="1"/>
    </xf>
    <xf numFmtId="0" fontId="2" fillId="0" borderId="10" xfId="0" applyFont="1" applyBorder="1" applyAlignment="1">
      <alignment horizontal="left" vertical="top" wrapText="1"/>
    </xf>
    <xf numFmtId="1" fontId="2" fillId="6" borderId="1" xfId="0" applyNumberFormat="1" applyFont="1" applyFill="1" applyBorder="1" applyAlignment="1">
      <alignment horizontal="left" vertical="top" wrapText="1"/>
    </xf>
    <xf numFmtId="1" fontId="2" fillId="0" borderId="10" xfId="0" applyNumberFormat="1" applyFont="1" applyBorder="1" applyAlignment="1">
      <alignment horizontal="left" vertical="top" wrapText="1"/>
    </xf>
    <xf numFmtId="1" fontId="2" fillId="3" borderId="1" xfId="0" applyNumberFormat="1" applyFont="1" applyFill="1" applyBorder="1" applyAlignment="1">
      <alignment horizontal="right" vertical="top" wrapText="1"/>
    </xf>
    <xf numFmtId="1" fontId="2" fillId="7" borderId="1" xfId="0" applyNumberFormat="1" applyFont="1" applyFill="1" applyBorder="1" applyAlignment="1">
      <alignment horizontal="right" vertical="top" wrapText="1"/>
    </xf>
    <xf numFmtId="1" fontId="2" fillId="0" borderId="10" xfId="0" applyNumberFormat="1" applyFont="1" applyBorder="1" applyAlignment="1">
      <alignment horizontal="right" vertical="top" wrapText="1"/>
    </xf>
    <xf numFmtId="0" fontId="7" fillId="8" borderId="1" xfId="0" applyFont="1" applyFill="1" applyBorder="1" applyAlignment="1">
      <alignment horizontal="left" vertical="top" wrapText="1"/>
    </xf>
    <xf numFmtId="0" fontId="3" fillId="2" borderId="23" xfId="0" applyFont="1" applyFill="1" applyBorder="1" applyAlignment="1">
      <alignment vertical="top" wrapText="1"/>
    </xf>
    <xf numFmtId="0" fontId="4" fillId="5" borderId="25" xfId="0" applyFont="1" applyFill="1" applyBorder="1" applyAlignment="1">
      <alignment vertical="top" wrapText="1"/>
    </xf>
    <xf numFmtId="1" fontId="2" fillId="0" borderId="22" xfId="0" applyNumberFormat="1" applyFont="1" applyBorder="1" applyAlignment="1">
      <alignment horizontal="right" vertical="top" wrapText="1"/>
    </xf>
    <xf numFmtId="1" fontId="2" fillId="0" borderId="23" xfId="0" applyNumberFormat="1" applyFont="1" applyBorder="1" applyAlignment="1">
      <alignment horizontal="right" vertical="top" wrapText="1"/>
    </xf>
    <xf numFmtId="49" fontId="4" fillId="5" borderId="25" xfId="0" applyNumberFormat="1" applyFont="1" applyFill="1" applyBorder="1" applyAlignment="1">
      <alignment vertical="top" wrapText="1"/>
    </xf>
    <xf numFmtId="1" fontId="2" fillId="6" borderId="23" xfId="0" applyNumberFormat="1" applyFont="1" applyFill="1" applyBorder="1" applyAlignment="1">
      <alignment horizontal="right" vertical="top" wrapText="1"/>
    </xf>
    <xf numFmtId="0" fontId="2" fillId="0" borderId="18" xfId="0" applyFont="1" applyBorder="1" applyAlignment="1">
      <alignment horizontal="right" vertical="top" wrapText="1"/>
    </xf>
    <xf numFmtId="0" fontId="2" fillId="0" borderId="10" xfId="0" applyFont="1" applyBorder="1" applyAlignment="1">
      <alignment horizontal="right" vertical="top" wrapText="1"/>
    </xf>
    <xf numFmtId="49" fontId="3" fillId="2" borderId="11" xfId="0" applyNumberFormat="1" applyFont="1" applyFill="1" applyBorder="1" applyAlignment="1">
      <alignment vertical="top" wrapText="1"/>
    </xf>
    <xf numFmtId="2" fontId="2" fillId="0" borderId="19" xfId="0" applyNumberFormat="1" applyFont="1" applyBorder="1" applyAlignment="1">
      <alignment horizontal="right" vertical="top" wrapText="1"/>
    </xf>
    <xf numFmtId="2" fontId="2" fillId="6" borderId="11" xfId="0" applyNumberFormat="1" applyFont="1" applyFill="1" applyBorder="1" applyAlignment="1">
      <alignment horizontal="right" vertical="top" wrapText="1"/>
    </xf>
    <xf numFmtId="0" fontId="2" fillId="0" borderId="26" xfId="0" applyFont="1" applyBorder="1" applyAlignment="1">
      <alignment vertical="top" wrapText="1"/>
    </xf>
    <xf numFmtId="0" fontId="2" fillId="0" borderId="27" xfId="0" applyFont="1" applyBorder="1" applyAlignment="1">
      <alignment vertical="top" wrapText="1"/>
    </xf>
    <xf numFmtId="2" fontId="2" fillId="0" borderId="10" xfId="0" applyNumberFormat="1" applyFont="1" applyBorder="1" applyAlignment="1">
      <alignment horizontal="right" vertical="top" wrapText="1"/>
    </xf>
    <xf numFmtId="49" fontId="11" fillId="5" borderId="1" xfId="0" applyNumberFormat="1" applyFont="1" applyFill="1" applyBorder="1" applyAlignment="1">
      <alignment horizontal="center" vertical="top" wrapText="1"/>
    </xf>
    <xf numFmtId="1" fontId="2" fillId="6" borderId="1" xfId="0" applyNumberFormat="1" applyFont="1" applyFill="1" applyBorder="1" applyAlignment="1">
      <alignment horizontal="right" vertical="top" wrapText="1"/>
    </xf>
    <xf numFmtId="49" fontId="11" fillId="5" borderId="17" xfId="0" applyNumberFormat="1" applyFont="1" applyFill="1" applyBorder="1" applyAlignment="1">
      <alignment horizontal="center" vertical="top" wrapText="1"/>
    </xf>
    <xf numFmtId="1" fontId="2" fillId="0" borderId="18" xfId="0" applyNumberFormat="1" applyFont="1" applyBorder="1" applyAlignment="1">
      <alignment horizontal="right" vertical="top" wrapText="1"/>
    </xf>
    <xf numFmtId="1" fontId="2" fillId="3" borderId="17" xfId="0" applyNumberFormat="1" applyFont="1" applyFill="1" applyBorder="1" applyAlignment="1">
      <alignment horizontal="right" vertical="top" wrapText="1"/>
    </xf>
    <xf numFmtId="49" fontId="11" fillId="5" borderId="6" xfId="0" applyNumberFormat="1" applyFont="1" applyFill="1" applyBorder="1" applyAlignment="1">
      <alignment horizontal="center" vertical="top" wrapText="1"/>
    </xf>
    <xf numFmtId="1" fontId="2" fillId="0" borderId="0" xfId="0" applyNumberFormat="1" applyFont="1" applyAlignment="1">
      <alignment horizontal="right" vertical="top" wrapText="1"/>
    </xf>
    <xf numFmtId="1" fontId="2" fillId="3" borderId="6" xfId="0" applyNumberFormat="1" applyFont="1" applyFill="1" applyBorder="1" applyAlignment="1">
      <alignment horizontal="right" vertical="top" wrapText="1"/>
    </xf>
    <xf numFmtId="49" fontId="11" fillId="5" borderId="11" xfId="0" applyNumberFormat="1" applyFont="1" applyFill="1" applyBorder="1" applyAlignment="1">
      <alignment horizontal="center" vertical="top" wrapText="1"/>
    </xf>
    <xf numFmtId="1" fontId="2" fillId="0" borderId="19" xfId="0" applyNumberFormat="1" applyFont="1" applyBorder="1" applyAlignment="1">
      <alignment horizontal="right" vertical="top" wrapText="1"/>
    </xf>
    <xf numFmtId="1" fontId="2" fillId="6" borderId="11" xfId="0" applyNumberFormat="1" applyFont="1" applyFill="1" applyBorder="1" applyAlignment="1">
      <alignment horizontal="right" vertical="top" wrapText="1"/>
    </xf>
    <xf numFmtId="165" fontId="2" fillId="0" borderId="10" xfId="0" applyNumberFormat="1" applyFont="1" applyBorder="1" applyAlignment="1">
      <alignment horizontal="right" vertical="top" wrapText="1"/>
    </xf>
    <xf numFmtId="49" fontId="3" fillId="2" borderId="17" xfId="0" applyNumberFormat="1" applyFont="1" applyFill="1" applyBorder="1" applyAlignment="1">
      <alignment vertical="top" wrapText="1"/>
    </xf>
    <xf numFmtId="1" fontId="2" fillId="6" borderId="17" xfId="0" applyNumberFormat="1" applyFont="1" applyFill="1" applyBorder="1" applyAlignment="1">
      <alignment horizontal="right" vertical="top" wrapText="1"/>
    </xf>
    <xf numFmtId="0" fontId="3" fillId="2" borderId="28" xfId="0" applyFont="1" applyFill="1" applyBorder="1" applyAlignment="1">
      <alignment vertical="top" wrapText="1"/>
    </xf>
    <xf numFmtId="0" fontId="4" fillId="5" borderId="29" xfId="0" applyFont="1" applyFill="1" applyBorder="1" applyAlignment="1">
      <alignment vertical="top" wrapText="1"/>
    </xf>
    <xf numFmtId="1" fontId="2" fillId="0" borderId="30" xfId="0" applyNumberFormat="1" applyFont="1" applyBorder="1" applyAlignment="1">
      <alignment horizontal="right" vertical="top" wrapText="1"/>
    </xf>
    <xf numFmtId="1" fontId="2" fillId="0" borderId="31" xfId="0" applyNumberFormat="1" applyFont="1" applyBorder="1" applyAlignment="1">
      <alignment horizontal="right" vertical="top" wrapText="1"/>
    </xf>
    <xf numFmtId="165" fontId="2" fillId="0" borderId="23" xfId="0" applyNumberFormat="1" applyFont="1" applyBorder="1" applyAlignment="1">
      <alignment horizontal="right" vertical="top" wrapText="1"/>
    </xf>
    <xf numFmtId="0" fontId="3" fillId="8" borderId="24" xfId="0" applyFont="1" applyFill="1" applyBorder="1" applyAlignment="1">
      <alignment vertical="top" wrapText="1"/>
    </xf>
    <xf numFmtId="49" fontId="10" fillId="8" borderId="24" xfId="0" applyNumberFormat="1" applyFont="1" applyFill="1" applyBorder="1" applyAlignment="1">
      <alignment horizontal="right" vertical="top" wrapText="1"/>
    </xf>
    <xf numFmtId="0" fontId="3" fillId="8" borderId="1" xfId="0" applyFont="1" applyFill="1" applyBorder="1" applyAlignment="1">
      <alignment vertical="top" wrapText="1"/>
    </xf>
    <xf numFmtId="49" fontId="10" fillId="8" borderId="1" xfId="0" applyNumberFormat="1" applyFont="1" applyFill="1" applyBorder="1" applyAlignment="1">
      <alignment horizontal="right" vertical="top" wrapText="1"/>
    </xf>
    <xf numFmtId="0" fontId="8" fillId="9" borderId="23" xfId="0" applyFont="1" applyFill="1" applyBorder="1" applyAlignment="1">
      <alignment vertical="top" wrapText="1"/>
    </xf>
    <xf numFmtId="49" fontId="8" fillId="9" borderId="25" xfId="0" applyNumberFormat="1" applyFont="1" applyFill="1" applyBorder="1" applyAlignment="1">
      <alignment vertical="top" wrapText="1"/>
    </xf>
    <xf numFmtId="0" fontId="9" fillId="9" borderId="23" xfId="0" applyFont="1" applyFill="1" applyBorder="1" applyAlignment="1">
      <alignment vertical="top" wrapText="1"/>
    </xf>
    <xf numFmtId="0" fontId="3" fillId="2" borderId="36" xfId="0" applyFont="1" applyFill="1" applyBorder="1" applyAlignment="1">
      <alignment vertical="top" wrapText="1"/>
    </xf>
    <xf numFmtId="0" fontId="4" fillId="5" borderId="37" xfId="0" applyFont="1" applyFill="1" applyBorder="1" applyAlignment="1">
      <alignment vertical="top" wrapText="1"/>
    </xf>
    <xf numFmtId="1" fontId="2" fillId="0" borderId="38" xfId="0" applyNumberFormat="1" applyFont="1" applyBorder="1" applyAlignment="1">
      <alignment horizontal="right" vertical="top" wrapText="1"/>
    </xf>
    <xf numFmtId="1" fontId="2" fillId="0" borderId="35" xfId="0" applyNumberFormat="1" applyFont="1" applyBorder="1" applyAlignment="1">
      <alignment horizontal="right" vertical="top" wrapText="1"/>
    </xf>
    <xf numFmtId="49" fontId="4" fillId="5" borderId="29" xfId="0" applyNumberFormat="1" applyFont="1" applyFill="1" applyBorder="1" applyAlignment="1">
      <alignment vertical="top" wrapText="1"/>
    </xf>
    <xf numFmtId="1" fontId="2" fillId="0" borderId="39" xfId="0" applyNumberFormat="1" applyFont="1" applyBorder="1" applyAlignment="1">
      <alignment horizontal="right" vertical="top" wrapText="1"/>
    </xf>
    <xf numFmtId="1" fontId="2" fillId="0" borderId="18" xfId="0" applyNumberFormat="1" applyFont="1" applyBorder="1" applyAlignment="1">
      <alignment horizontal="left" vertical="top" wrapText="1"/>
    </xf>
    <xf numFmtId="0" fontId="2" fillId="0" borderId="18" xfId="0" applyFont="1" applyBorder="1" applyAlignment="1">
      <alignment horizontal="left" vertical="top" wrapText="1"/>
    </xf>
    <xf numFmtId="1" fontId="2" fillId="7" borderId="6" xfId="0" applyNumberFormat="1" applyFont="1" applyFill="1" applyBorder="1" applyAlignment="1">
      <alignment horizontal="right" vertical="top" wrapText="1"/>
    </xf>
    <xf numFmtId="0" fontId="2" fillId="0" borderId="19" xfId="0" applyFont="1" applyBorder="1" applyAlignment="1">
      <alignment horizontal="left" vertical="top" wrapText="1"/>
    </xf>
    <xf numFmtId="1" fontId="2" fillId="3" borderId="11" xfId="0" applyNumberFormat="1" applyFont="1" applyFill="1" applyBorder="1" applyAlignment="1">
      <alignment horizontal="right" vertical="top" wrapText="1"/>
    </xf>
    <xf numFmtId="0" fontId="8" fillId="9" borderId="17" xfId="0" applyFont="1" applyFill="1" applyBorder="1" applyAlignment="1">
      <alignment vertical="top" wrapText="1"/>
    </xf>
    <xf numFmtId="49" fontId="8" fillId="9" borderId="17" xfId="0" applyNumberFormat="1" applyFont="1" applyFill="1" applyBorder="1" applyAlignment="1">
      <alignment vertical="top" wrapText="1"/>
    </xf>
    <xf numFmtId="1" fontId="4" fillId="5" borderId="1" xfId="0" applyNumberFormat="1" applyFont="1" applyFill="1" applyBorder="1" applyAlignment="1">
      <alignment horizontal="left" vertical="top" wrapText="1"/>
    </xf>
    <xf numFmtId="1" fontId="4" fillId="5" borderId="17" xfId="0" applyNumberFormat="1" applyFont="1" applyFill="1" applyBorder="1" applyAlignment="1">
      <alignment horizontal="left" vertical="top" wrapText="1"/>
    </xf>
    <xf numFmtId="1" fontId="2" fillId="7" borderId="17" xfId="0" applyNumberFormat="1" applyFont="1" applyFill="1" applyBorder="1" applyAlignment="1">
      <alignment horizontal="right" vertical="top" wrapText="1"/>
    </xf>
    <xf numFmtId="1" fontId="4" fillId="5" borderId="6" xfId="0" applyNumberFormat="1" applyFont="1" applyFill="1" applyBorder="1" applyAlignment="1">
      <alignment horizontal="left" vertical="top" wrapText="1"/>
    </xf>
    <xf numFmtId="1" fontId="2" fillId="3" borderId="43" xfId="0" applyNumberFormat="1" applyFont="1" applyFill="1" applyBorder="1" applyAlignment="1">
      <alignment horizontal="right" vertical="top" wrapText="1"/>
    </xf>
    <xf numFmtId="1" fontId="2" fillId="7" borderId="44" xfId="0" applyNumberFormat="1" applyFont="1" applyFill="1" applyBorder="1" applyAlignment="1">
      <alignment horizontal="right" vertical="top" wrapText="1"/>
    </xf>
    <xf numFmtId="165" fontId="2" fillId="0" borderId="45" xfId="0" applyNumberFormat="1" applyFont="1" applyBorder="1" applyAlignment="1">
      <alignment horizontal="right" vertical="top" wrapText="1"/>
    </xf>
    <xf numFmtId="1" fontId="2" fillId="0" borderId="45" xfId="0" applyNumberFormat="1" applyFont="1" applyBorder="1" applyAlignment="1">
      <alignment horizontal="right" vertical="top" wrapText="1"/>
    </xf>
    <xf numFmtId="1" fontId="2" fillId="6" borderId="36" xfId="0" applyNumberFormat="1" applyFont="1" applyFill="1" applyBorder="1" applyAlignment="1">
      <alignment horizontal="right" vertical="top" wrapText="1"/>
    </xf>
    <xf numFmtId="1" fontId="2" fillId="6" borderId="46" xfId="0" applyNumberFormat="1" applyFont="1" applyFill="1" applyBorder="1" applyAlignment="1">
      <alignment horizontal="right" vertical="top" wrapText="1"/>
    </xf>
    <xf numFmtId="1" fontId="2" fillId="6" borderId="47" xfId="0" applyNumberFormat="1" applyFont="1" applyFill="1" applyBorder="1" applyAlignment="1">
      <alignment horizontal="right" vertical="top" wrapText="1"/>
    </xf>
    <xf numFmtId="0" fontId="8" fillId="9" borderId="6" xfId="0" applyFont="1" applyFill="1" applyBorder="1" applyAlignment="1">
      <alignment vertical="top" wrapText="1"/>
    </xf>
    <xf numFmtId="49" fontId="2" fillId="0" borderId="10" xfId="0" applyNumberFormat="1" applyFont="1" applyBorder="1" applyAlignment="1">
      <alignment horizontal="left" vertical="top" wrapText="1"/>
    </xf>
    <xf numFmtId="49" fontId="4" fillId="5" borderId="1" xfId="0" applyNumberFormat="1" applyFont="1" applyFill="1" applyBorder="1" applyAlignment="1">
      <alignment horizontal="right" vertical="top" wrapText="1"/>
    </xf>
    <xf numFmtId="49" fontId="4" fillId="5" borderId="1" xfId="0" applyNumberFormat="1" applyFont="1" applyFill="1" applyBorder="1" applyAlignment="1">
      <alignment horizontal="left" vertical="top" wrapText="1"/>
    </xf>
    <xf numFmtId="49" fontId="4" fillId="5" borderId="17" xfId="0" applyNumberFormat="1" applyFont="1" applyFill="1" applyBorder="1" applyAlignment="1">
      <alignment horizontal="left" vertical="top" wrapText="1"/>
    </xf>
    <xf numFmtId="49" fontId="4" fillId="5" borderId="6" xfId="0" applyNumberFormat="1" applyFont="1" applyFill="1" applyBorder="1" applyAlignment="1">
      <alignment horizontal="right" vertical="top" wrapText="1"/>
    </xf>
    <xf numFmtId="0" fontId="2" fillId="0" borderId="0" xfId="0" applyFont="1" applyAlignment="1">
      <alignment horizontal="left" vertical="top" wrapText="1"/>
    </xf>
    <xf numFmtId="1" fontId="2" fillId="0" borderId="48" xfId="0" applyNumberFormat="1" applyFont="1" applyBorder="1" applyAlignment="1">
      <alignment horizontal="right" vertical="top" wrapText="1"/>
    </xf>
    <xf numFmtId="1" fontId="2" fillId="6" borderId="6" xfId="0" applyNumberFormat="1" applyFont="1" applyFill="1" applyBorder="1" applyAlignment="1">
      <alignment horizontal="right" vertical="top" wrapText="1"/>
    </xf>
    <xf numFmtId="1" fontId="2" fillId="6" borderId="44" xfId="0" applyNumberFormat="1" applyFont="1" applyFill="1" applyBorder="1" applyAlignment="1">
      <alignment horizontal="right" vertical="top" wrapText="1"/>
    </xf>
    <xf numFmtId="1" fontId="2" fillId="0" borderId="49" xfId="0" applyNumberFormat="1" applyFont="1" applyBorder="1" applyAlignment="1">
      <alignment horizontal="right" vertical="top" wrapText="1"/>
    </xf>
    <xf numFmtId="1" fontId="2" fillId="0" borderId="50" xfId="0" applyNumberFormat="1" applyFont="1" applyBorder="1" applyAlignment="1">
      <alignment horizontal="right" vertical="top" wrapText="1"/>
    </xf>
    <xf numFmtId="1" fontId="2" fillId="0" borderId="51" xfId="0" applyNumberFormat="1" applyFont="1" applyBorder="1" applyAlignment="1">
      <alignment horizontal="right" vertical="top" wrapText="1"/>
    </xf>
    <xf numFmtId="1" fontId="2" fillId="0" borderId="26" xfId="0" applyNumberFormat="1" applyFont="1" applyBorder="1" applyAlignment="1">
      <alignment horizontal="right" vertical="top" wrapText="1"/>
    </xf>
    <xf numFmtId="0" fontId="3" fillId="2" borderId="1" xfId="0" applyFont="1" applyFill="1" applyBorder="1" applyAlignment="1">
      <alignment horizontal="left" vertical="top" wrapText="1"/>
    </xf>
    <xf numFmtId="49" fontId="3" fillId="2" borderId="1" xfId="0" applyNumberFormat="1" applyFont="1" applyFill="1" applyBorder="1" applyAlignment="1">
      <alignment horizontal="left" vertical="top" wrapText="1"/>
    </xf>
    <xf numFmtId="0" fontId="3" fillId="2" borderId="2" xfId="0" applyFont="1" applyFill="1" applyBorder="1" applyAlignment="1">
      <alignment horizontal="left" vertical="top" wrapText="1"/>
    </xf>
    <xf numFmtId="0" fontId="4" fillId="3" borderId="2" xfId="0" applyFont="1" applyFill="1" applyBorder="1" applyAlignment="1">
      <alignment horizontal="left" vertical="top" wrapText="1"/>
    </xf>
    <xf numFmtId="49" fontId="4" fillId="4" borderId="2" xfId="0" applyNumberFormat="1" applyFont="1" applyFill="1" applyBorder="1" applyAlignment="1">
      <alignment horizontal="left" vertical="top" wrapText="1"/>
    </xf>
    <xf numFmtId="49" fontId="3" fillId="2" borderId="17" xfId="0" applyNumberFormat="1" applyFont="1" applyFill="1" applyBorder="1" applyAlignment="1">
      <alignment horizontal="left" vertical="top" wrapText="1"/>
    </xf>
    <xf numFmtId="49" fontId="3" fillId="2" borderId="6" xfId="0" applyNumberFormat="1" applyFont="1" applyFill="1" applyBorder="1" applyAlignment="1">
      <alignment horizontal="left" vertical="top" wrapText="1"/>
    </xf>
    <xf numFmtId="1" fontId="2" fillId="0" borderId="0" xfId="0" applyNumberFormat="1" applyFont="1" applyAlignment="1">
      <alignment horizontal="left" vertical="top" wrapText="1"/>
    </xf>
    <xf numFmtId="2" fontId="2" fillId="0" borderId="0" xfId="0" applyNumberFormat="1" applyFont="1" applyAlignment="1">
      <alignment horizontal="left" vertical="top" wrapText="1"/>
    </xf>
    <xf numFmtId="49" fontId="3" fillId="2" borderId="11" xfId="0" applyNumberFormat="1" applyFont="1" applyFill="1" applyBorder="1" applyAlignment="1">
      <alignment horizontal="left" vertical="top" wrapText="1"/>
    </xf>
    <xf numFmtId="1" fontId="2" fillId="0" borderId="19" xfId="0" applyNumberFormat="1" applyFont="1" applyBorder="1" applyAlignment="1">
      <alignment horizontal="left" vertical="top" wrapText="1"/>
    </xf>
    <xf numFmtId="166" fontId="2" fillId="0" borderId="10" xfId="0" applyNumberFormat="1" applyFont="1" applyBorder="1" applyAlignment="1">
      <alignment horizontal="left" vertical="top" wrapText="1"/>
    </xf>
    <xf numFmtId="0" fontId="3" fillId="2" borderId="11" xfId="0" applyFont="1" applyFill="1" applyBorder="1" applyAlignment="1">
      <alignment horizontal="left" vertical="top" wrapText="1"/>
    </xf>
    <xf numFmtId="1" fontId="2" fillId="0" borderId="35" xfId="0" applyNumberFormat="1" applyFont="1" applyBorder="1" applyAlignment="1">
      <alignment horizontal="left" vertical="top" wrapText="1"/>
    </xf>
    <xf numFmtId="1" fontId="2" fillId="0" borderId="23" xfId="0" applyNumberFormat="1" applyFont="1" applyBorder="1" applyAlignment="1">
      <alignment horizontal="left" vertical="top" wrapText="1"/>
    </xf>
    <xf numFmtId="0" fontId="3" fillId="2" borderId="20" xfId="0" applyFont="1" applyFill="1" applyBorder="1" applyAlignment="1">
      <alignment horizontal="left" vertical="top" wrapText="1"/>
    </xf>
    <xf numFmtId="1" fontId="2" fillId="0" borderId="48" xfId="0" applyNumberFormat="1" applyFont="1" applyBorder="1" applyAlignment="1">
      <alignment horizontal="left" vertical="top" wrapText="1"/>
    </xf>
    <xf numFmtId="0" fontId="1" fillId="0" borderId="0" xfId="0" applyFont="1" applyAlignment="1">
      <alignment horizontal="center" vertical="center"/>
    </xf>
    <xf numFmtId="0" fontId="0" fillId="0" borderId="0" xfId="0" applyAlignment="1">
      <alignment vertical="top" wrapText="1"/>
    </xf>
    <xf numFmtId="49" fontId="7" fillId="8" borderId="7" xfId="0" applyNumberFormat="1" applyFont="1" applyFill="1" applyBorder="1" applyAlignment="1">
      <alignment vertical="top" wrapText="1"/>
    </xf>
    <xf numFmtId="0" fontId="6" fillId="0" borderId="8" xfId="0" applyFont="1" applyBorder="1" applyAlignment="1">
      <alignment vertical="top" wrapText="1"/>
    </xf>
    <xf numFmtId="0" fontId="6" fillId="0" borderId="9" xfId="0" applyFont="1" applyBorder="1" applyAlignment="1">
      <alignment vertical="top" wrapText="1"/>
    </xf>
    <xf numFmtId="49" fontId="2" fillId="9" borderId="12" xfId="0" applyNumberFormat="1" applyFont="1" applyFill="1" applyBorder="1" applyAlignment="1">
      <alignment wrapText="1"/>
    </xf>
    <xf numFmtId="0" fontId="6" fillId="0" borderId="13" xfId="0" applyFont="1" applyBorder="1" applyAlignment="1">
      <alignment vertical="top" wrapText="1"/>
    </xf>
    <xf numFmtId="0" fontId="6" fillId="0" borderId="14" xfId="0" applyFont="1" applyBorder="1" applyAlignment="1">
      <alignment vertical="top" wrapText="1"/>
    </xf>
    <xf numFmtId="0" fontId="2" fillId="3" borderId="15" xfId="0" applyFont="1" applyFill="1" applyBorder="1" applyAlignment="1">
      <alignment horizontal="left" vertical="top" wrapText="1"/>
    </xf>
    <xf numFmtId="0" fontId="6" fillId="0" borderId="10" xfId="0" applyFont="1" applyBorder="1" applyAlignment="1">
      <alignment vertical="top" wrapText="1"/>
    </xf>
    <xf numFmtId="0" fontId="6" fillId="0" borderId="16" xfId="0" applyFont="1" applyBorder="1" applyAlignment="1">
      <alignment vertical="top" wrapText="1"/>
    </xf>
    <xf numFmtId="49" fontId="2" fillId="6" borderId="15" xfId="0" applyNumberFormat="1" applyFont="1" applyFill="1" applyBorder="1" applyAlignment="1">
      <alignment horizontal="left" vertical="top" wrapText="1"/>
    </xf>
    <xf numFmtId="49" fontId="2" fillId="6" borderId="40" xfId="0" applyNumberFormat="1" applyFont="1" applyFill="1" applyBorder="1" applyAlignment="1">
      <alignment horizontal="left" vertical="top" wrapText="1"/>
    </xf>
    <xf numFmtId="0" fontId="6" fillId="0" borderId="41" xfId="0" applyFont="1" applyBorder="1" applyAlignment="1">
      <alignment vertical="top" wrapText="1"/>
    </xf>
    <xf numFmtId="0" fontId="6" fillId="0" borderId="42" xfId="0" applyFont="1" applyBorder="1" applyAlignment="1">
      <alignment vertical="top" wrapText="1"/>
    </xf>
    <xf numFmtId="0" fontId="2" fillId="6" borderId="12" xfId="0" applyFont="1" applyFill="1" applyBorder="1" applyAlignment="1">
      <alignment horizontal="left" vertical="top" wrapText="1"/>
    </xf>
    <xf numFmtId="0" fontId="2" fillId="6" borderId="15" xfId="0" applyFont="1" applyFill="1" applyBorder="1" applyAlignment="1">
      <alignment horizontal="left" vertical="top" wrapText="1"/>
    </xf>
    <xf numFmtId="49" fontId="2" fillId="9" borderId="40" xfId="0" applyNumberFormat="1" applyFont="1" applyFill="1" applyBorder="1" applyAlignment="1">
      <alignment wrapText="1"/>
    </xf>
    <xf numFmtId="49" fontId="2" fillId="6" borderId="7" xfId="0" applyNumberFormat="1" applyFont="1" applyFill="1" applyBorder="1" applyAlignment="1">
      <alignment horizontal="center" vertical="top" wrapText="1"/>
    </xf>
    <xf numFmtId="49" fontId="2" fillId="7" borderId="7" xfId="0" applyNumberFormat="1" applyFont="1" applyFill="1" applyBorder="1" applyAlignment="1">
      <alignment horizontal="center" vertical="top" wrapText="1"/>
    </xf>
    <xf numFmtId="49" fontId="2" fillId="3" borderId="7" xfId="0" applyNumberFormat="1" applyFont="1" applyFill="1" applyBorder="1" applyAlignment="1">
      <alignment horizontal="center" vertical="top" wrapText="1"/>
    </xf>
    <xf numFmtId="49" fontId="7" fillId="8" borderId="12" xfId="0" applyNumberFormat="1" applyFont="1" applyFill="1" applyBorder="1" applyAlignment="1">
      <alignment horizontal="center" vertical="top" wrapText="1"/>
    </xf>
    <xf numFmtId="0" fontId="2" fillId="9" borderId="15" xfId="0" applyFont="1" applyFill="1" applyBorder="1"/>
    <xf numFmtId="49" fontId="2" fillId="6" borderId="15" xfId="0" applyNumberFormat="1" applyFont="1" applyFill="1" applyBorder="1" applyAlignment="1">
      <alignment vertical="top" wrapText="1"/>
    </xf>
    <xf numFmtId="49" fontId="2" fillId="9" borderId="15" xfId="0" applyNumberFormat="1" applyFont="1" applyFill="1" applyBorder="1"/>
    <xf numFmtId="49" fontId="5" fillId="0" borderId="0" xfId="0" applyNumberFormat="1" applyFont="1" applyAlignment="1">
      <alignment horizontal="right" vertical="top" wrapText="1"/>
    </xf>
    <xf numFmtId="49" fontId="5" fillId="0" borderId="0" xfId="0" applyNumberFormat="1" applyFont="1" applyAlignment="1">
      <alignment vertical="top" wrapText="1"/>
    </xf>
    <xf numFmtId="49" fontId="5" fillId="0" borderId="18" xfId="0" applyNumberFormat="1" applyFont="1" applyBorder="1" applyAlignment="1">
      <alignment vertical="top" wrapText="1"/>
    </xf>
    <xf numFmtId="0" fontId="6" fillId="0" borderId="18" xfId="0" applyFont="1" applyBorder="1" applyAlignment="1">
      <alignment vertical="top" wrapText="1"/>
    </xf>
    <xf numFmtId="49" fontId="7" fillId="8" borderId="7" xfId="0" applyNumberFormat="1" applyFont="1" applyFill="1" applyBorder="1" applyAlignment="1">
      <alignment horizontal="left" vertical="top" wrapText="1"/>
    </xf>
    <xf numFmtId="49" fontId="2" fillId="9" borderId="15" xfId="0" applyNumberFormat="1" applyFont="1" applyFill="1" applyBorder="1" applyAlignment="1">
      <alignment wrapText="1"/>
    </xf>
    <xf numFmtId="49" fontId="7" fillId="8" borderId="15" xfId="0" applyNumberFormat="1" applyFont="1" applyFill="1" applyBorder="1" applyAlignment="1">
      <alignment vertical="top" wrapText="1"/>
    </xf>
    <xf numFmtId="49" fontId="2" fillId="9" borderId="34" xfId="0" applyNumberFormat="1" applyFont="1" applyFill="1" applyBorder="1" applyAlignment="1">
      <alignment wrapText="1"/>
    </xf>
    <xf numFmtId="0" fontId="6" fillId="0" borderId="35" xfId="0" applyFont="1" applyBorder="1" applyAlignment="1">
      <alignment vertical="top" wrapText="1"/>
    </xf>
    <xf numFmtId="49" fontId="7" fillId="8" borderId="32" xfId="0" applyNumberFormat="1" applyFont="1" applyFill="1" applyBorder="1" applyAlignment="1">
      <alignment horizontal="left" vertical="top" wrapText="1"/>
    </xf>
    <xf numFmtId="0" fontId="6" fillId="0" borderId="5" xfId="0" applyFont="1" applyBorder="1" applyAlignment="1">
      <alignment vertical="top" wrapText="1"/>
    </xf>
    <xf numFmtId="0" fontId="6" fillId="0" borderId="33" xfId="0" applyFont="1" applyBorder="1" applyAlignment="1">
      <alignment vertical="top" wrapText="1"/>
    </xf>
    <xf numFmtId="49" fontId="2" fillId="6" borderId="7" xfId="0" applyNumberFormat="1" applyFont="1" applyFill="1" applyBorder="1" applyAlignment="1">
      <alignment horizontal="left" vertical="top" wrapText="1"/>
    </xf>
    <xf numFmtId="0" fontId="2" fillId="6" borderId="7" xfId="0" applyFont="1" applyFill="1" applyBorder="1" applyAlignment="1">
      <alignment horizontal="left" vertical="top"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000"/>
  <sheetViews>
    <sheetView showGridLines="0" workbookViewId="0">
      <pane xSplit="2" ySplit="3" topLeftCell="C4" activePane="bottomRight" state="frozen"/>
      <selection pane="topRight" activeCell="C1" sqref="C1"/>
      <selection pane="bottomLeft" activeCell="A4" sqref="A4"/>
      <selection pane="bottomRight" activeCell="C4" sqref="C4"/>
    </sheetView>
  </sheetViews>
  <sheetFormatPr baseColWidth="10" defaultColWidth="14.42578125" defaultRowHeight="15" customHeight="1"/>
  <cols>
    <col min="1" max="1" width="6.7109375" customWidth="1"/>
    <col min="2" max="2" width="33.28515625" customWidth="1"/>
    <col min="3" max="12" width="13.28515625" customWidth="1"/>
    <col min="13" max="26" width="16.28515625" customWidth="1"/>
  </cols>
  <sheetData>
    <row r="1" spans="1:26" ht="27" customHeight="1">
      <c r="A1" s="155" t="s">
        <v>0</v>
      </c>
      <c r="B1" s="156"/>
      <c r="C1" s="156"/>
      <c r="D1" s="156"/>
      <c r="E1" s="156"/>
      <c r="F1" s="156"/>
      <c r="G1" s="156"/>
      <c r="H1" s="156"/>
      <c r="I1" s="156"/>
      <c r="J1" s="156"/>
      <c r="K1" s="156"/>
      <c r="L1" s="156"/>
      <c r="M1" s="1"/>
      <c r="N1" s="1"/>
      <c r="O1" s="1"/>
      <c r="P1" s="1"/>
      <c r="Q1" s="1"/>
      <c r="R1" s="1"/>
      <c r="S1" s="1"/>
      <c r="T1" s="1"/>
      <c r="U1" s="1"/>
      <c r="V1" s="1"/>
      <c r="W1" s="1"/>
      <c r="X1" s="1"/>
      <c r="Y1" s="1"/>
      <c r="Z1" s="1"/>
    </row>
    <row r="2" spans="1:26" ht="19.5" customHeight="1">
      <c r="A2" s="2"/>
      <c r="B2" s="2"/>
      <c r="C2" s="3" t="s">
        <v>1</v>
      </c>
      <c r="D2" s="3" t="s">
        <v>2</v>
      </c>
      <c r="E2" s="3" t="s">
        <v>3</v>
      </c>
      <c r="F2" s="3" t="s">
        <v>4</v>
      </c>
      <c r="G2" s="3" t="s">
        <v>5</v>
      </c>
      <c r="H2" s="3" t="s">
        <v>6</v>
      </c>
      <c r="I2" s="3" t="s">
        <v>7</v>
      </c>
      <c r="J2" s="3" t="s">
        <v>8</v>
      </c>
      <c r="K2" s="3" t="s">
        <v>9</v>
      </c>
      <c r="L2" s="2"/>
      <c r="M2" s="1"/>
      <c r="N2" s="1"/>
      <c r="O2" s="1"/>
      <c r="P2" s="1"/>
      <c r="Q2" s="1"/>
      <c r="R2" s="1"/>
      <c r="S2" s="1"/>
      <c r="T2" s="1"/>
      <c r="U2" s="1"/>
      <c r="V2" s="1"/>
      <c r="W2" s="1"/>
      <c r="X2" s="1"/>
      <c r="Y2" s="1"/>
      <c r="Z2" s="1"/>
    </row>
    <row r="3" spans="1:26" ht="32.25" customHeight="1">
      <c r="A3" s="4"/>
      <c r="B3" s="5" t="str">
        <f t="array" ref="B3">C11&amp;" / "&amp;C12</f>
        <v>FR / France</v>
      </c>
      <c r="C3" s="6" t="s">
        <v>10</v>
      </c>
      <c r="D3" s="6" t="s">
        <v>11</v>
      </c>
      <c r="E3" s="6" t="s">
        <v>12</v>
      </c>
      <c r="F3" s="6" t="s">
        <v>13</v>
      </c>
      <c r="G3" s="6" t="s">
        <v>14</v>
      </c>
      <c r="H3" s="6" t="s">
        <v>15</v>
      </c>
      <c r="I3" s="6" t="s">
        <v>16</v>
      </c>
      <c r="J3" s="6" t="s">
        <v>17</v>
      </c>
      <c r="K3" s="6" t="s">
        <v>18</v>
      </c>
      <c r="L3" s="6" t="s">
        <v>19</v>
      </c>
      <c r="M3" s="1"/>
      <c r="N3" s="1"/>
      <c r="O3" s="1"/>
      <c r="P3" s="1"/>
      <c r="Q3" s="1"/>
      <c r="R3" s="1"/>
      <c r="S3" s="1"/>
      <c r="T3" s="1"/>
      <c r="U3" s="1"/>
      <c r="V3" s="1"/>
      <c r="W3" s="1"/>
      <c r="X3" s="1"/>
      <c r="Y3" s="1"/>
      <c r="Z3" s="1"/>
    </row>
    <row r="4" spans="1:26" ht="80.25" customHeight="1">
      <c r="A4" s="7"/>
      <c r="B4" s="8" t="s">
        <v>20</v>
      </c>
      <c r="C4" s="9" t="s">
        <v>21</v>
      </c>
      <c r="D4" s="9" t="s">
        <v>22</v>
      </c>
      <c r="E4" s="9" t="s">
        <v>22</v>
      </c>
      <c r="F4" s="9" t="s">
        <v>22</v>
      </c>
      <c r="G4" s="9" t="s">
        <v>22</v>
      </c>
      <c r="H4" s="9" t="s">
        <v>23</v>
      </c>
      <c r="I4" s="9" t="s">
        <v>23</v>
      </c>
      <c r="J4" s="9" t="s">
        <v>23</v>
      </c>
      <c r="K4" s="9" t="s">
        <v>23</v>
      </c>
      <c r="L4" s="10" t="s">
        <v>23</v>
      </c>
      <c r="M4" s="1"/>
      <c r="N4" s="1"/>
      <c r="O4" s="1"/>
      <c r="P4" s="1"/>
      <c r="Q4" s="1"/>
      <c r="R4" s="1"/>
      <c r="S4" s="1"/>
      <c r="T4" s="1"/>
      <c r="U4" s="1"/>
      <c r="V4" s="1"/>
      <c r="W4" s="1"/>
      <c r="X4" s="1"/>
      <c r="Y4" s="1"/>
      <c r="Z4" s="1"/>
    </row>
    <row r="5" spans="1:26" ht="19.5" customHeight="1">
      <c r="A5" s="11"/>
      <c r="B5" s="12" t="s">
        <v>24</v>
      </c>
      <c r="C5" s="173" t="s">
        <v>25</v>
      </c>
      <c r="D5" s="158"/>
      <c r="E5" s="158"/>
      <c r="F5" s="158"/>
      <c r="G5" s="158"/>
      <c r="H5" s="158"/>
      <c r="I5" s="158"/>
      <c r="J5" s="158"/>
      <c r="K5" s="159"/>
      <c r="L5" s="13"/>
      <c r="M5" s="1"/>
      <c r="N5" s="1"/>
      <c r="O5" s="1"/>
      <c r="P5" s="1"/>
      <c r="Q5" s="1"/>
      <c r="R5" s="1"/>
      <c r="S5" s="1"/>
      <c r="T5" s="1"/>
      <c r="U5" s="1"/>
      <c r="V5" s="1"/>
      <c r="W5" s="1"/>
      <c r="X5" s="1"/>
      <c r="Y5" s="1"/>
      <c r="Z5" s="1"/>
    </row>
    <row r="6" spans="1:26" ht="19.5" customHeight="1">
      <c r="A6" s="11"/>
      <c r="B6" s="14"/>
      <c r="C6" s="174" t="s">
        <v>26</v>
      </c>
      <c r="D6" s="158"/>
      <c r="E6" s="158"/>
      <c r="F6" s="158"/>
      <c r="G6" s="158"/>
      <c r="H6" s="158"/>
      <c r="I6" s="158"/>
      <c r="J6" s="158"/>
      <c r="K6" s="159"/>
      <c r="L6" s="13"/>
      <c r="M6" s="1"/>
      <c r="N6" s="1"/>
      <c r="O6" s="1"/>
      <c r="P6" s="1"/>
      <c r="Q6" s="1"/>
      <c r="R6" s="1"/>
      <c r="S6" s="1"/>
      <c r="T6" s="1"/>
      <c r="U6" s="1"/>
      <c r="V6" s="1"/>
      <c r="W6" s="1"/>
      <c r="X6" s="1"/>
      <c r="Y6" s="1"/>
      <c r="Z6" s="1"/>
    </row>
    <row r="7" spans="1:26" ht="19.5" customHeight="1">
      <c r="A7" s="11"/>
      <c r="B7" s="14"/>
      <c r="C7" s="175" t="s">
        <v>27</v>
      </c>
      <c r="D7" s="158"/>
      <c r="E7" s="158"/>
      <c r="F7" s="158"/>
      <c r="G7" s="158"/>
      <c r="H7" s="158"/>
      <c r="I7" s="158"/>
      <c r="J7" s="158"/>
      <c r="K7" s="159"/>
      <c r="L7" s="13"/>
      <c r="M7" s="1"/>
      <c r="N7" s="1"/>
      <c r="O7" s="1"/>
      <c r="P7" s="1"/>
      <c r="Q7" s="1"/>
      <c r="R7" s="1"/>
      <c r="S7" s="1"/>
      <c r="T7" s="1"/>
      <c r="U7" s="1"/>
      <c r="V7" s="1"/>
      <c r="W7" s="1"/>
      <c r="X7" s="1"/>
      <c r="Y7" s="1"/>
      <c r="Z7" s="1"/>
    </row>
    <row r="8" spans="1:26" ht="19.5" customHeight="1">
      <c r="A8" s="15"/>
      <c r="B8" s="16"/>
      <c r="C8" s="176" t="s">
        <v>28</v>
      </c>
      <c r="D8" s="161"/>
      <c r="E8" s="161"/>
      <c r="F8" s="161"/>
      <c r="G8" s="161"/>
      <c r="H8" s="161"/>
      <c r="I8" s="161"/>
      <c r="J8" s="161"/>
      <c r="K8" s="162"/>
      <c r="L8" s="13"/>
      <c r="M8" s="1"/>
      <c r="N8" s="1"/>
      <c r="O8" s="1"/>
      <c r="P8" s="1"/>
      <c r="Q8" s="1"/>
      <c r="R8" s="1"/>
      <c r="S8" s="1"/>
      <c r="T8" s="1"/>
      <c r="U8" s="1"/>
      <c r="V8" s="1"/>
      <c r="W8" s="1"/>
      <c r="X8" s="1"/>
      <c r="Y8" s="1"/>
      <c r="Z8" s="1"/>
    </row>
    <row r="9" spans="1:26" ht="19.5" customHeight="1">
      <c r="A9" s="2"/>
      <c r="B9" s="17"/>
      <c r="C9" s="18"/>
      <c r="D9" s="13"/>
      <c r="E9" s="13"/>
      <c r="F9" s="13"/>
      <c r="G9" s="13"/>
      <c r="H9" s="13"/>
      <c r="I9" s="13"/>
      <c r="J9" s="13"/>
      <c r="K9" s="13"/>
      <c r="L9" s="13"/>
      <c r="M9" s="1"/>
      <c r="N9" s="1"/>
      <c r="O9" s="1"/>
      <c r="P9" s="1"/>
      <c r="Q9" s="1"/>
      <c r="R9" s="1"/>
      <c r="S9" s="1"/>
      <c r="T9" s="1"/>
      <c r="U9" s="1"/>
      <c r="V9" s="1"/>
      <c r="W9" s="1"/>
      <c r="X9" s="1"/>
      <c r="Y9" s="1"/>
      <c r="Z9" s="1"/>
    </row>
    <row r="10" spans="1:26" ht="26.25" customHeight="1">
      <c r="A10" s="19"/>
      <c r="B10" s="20" t="s">
        <v>29</v>
      </c>
      <c r="C10" s="177"/>
      <c r="D10" s="164"/>
      <c r="E10" s="164"/>
      <c r="F10" s="164"/>
      <c r="G10" s="164"/>
      <c r="H10" s="164"/>
      <c r="I10" s="164"/>
      <c r="J10" s="164"/>
      <c r="K10" s="165"/>
      <c r="L10" s="21"/>
      <c r="M10" s="1"/>
      <c r="N10" s="1"/>
      <c r="O10" s="1"/>
      <c r="P10" s="1"/>
      <c r="Q10" s="1"/>
      <c r="R10" s="1"/>
      <c r="S10" s="1"/>
      <c r="T10" s="1"/>
      <c r="U10" s="1"/>
      <c r="V10" s="1"/>
      <c r="W10" s="1"/>
      <c r="X10" s="1"/>
      <c r="Y10" s="1"/>
      <c r="Z10" s="1"/>
    </row>
    <row r="11" spans="1:26" ht="19.5" customHeight="1">
      <c r="A11" s="3" t="s">
        <v>6</v>
      </c>
      <c r="B11" s="22" t="s">
        <v>30</v>
      </c>
      <c r="C11" s="178" t="s">
        <v>31</v>
      </c>
      <c r="D11" s="164"/>
      <c r="E11" s="164"/>
      <c r="F11" s="164"/>
      <c r="G11" s="164"/>
      <c r="H11" s="164"/>
      <c r="I11" s="164"/>
      <c r="J11" s="164"/>
      <c r="K11" s="165"/>
      <c r="L11" s="13"/>
      <c r="M11" s="1"/>
      <c r="N11" s="1"/>
      <c r="O11" s="1"/>
      <c r="P11" s="1"/>
      <c r="Q11" s="1"/>
      <c r="R11" s="1"/>
      <c r="S11" s="1"/>
      <c r="T11" s="1"/>
      <c r="U11" s="1"/>
      <c r="V11" s="1"/>
      <c r="W11" s="1"/>
      <c r="X11" s="1"/>
      <c r="Y11" s="1"/>
      <c r="Z11" s="1"/>
    </row>
    <row r="12" spans="1:26" ht="19.5" customHeight="1">
      <c r="A12" s="3" t="s">
        <v>32</v>
      </c>
      <c r="B12" s="22" t="s">
        <v>33</v>
      </c>
      <c r="C12" s="178" t="s">
        <v>34</v>
      </c>
      <c r="D12" s="164"/>
      <c r="E12" s="164"/>
      <c r="F12" s="164"/>
      <c r="G12" s="164"/>
      <c r="H12" s="164"/>
      <c r="I12" s="164"/>
      <c r="J12" s="164"/>
      <c r="K12" s="165"/>
      <c r="L12" s="13"/>
      <c r="M12" s="1"/>
      <c r="N12" s="1"/>
      <c r="O12" s="1"/>
      <c r="P12" s="1"/>
      <c r="Q12" s="1"/>
      <c r="R12" s="1"/>
      <c r="S12" s="1"/>
      <c r="T12" s="1"/>
      <c r="U12" s="1"/>
      <c r="V12" s="1"/>
      <c r="W12" s="1"/>
      <c r="X12" s="1"/>
      <c r="Y12" s="1"/>
      <c r="Z12" s="1"/>
    </row>
    <row r="13" spans="1:26" ht="19.5" customHeight="1">
      <c r="A13" s="3" t="s">
        <v>35</v>
      </c>
      <c r="B13" s="22" t="s">
        <v>36</v>
      </c>
      <c r="C13" s="178" t="s">
        <v>37</v>
      </c>
      <c r="D13" s="164"/>
      <c r="E13" s="164"/>
      <c r="F13" s="164"/>
      <c r="G13" s="164"/>
      <c r="H13" s="164"/>
      <c r="I13" s="164"/>
      <c r="J13" s="164"/>
      <c r="K13" s="165"/>
      <c r="L13" s="13"/>
      <c r="M13" s="1"/>
      <c r="N13" s="1"/>
      <c r="O13" s="1"/>
      <c r="P13" s="1"/>
      <c r="Q13" s="1"/>
      <c r="R13" s="1"/>
      <c r="S13" s="1"/>
      <c r="T13" s="1"/>
      <c r="U13" s="1"/>
      <c r="V13" s="1"/>
      <c r="W13" s="1"/>
      <c r="X13" s="1"/>
      <c r="Y13" s="1"/>
      <c r="Z13" s="1"/>
    </row>
    <row r="14" spans="1:26" ht="19.5" customHeight="1">
      <c r="A14" s="2"/>
      <c r="B14" s="17"/>
      <c r="C14" s="18"/>
      <c r="D14" s="13"/>
      <c r="E14" s="13"/>
      <c r="F14" s="13"/>
      <c r="G14" s="13"/>
      <c r="H14" s="13"/>
      <c r="I14" s="13"/>
      <c r="J14" s="13"/>
      <c r="K14" s="13"/>
      <c r="L14" s="13"/>
      <c r="M14" s="1"/>
      <c r="N14" s="1"/>
      <c r="O14" s="1"/>
      <c r="P14" s="1"/>
      <c r="Q14" s="1"/>
      <c r="R14" s="1"/>
      <c r="S14" s="1"/>
      <c r="T14" s="1"/>
      <c r="U14" s="1"/>
      <c r="V14" s="1"/>
      <c r="W14" s="1"/>
      <c r="X14" s="1"/>
      <c r="Y14" s="1"/>
      <c r="Z14" s="1"/>
    </row>
    <row r="15" spans="1:26" ht="26.25" customHeight="1">
      <c r="A15" s="19"/>
      <c r="B15" s="20" t="s">
        <v>38</v>
      </c>
      <c r="C15" s="179" t="s">
        <v>39</v>
      </c>
      <c r="D15" s="164"/>
      <c r="E15" s="164"/>
      <c r="F15" s="164"/>
      <c r="G15" s="164"/>
      <c r="H15" s="164"/>
      <c r="I15" s="164"/>
      <c r="J15" s="164"/>
      <c r="K15" s="165"/>
      <c r="L15" s="21"/>
      <c r="M15" s="1"/>
      <c r="N15" s="1"/>
      <c r="O15" s="1"/>
      <c r="P15" s="1"/>
      <c r="Q15" s="1"/>
      <c r="R15" s="1"/>
      <c r="S15" s="1"/>
      <c r="T15" s="1"/>
      <c r="U15" s="1"/>
      <c r="V15" s="1"/>
      <c r="W15" s="1"/>
      <c r="X15" s="1"/>
      <c r="Y15" s="1"/>
      <c r="Z15" s="1"/>
    </row>
    <row r="16" spans="1:26" ht="19.5" customHeight="1">
      <c r="A16" s="23"/>
      <c r="B16" s="24"/>
      <c r="C16" s="25"/>
      <c r="D16" s="25"/>
      <c r="E16" s="25"/>
      <c r="F16" s="25"/>
      <c r="G16" s="25"/>
      <c r="H16" s="13"/>
      <c r="I16" s="13"/>
      <c r="J16" s="13"/>
      <c r="K16" s="13"/>
      <c r="L16" s="13"/>
      <c r="M16" s="1"/>
      <c r="N16" s="1"/>
      <c r="O16" s="1"/>
      <c r="P16" s="1"/>
      <c r="Q16" s="1"/>
      <c r="R16" s="1"/>
      <c r="S16" s="1"/>
      <c r="T16" s="1"/>
      <c r="U16" s="1"/>
      <c r="V16" s="1"/>
      <c r="W16" s="1"/>
      <c r="X16" s="1"/>
      <c r="Y16" s="1"/>
      <c r="Z16" s="1"/>
    </row>
    <row r="17" spans="1:26" ht="19.5" customHeight="1">
      <c r="A17" s="11"/>
      <c r="B17" s="12" t="s">
        <v>40</v>
      </c>
      <c r="C17" s="26">
        <f t="array" ref="C17">H17+I17</f>
        <v>68882600</v>
      </c>
      <c r="D17" s="27">
        <f t="array" ref="D17">C34</f>
        <v>0.21791555487162215</v>
      </c>
      <c r="E17" s="180" t="s">
        <v>41</v>
      </c>
      <c r="F17" s="156"/>
      <c r="G17" s="156"/>
      <c r="H17" s="28">
        <f t="array" ref="H17">population!H109</f>
        <v>53872010</v>
      </c>
      <c r="I17" s="28">
        <f t="array" ref="I17">population!I109</f>
        <v>15010590</v>
      </c>
      <c r="J17" s="13"/>
      <c r="K17" s="13"/>
      <c r="L17" s="13"/>
      <c r="M17" s="1"/>
      <c r="N17" s="1"/>
      <c r="O17" s="1"/>
      <c r="P17" s="1"/>
      <c r="Q17" s="1"/>
      <c r="R17" s="1"/>
      <c r="S17" s="1"/>
      <c r="T17" s="1"/>
      <c r="U17" s="1"/>
      <c r="V17" s="1"/>
      <c r="W17" s="1"/>
      <c r="X17" s="1"/>
      <c r="Y17" s="1"/>
      <c r="Z17" s="1"/>
    </row>
    <row r="18" spans="1:26" ht="19.5" customHeight="1">
      <c r="A18" s="15"/>
      <c r="B18" s="29" t="s">
        <v>42</v>
      </c>
      <c r="C18" s="30">
        <f t="array" ref="C18">H17-I17</f>
        <v>38861420</v>
      </c>
      <c r="D18" s="31">
        <f t="array" ref="D18">C18/C17</f>
        <v>0.56416889025675565</v>
      </c>
      <c r="E18" s="32"/>
      <c r="F18" s="32"/>
      <c r="G18" s="32"/>
      <c r="H18" s="13"/>
      <c r="I18" s="13"/>
      <c r="J18" s="13"/>
      <c r="K18" s="13"/>
      <c r="L18" s="13"/>
      <c r="M18" s="1"/>
      <c r="N18" s="1"/>
      <c r="O18" s="1"/>
      <c r="P18" s="1"/>
      <c r="Q18" s="1"/>
      <c r="R18" s="1"/>
      <c r="S18" s="1"/>
      <c r="T18" s="1"/>
      <c r="U18" s="1"/>
      <c r="V18" s="1"/>
      <c r="W18" s="1"/>
      <c r="X18" s="1"/>
      <c r="Y18" s="1"/>
      <c r="Z18" s="1"/>
    </row>
    <row r="19" spans="1:26" ht="19.5" customHeight="1">
      <c r="A19" s="2"/>
      <c r="B19" s="22" t="s">
        <v>43</v>
      </c>
      <c r="C19" s="13"/>
      <c r="D19" s="13"/>
      <c r="E19" s="13"/>
      <c r="F19" s="13"/>
      <c r="G19" s="13"/>
      <c r="H19" s="28">
        <f t="array" ref="H19">population!H9</f>
        <v>459933</v>
      </c>
      <c r="I19" s="28">
        <f t="array" ref="I19">population!I9</f>
        <v>153997</v>
      </c>
      <c r="J19" s="13"/>
      <c r="K19" s="13"/>
      <c r="L19" s="13"/>
      <c r="M19" s="1"/>
      <c r="N19" s="1"/>
      <c r="O19" s="1"/>
      <c r="P19" s="1"/>
      <c r="Q19" s="1"/>
      <c r="R19" s="1"/>
      <c r="S19" s="1"/>
      <c r="T19" s="1"/>
      <c r="U19" s="1"/>
      <c r="V19" s="1"/>
      <c r="W19" s="1"/>
      <c r="X19" s="1"/>
      <c r="Y19" s="1"/>
      <c r="Z19" s="1"/>
    </row>
    <row r="20" spans="1:26" ht="19.5" customHeight="1">
      <c r="A20" s="23"/>
      <c r="B20" s="33" t="s">
        <v>44</v>
      </c>
      <c r="C20" s="25"/>
      <c r="D20" s="25"/>
      <c r="E20" s="25"/>
      <c r="F20" s="25"/>
      <c r="G20" s="25"/>
      <c r="H20" s="28">
        <f t="array" ref="H20">births!H11</f>
        <v>424062.64665162924</v>
      </c>
      <c r="I20" s="28">
        <f t="array" ref="I20">births!I11</f>
        <v>189867.35334837073</v>
      </c>
      <c r="J20" s="13"/>
      <c r="K20" s="13"/>
      <c r="L20" s="13"/>
      <c r="M20" s="1"/>
      <c r="N20" s="1"/>
      <c r="O20" s="1"/>
      <c r="P20" s="1"/>
      <c r="Q20" s="1"/>
      <c r="R20" s="1"/>
      <c r="S20" s="1"/>
      <c r="T20" s="1"/>
      <c r="U20" s="1"/>
      <c r="V20" s="1"/>
      <c r="W20" s="1"/>
      <c r="X20" s="1"/>
      <c r="Y20" s="1"/>
      <c r="Z20" s="1"/>
    </row>
    <row r="21" spans="1:26" ht="19.5" customHeight="1">
      <c r="A21" s="11"/>
      <c r="B21" s="12" t="s">
        <v>45</v>
      </c>
      <c r="C21" s="1"/>
      <c r="D21" s="180" t="s">
        <v>46</v>
      </c>
      <c r="E21" s="156"/>
      <c r="F21" s="156"/>
      <c r="G21" s="156"/>
      <c r="H21" s="28">
        <f t="array" ref="H21">IF(ISNUMBER(H20),H20,H19)</f>
        <v>424062.64665162924</v>
      </c>
      <c r="I21" s="28">
        <f t="array" ref="I21">IF(ISNUMBER(I20),I20,I19)</f>
        <v>189867.35334837073</v>
      </c>
      <c r="J21" s="13"/>
      <c r="K21" s="13"/>
      <c r="L21" s="13"/>
      <c r="M21" s="1"/>
      <c r="N21" s="1"/>
      <c r="O21" s="1"/>
      <c r="P21" s="1"/>
      <c r="Q21" s="1"/>
      <c r="R21" s="1"/>
      <c r="S21" s="1"/>
      <c r="T21" s="1"/>
      <c r="U21" s="1"/>
      <c r="V21" s="1"/>
      <c r="W21" s="1"/>
      <c r="X21" s="1"/>
      <c r="Y21" s="1"/>
      <c r="Z21" s="1"/>
    </row>
    <row r="22" spans="1:26" ht="19.5" customHeight="1">
      <c r="A22" s="15"/>
      <c r="B22" s="29" t="s">
        <v>47</v>
      </c>
      <c r="C22" s="32"/>
      <c r="D22" s="32"/>
      <c r="E22" s="32"/>
      <c r="F22" s="32"/>
      <c r="G22" s="32"/>
      <c r="H22" s="28">
        <f t="array" ref="H22">-deaths!H107</f>
        <v>-532756</v>
      </c>
      <c r="I22" s="28">
        <f t="array" ref="I22">-deaths!I107</f>
        <v>-110576</v>
      </c>
      <c r="J22" s="13"/>
      <c r="K22" s="13"/>
      <c r="L22" s="13"/>
      <c r="M22" s="1"/>
      <c r="N22" s="1"/>
      <c r="O22" s="1"/>
      <c r="P22" s="1"/>
      <c r="Q22" s="1"/>
      <c r="R22" s="1"/>
      <c r="S22" s="1"/>
      <c r="T22" s="1"/>
      <c r="U22" s="1"/>
      <c r="V22" s="1"/>
      <c r="W22" s="1"/>
      <c r="X22" s="1"/>
      <c r="Y22" s="1"/>
      <c r="Z22" s="1"/>
    </row>
    <row r="23" spans="1:26" ht="19.5" customHeight="1">
      <c r="A23" s="23"/>
      <c r="B23" s="33" t="s">
        <v>48</v>
      </c>
      <c r="C23" s="25"/>
      <c r="D23" s="25"/>
      <c r="E23" s="25"/>
      <c r="F23" s="25"/>
      <c r="G23" s="25"/>
      <c r="H23" s="28">
        <f t="array" ref="H23">migration!H9</f>
        <v>-70499.699999999983</v>
      </c>
      <c r="I23" s="28">
        <f t="array" ref="I23">migration!I9</f>
        <v>196534.9</v>
      </c>
      <c r="J23" s="13"/>
      <c r="K23" s="13"/>
      <c r="L23" s="13"/>
      <c r="M23" s="1"/>
      <c r="N23" s="1"/>
      <c r="O23" s="1"/>
      <c r="P23" s="1"/>
      <c r="Q23" s="1"/>
      <c r="R23" s="1"/>
      <c r="S23" s="1"/>
      <c r="T23" s="1"/>
      <c r="U23" s="1"/>
      <c r="V23" s="1"/>
      <c r="W23" s="1"/>
      <c r="X23" s="1"/>
      <c r="Y23" s="1"/>
      <c r="Z23" s="1"/>
    </row>
    <row r="24" spans="1:26" ht="19.5" customHeight="1">
      <c r="A24" s="11"/>
      <c r="B24" s="12" t="s">
        <v>49</v>
      </c>
      <c r="C24" s="26">
        <f t="array" ref="C24">I24-H24</f>
        <v>455019.30669674149</v>
      </c>
      <c r="D24" s="27">
        <f t="array" ref="D24">C24/C17</f>
        <v>6.6057220066713723E-3</v>
      </c>
      <c r="E24" s="180" t="s">
        <v>50</v>
      </c>
      <c r="F24" s="156"/>
      <c r="G24" s="156"/>
      <c r="H24" s="28">
        <f t="array" ref="H24">H21+H22+H23</f>
        <v>-179193.05334837074</v>
      </c>
      <c r="I24" s="28">
        <f t="array" ref="I24">I21+I22+I23</f>
        <v>275826.25334837072</v>
      </c>
      <c r="J24" s="13"/>
      <c r="K24" s="13"/>
      <c r="L24" s="13"/>
      <c r="M24" s="1"/>
      <c r="N24" s="1"/>
      <c r="O24" s="1"/>
      <c r="P24" s="1"/>
      <c r="Q24" s="1"/>
      <c r="R24" s="1"/>
      <c r="S24" s="1"/>
      <c r="T24" s="1"/>
      <c r="U24" s="1"/>
      <c r="V24" s="1"/>
      <c r="W24" s="1"/>
      <c r="X24" s="1"/>
      <c r="Y24" s="1"/>
      <c r="Z24" s="1"/>
    </row>
    <row r="25" spans="1:26" ht="19.5" customHeight="1">
      <c r="A25" s="11"/>
      <c r="B25" s="14"/>
      <c r="C25" s="1"/>
      <c r="D25" s="1"/>
      <c r="E25" s="1"/>
      <c r="F25" s="1"/>
      <c r="G25" s="1"/>
      <c r="H25" s="13"/>
      <c r="I25" s="13"/>
      <c r="J25" s="13"/>
      <c r="K25" s="13"/>
      <c r="L25" s="13"/>
      <c r="M25" s="1"/>
      <c r="N25" s="1"/>
      <c r="O25" s="1"/>
      <c r="P25" s="1"/>
      <c r="Q25" s="1"/>
      <c r="R25" s="1"/>
      <c r="S25" s="1"/>
      <c r="T25" s="1"/>
      <c r="U25" s="1"/>
      <c r="V25" s="1"/>
      <c r="W25" s="1"/>
      <c r="X25" s="1"/>
      <c r="Y25" s="1"/>
      <c r="Z25" s="1"/>
    </row>
    <row r="26" spans="1:26" ht="31.5" customHeight="1">
      <c r="A26" s="11"/>
      <c r="B26" s="12" t="s">
        <v>51</v>
      </c>
      <c r="C26" s="34">
        <f t="array" ref="C26">(H$17-2*I$17)/(2*I$24-H$24)</f>
        <v>32.634569194793748</v>
      </c>
      <c r="D26" s="181" t="s">
        <v>52</v>
      </c>
      <c r="E26" s="156"/>
      <c r="F26" s="156"/>
      <c r="G26" s="156"/>
      <c r="H26" s="13"/>
      <c r="I26" s="13"/>
      <c r="J26" s="13"/>
      <c r="K26" s="13"/>
      <c r="L26" s="13"/>
      <c r="M26" s="1"/>
      <c r="N26" s="1"/>
      <c r="O26" s="1"/>
      <c r="P26" s="1"/>
      <c r="Q26" s="1"/>
      <c r="R26" s="1"/>
      <c r="S26" s="1"/>
      <c r="T26" s="1"/>
      <c r="U26" s="1"/>
      <c r="V26" s="1"/>
      <c r="W26" s="1"/>
      <c r="X26" s="1"/>
      <c r="Y26" s="1"/>
      <c r="Z26" s="1"/>
    </row>
    <row r="27" spans="1:26" ht="31.5" customHeight="1">
      <c r="A27" s="11"/>
      <c r="B27" s="12" t="s">
        <v>53</v>
      </c>
      <c r="C27" s="26">
        <f t="array" ref="C27">C$33+C26</f>
        <v>2057.6345691947936</v>
      </c>
      <c r="D27" s="1"/>
      <c r="E27" s="1"/>
      <c r="F27" s="1"/>
      <c r="G27" s="1"/>
      <c r="H27" s="13"/>
      <c r="I27" s="13"/>
      <c r="J27" s="13"/>
      <c r="K27" s="13"/>
      <c r="L27" s="13"/>
      <c r="M27" s="1"/>
      <c r="N27" s="1"/>
      <c r="O27" s="1"/>
      <c r="P27" s="1"/>
      <c r="Q27" s="1"/>
      <c r="R27" s="1"/>
      <c r="S27" s="1"/>
      <c r="T27" s="1"/>
      <c r="U27" s="1"/>
      <c r="V27" s="1"/>
      <c r="W27" s="1"/>
      <c r="X27" s="1"/>
      <c r="Y27" s="1"/>
      <c r="Z27" s="1"/>
    </row>
    <row r="28" spans="1:26" ht="31.5" customHeight="1">
      <c r="A28" s="11"/>
      <c r="B28" s="12" t="s">
        <v>54</v>
      </c>
      <c r="C28" s="34">
        <f t="array" ref="C28">(H$17-I$17)/(I$24-H$24)</f>
        <v>85.406090308823138</v>
      </c>
      <c r="D28" s="181" t="s">
        <v>55</v>
      </c>
      <c r="E28" s="156"/>
      <c r="F28" s="156"/>
      <c r="G28" s="156"/>
      <c r="H28" s="13"/>
      <c r="I28" s="13"/>
      <c r="J28" s="13"/>
      <c r="K28" s="13"/>
      <c r="L28" s="13"/>
      <c r="M28" s="1"/>
      <c r="N28" s="1"/>
      <c r="O28" s="1"/>
      <c r="P28" s="1"/>
      <c r="Q28" s="1"/>
      <c r="R28" s="1"/>
      <c r="S28" s="1"/>
      <c r="T28" s="1"/>
      <c r="U28" s="1"/>
      <c r="V28" s="1"/>
      <c r="W28" s="1"/>
      <c r="X28" s="1"/>
      <c r="Y28" s="1"/>
      <c r="Z28" s="1"/>
    </row>
    <row r="29" spans="1:26" ht="31.5" customHeight="1">
      <c r="A29" s="15"/>
      <c r="B29" s="29" t="s">
        <v>56</v>
      </c>
      <c r="C29" s="30">
        <f t="array" ref="C29">C$33+C28</f>
        <v>2110.406090308823</v>
      </c>
      <c r="D29" s="32"/>
      <c r="E29" s="32"/>
      <c r="F29" s="32"/>
      <c r="G29" s="32"/>
      <c r="H29" s="13"/>
      <c r="I29" s="13"/>
      <c r="J29" s="13"/>
      <c r="K29" s="13"/>
      <c r="L29" s="13"/>
      <c r="M29" s="1"/>
      <c r="N29" s="1"/>
      <c r="O29" s="1"/>
      <c r="P29" s="1"/>
      <c r="Q29" s="1"/>
      <c r="R29" s="1"/>
      <c r="S29" s="1"/>
      <c r="T29" s="1"/>
      <c r="U29" s="1"/>
      <c r="V29" s="1"/>
      <c r="W29" s="1"/>
      <c r="X29" s="1"/>
      <c r="Y29" s="1"/>
      <c r="Z29" s="1"/>
    </row>
    <row r="30" spans="1:26" ht="19.5" customHeight="1">
      <c r="A30" s="2"/>
      <c r="B30" s="17"/>
      <c r="C30" s="13"/>
      <c r="D30" s="13"/>
      <c r="E30" s="13"/>
      <c r="F30" s="13"/>
      <c r="G30" s="13"/>
      <c r="H30" s="13"/>
      <c r="I30" s="13"/>
      <c r="J30" s="13"/>
      <c r="K30" s="13"/>
      <c r="L30" s="13"/>
      <c r="M30" s="1"/>
      <c r="N30" s="1"/>
      <c r="O30" s="1"/>
      <c r="P30" s="1"/>
      <c r="Q30" s="1"/>
      <c r="R30" s="1"/>
      <c r="S30" s="1"/>
      <c r="T30" s="1"/>
      <c r="U30" s="1"/>
      <c r="V30" s="1"/>
      <c r="W30" s="1"/>
      <c r="X30" s="1"/>
      <c r="Y30" s="1"/>
      <c r="Z30" s="1"/>
    </row>
    <row r="31" spans="1:26" ht="26.25" customHeight="1">
      <c r="A31" s="19"/>
      <c r="B31" s="20" t="s">
        <v>57</v>
      </c>
      <c r="C31" s="179" t="s">
        <v>58</v>
      </c>
      <c r="D31" s="164"/>
      <c r="E31" s="164"/>
      <c r="F31" s="164"/>
      <c r="G31" s="164"/>
      <c r="H31" s="164"/>
      <c r="I31" s="164"/>
      <c r="J31" s="164"/>
      <c r="K31" s="165"/>
      <c r="L31" s="21"/>
      <c r="M31" s="1"/>
      <c r="N31" s="1"/>
      <c r="O31" s="1"/>
      <c r="P31" s="1"/>
      <c r="Q31" s="1"/>
      <c r="R31" s="1"/>
      <c r="S31" s="1"/>
      <c r="T31" s="1"/>
      <c r="U31" s="1"/>
      <c r="V31" s="1"/>
      <c r="W31" s="1"/>
      <c r="X31" s="1"/>
      <c r="Y31" s="1"/>
      <c r="Z31" s="1"/>
    </row>
    <row r="32" spans="1:26" ht="19.5" customHeight="1">
      <c r="A32" s="2"/>
      <c r="B32" s="17"/>
      <c r="C32" s="13"/>
      <c r="D32" s="13"/>
      <c r="E32" s="13"/>
      <c r="F32" s="13"/>
      <c r="G32" s="13"/>
      <c r="H32" s="13"/>
      <c r="I32" s="13"/>
      <c r="J32" s="13"/>
      <c r="K32" s="13"/>
      <c r="L32" s="13"/>
      <c r="M32" s="1"/>
      <c r="N32" s="1"/>
      <c r="O32" s="1"/>
      <c r="P32" s="1"/>
      <c r="Q32" s="1"/>
      <c r="R32" s="1"/>
      <c r="S32" s="1"/>
      <c r="T32" s="1"/>
      <c r="U32" s="1"/>
      <c r="V32" s="1"/>
      <c r="W32" s="1"/>
      <c r="X32" s="1"/>
      <c r="Y32" s="1"/>
      <c r="Z32" s="1"/>
    </row>
    <row r="33" spans="1:26" ht="19.5" customHeight="1">
      <c r="A33" s="2"/>
      <c r="B33" s="22" t="s">
        <v>59</v>
      </c>
      <c r="C33" s="28">
        <f t="array" ref="C33">population!C7</f>
        <v>2025</v>
      </c>
      <c r="D33" s="13"/>
      <c r="E33" s="13"/>
      <c r="F33" s="13"/>
      <c r="G33" s="13"/>
      <c r="H33" s="13"/>
      <c r="I33" s="13"/>
      <c r="J33" s="13"/>
      <c r="K33" s="13"/>
      <c r="L33" s="13"/>
      <c r="M33" s="1"/>
      <c r="N33" s="1"/>
      <c r="O33" s="1"/>
      <c r="P33" s="1"/>
      <c r="Q33" s="1"/>
      <c r="R33" s="1"/>
      <c r="S33" s="1"/>
      <c r="T33" s="1"/>
      <c r="U33" s="1"/>
      <c r="V33" s="1"/>
      <c r="W33" s="1"/>
      <c r="X33" s="1"/>
      <c r="Y33" s="1"/>
      <c r="Z33" s="1"/>
    </row>
    <row r="34" spans="1:26" ht="19.5" customHeight="1">
      <c r="A34" s="23"/>
      <c r="B34" s="33" t="s">
        <v>60</v>
      </c>
      <c r="C34" s="35">
        <f t="array" ref="C34">population!I109/population!C109</f>
        <v>0.21791555487162215</v>
      </c>
      <c r="D34" s="182" t="s">
        <v>61</v>
      </c>
      <c r="E34" s="183"/>
      <c r="F34" s="183"/>
      <c r="G34" s="183"/>
      <c r="H34" s="13"/>
      <c r="I34" s="13"/>
      <c r="J34" s="13"/>
      <c r="K34" s="13"/>
      <c r="L34" s="13"/>
      <c r="M34" s="1"/>
      <c r="N34" s="1"/>
      <c r="O34" s="1"/>
      <c r="P34" s="1"/>
      <c r="Q34" s="1"/>
      <c r="R34" s="1"/>
      <c r="S34" s="1"/>
      <c r="T34" s="1"/>
      <c r="U34" s="1"/>
      <c r="V34" s="1"/>
      <c r="W34" s="1"/>
      <c r="X34" s="1"/>
      <c r="Y34" s="1"/>
      <c r="Z34" s="1"/>
    </row>
    <row r="35" spans="1:26" ht="19.5" customHeight="1">
      <c r="A35" s="11"/>
      <c r="B35" s="12" t="s">
        <v>62</v>
      </c>
      <c r="C35" s="27">
        <f t="array" ref="C35">I35/H35-1</f>
        <v>0.35294117647058831</v>
      </c>
      <c r="D35" s="181" t="s">
        <v>63</v>
      </c>
      <c r="E35" s="156"/>
      <c r="F35" s="156"/>
      <c r="G35" s="156"/>
      <c r="H35" s="36">
        <f t="array" ref="H35">births!H11/births!D9*1000000</f>
        <v>38641.757591380338</v>
      </c>
      <c r="I35" s="36">
        <f t="array" ref="I35">births!I11/births!F9*1000000</f>
        <v>52280.024976573397</v>
      </c>
      <c r="J35" s="13"/>
      <c r="K35" s="13"/>
      <c r="L35" s="13"/>
      <c r="M35" s="1"/>
      <c r="N35" s="1"/>
      <c r="O35" s="1"/>
      <c r="P35" s="1"/>
      <c r="Q35" s="1"/>
      <c r="R35" s="1"/>
      <c r="S35" s="1"/>
      <c r="T35" s="1"/>
      <c r="U35" s="1"/>
      <c r="V35" s="1"/>
      <c r="W35" s="1"/>
      <c r="X35" s="1"/>
      <c r="Y35" s="1"/>
      <c r="Z35" s="1"/>
    </row>
    <row r="36" spans="1:26" ht="19.5" customHeight="1">
      <c r="A36" s="11"/>
      <c r="B36" s="12" t="s">
        <v>64</v>
      </c>
      <c r="C36" s="27">
        <f t="array" ref="C36">I36/H36-1</f>
        <v>0.60688831980384794</v>
      </c>
      <c r="D36" s="181" t="s">
        <v>65</v>
      </c>
      <c r="E36" s="156"/>
      <c r="F36" s="156"/>
      <c r="G36" s="156"/>
      <c r="H36" s="37">
        <f t="array" ref="H36">births!H11/population!H109*1000000</f>
        <v>7871.6692889615451</v>
      </c>
      <c r="I36" s="37">
        <f t="array" ref="I36">births!I11/population!I109*1000000</f>
        <v>12648.893437790968</v>
      </c>
      <c r="J36" s="13"/>
      <c r="K36" s="13"/>
      <c r="L36" s="13"/>
      <c r="M36" s="1"/>
      <c r="N36" s="1"/>
      <c r="O36" s="1"/>
      <c r="P36" s="1"/>
      <c r="Q36" s="1"/>
      <c r="R36" s="1"/>
      <c r="S36" s="1"/>
      <c r="T36" s="1"/>
      <c r="U36" s="1"/>
      <c r="V36" s="1"/>
      <c r="W36" s="1"/>
      <c r="X36" s="1"/>
      <c r="Y36" s="1"/>
      <c r="Z36" s="1"/>
    </row>
    <row r="37" spans="1:26" ht="19.5" customHeight="1">
      <c r="A37" s="11"/>
      <c r="B37" s="12" t="s">
        <v>66</v>
      </c>
      <c r="C37" s="27">
        <f t="array" ref="C37">I37/H37-1</f>
        <v>-0.25510005366414501</v>
      </c>
      <c r="D37" s="181" t="s">
        <v>67</v>
      </c>
      <c r="E37" s="156"/>
      <c r="F37" s="156"/>
      <c r="G37" s="156"/>
      <c r="H37" s="37">
        <f t="array" ref="H37">deaths!H$107/population!H$109*1000000</f>
        <v>9889.2913035916044</v>
      </c>
      <c r="I37" s="37">
        <f t="array" ref="I37">deaths!I$107/population!I$109*1000000</f>
        <v>7366.5325613450241</v>
      </c>
      <c r="J37" s="13"/>
      <c r="K37" s="13"/>
      <c r="L37" s="13"/>
      <c r="M37" s="1"/>
      <c r="N37" s="1"/>
      <c r="O37" s="1"/>
      <c r="P37" s="1"/>
      <c r="Q37" s="1"/>
      <c r="R37" s="1"/>
      <c r="S37" s="1"/>
      <c r="T37" s="1"/>
      <c r="U37" s="1"/>
      <c r="V37" s="1"/>
      <c r="W37" s="1"/>
      <c r="X37" s="1"/>
      <c r="Y37" s="1"/>
      <c r="Z37" s="1"/>
    </row>
    <row r="38" spans="1:26" ht="19.5" customHeight="1">
      <c r="A38" s="11"/>
      <c r="B38" s="12" t="s">
        <v>68</v>
      </c>
      <c r="C38" s="1"/>
      <c r="D38" s="1"/>
      <c r="E38" s="1"/>
      <c r="F38" s="1"/>
      <c r="G38" s="1"/>
      <c r="H38" s="37">
        <f t="array" ref="H38">migration!H111/population!H109*1000000</f>
        <v>-1308.6517469832663</v>
      </c>
      <c r="I38" s="37">
        <f t="array" ref="I38">migration!I111/population!I109*1000000</f>
        <v>13093.082950103888</v>
      </c>
      <c r="J38" s="13"/>
      <c r="K38" s="13"/>
      <c r="L38" s="13"/>
      <c r="M38" s="1"/>
      <c r="N38" s="1"/>
      <c r="O38" s="1"/>
      <c r="P38" s="1"/>
      <c r="Q38" s="1"/>
      <c r="R38" s="1"/>
      <c r="S38" s="1"/>
      <c r="T38" s="1"/>
      <c r="U38" s="1"/>
      <c r="V38" s="1"/>
      <c r="W38" s="1"/>
      <c r="X38" s="1"/>
      <c r="Y38" s="1"/>
      <c r="Z38" s="1"/>
    </row>
    <row r="39" spans="1:26" ht="19.5" customHeight="1">
      <c r="A39" s="11"/>
      <c r="B39" s="12" t="s">
        <v>69</v>
      </c>
      <c r="C39" s="1"/>
      <c r="D39" s="1"/>
      <c r="E39" s="1"/>
      <c r="F39" s="1"/>
      <c r="G39" s="1"/>
      <c r="H39" s="38">
        <f t="array" ref="H39">migration!H111/population!C109</f>
        <v>-1.0234761754056901E-3</v>
      </c>
      <c r="I39" s="38">
        <f t="array" ref="I39">migration!I111/population!D109</f>
        <v>7.0583898128709572E-3</v>
      </c>
      <c r="J39" s="13"/>
      <c r="K39" s="13"/>
      <c r="L39" s="13"/>
      <c r="M39" s="1"/>
      <c r="N39" s="1"/>
      <c r="O39" s="1"/>
      <c r="P39" s="1"/>
      <c r="Q39" s="1"/>
      <c r="R39" s="1"/>
      <c r="S39" s="1"/>
      <c r="T39" s="1"/>
      <c r="U39" s="1"/>
      <c r="V39" s="1"/>
      <c r="W39" s="1"/>
      <c r="X39" s="1"/>
      <c r="Y39" s="1"/>
      <c r="Z39" s="1"/>
    </row>
    <row r="40" spans="1:26" ht="19.5" customHeight="1">
      <c r="A40" s="15"/>
      <c r="B40" s="16"/>
      <c r="C40" s="32"/>
      <c r="D40" s="32"/>
      <c r="E40" s="32"/>
      <c r="F40" s="32"/>
      <c r="G40" s="32"/>
      <c r="H40" s="32"/>
      <c r="I40" s="32"/>
      <c r="J40" s="13"/>
      <c r="K40" s="13"/>
      <c r="L40" s="13"/>
      <c r="M40" s="1"/>
      <c r="N40" s="1"/>
      <c r="O40" s="1"/>
      <c r="P40" s="1"/>
      <c r="Q40" s="1"/>
      <c r="R40" s="1"/>
      <c r="S40" s="1"/>
      <c r="T40" s="1"/>
      <c r="U40" s="1"/>
      <c r="V40" s="1"/>
      <c r="W40" s="1"/>
      <c r="X40" s="1"/>
      <c r="Y40" s="1"/>
      <c r="Z40" s="1"/>
    </row>
    <row r="41" spans="1:26" ht="19.5" customHeight="1">
      <c r="A41" s="2"/>
      <c r="B41" s="17"/>
      <c r="C41" s="13"/>
      <c r="D41" s="13"/>
      <c r="E41" s="13"/>
      <c r="F41" s="13"/>
      <c r="G41" s="13"/>
      <c r="H41" s="13"/>
      <c r="I41" s="13"/>
      <c r="J41" s="13"/>
      <c r="K41" s="13"/>
      <c r="L41" s="13"/>
      <c r="M41" s="1"/>
      <c r="N41" s="1"/>
      <c r="O41" s="1"/>
      <c r="P41" s="1"/>
      <c r="Q41" s="1"/>
      <c r="R41" s="1"/>
      <c r="S41" s="1"/>
      <c r="T41" s="1"/>
      <c r="U41" s="1"/>
      <c r="V41" s="1"/>
      <c r="W41" s="1"/>
      <c r="X41" s="1"/>
      <c r="Y41" s="1"/>
      <c r="Z41" s="1"/>
    </row>
    <row r="42" spans="1:26" ht="19.5" customHeight="1">
      <c r="A42" s="2"/>
      <c r="B42" s="17"/>
      <c r="C42" s="13"/>
      <c r="D42" s="13"/>
      <c r="E42" s="13"/>
      <c r="F42" s="13"/>
      <c r="G42" s="13"/>
      <c r="H42" s="13"/>
      <c r="I42" s="13"/>
      <c r="J42" s="13"/>
      <c r="K42" s="13"/>
      <c r="L42" s="13"/>
      <c r="M42" s="1"/>
      <c r="N42" s="1"/>
      <c r="O42" s="1"/>
      <c r="P42" s="1"/>
      <c r="Q42" s="1"/>
      <c r="R42" s="1"/>
      <c r="S42" s="1"/>
      <c r="T42" s="1"/>
      <c r="U42" s="1"/>
      <c r="V42" s="1"/>
      <c r="W42" s="1"/>
      <c r="X42" s="1"/>
      <c r="Y42" s="1"/>
      <c r="Z42" s="1"/>
    </row>
    <row r="43" spans="1:26" ht="19.5" customHeight="1">
      <c r="A43" s="2"/>
      <c r="B43" s="17"/>
      <c r="C43" s="13"/>
      <c r="D43" s="13"/>
      <c r="E43" s="13"/>
      <c r="F43" s="13"/>
      <c r="G43" s="13"/>
      <c r="H43" s="13"/>
      <c r="I43" s="13"/>
      <c r="J43" s="13"/>
      <c r="K43" s="13"/>
      <c r="L43" s="13"/>
      <c r="M43" s="1"/>
      <c r="N43" s="1"/>
      <c r="O43" s="1"/>
      <c r="P43" s="1"/>
      <c r="Q43" s="1"/>
      <c r="R43" s="1"/>
      <c r="S43" s="1"/>
      <c r="T43" s="1"/>
      <c r="U43" s="1"/>
      <c r="V43" s="1"/>
      <c r="W43" s="1"/>
      <c r="X43" s="1"/>
      <c r="Y43" s="1"/>
      <c r="Z43" s="1"/>
    </row>
    <row r="44" spans="1:26" ht="19.5" customHeight="1">
      <c r="A44" s="2"/>
      <c r="B44" s="17"/>
      <c r="C44" s="13"/>
      <c r="D44" s="13"/>
      <c r="E44" s="13"/>
      <c r="F44" s="13"/>
      <c r="G44" s="13"/>
      <c r="H44" s="13"/>
      <c r="I44" s="13"/>
      <c r="J44" s="13"/>
      <c r="K44" s="13"/>
      <c r="L44" s="13"/>
      <c r="M44" s="1"/>
      <c r="N44" s="1"/>
      <c r="O44" s="1"/>
      <c r="P44" s="1"/>
      <c r="Q44" s="1"/>
      <c r="R44" s="1"/>
      <c r="S44" s="1"/>
      <c r="T44" s="1"/>
      <c r="U44" s="1"/>
      <c r="V44" s="1"/>
      <c r="W44" s="1"/>
      <c r="X44" s="1"/>
      <c r="Y44" s="1"/>
      <c r="Z44" s="1"/>
    </row>
    <row r="45" spans="1:26" ht="19.5" customHeight="1">
      <c r="A45" s="2"/>
      <c r="B45" s="17"/>
      <c r="C45" s="13"/>
      <c r="D45" s="13"/>
      <c r="E45" s="13"/>
      <c r="F45" s="13"/>
      <c r="G45" s="13"/>
      <c r="H45" s="13"/>
      <c r="I45" s="13"/>
      <c r="J45" s="13"/>
      <c r="K45" s="13"/>
      <c r="L45" s="13"/>
      <c r="M45" s="1"/>
      <c r="N45" s="1"/>
      <c r="O45" s="1"/>
      <c r="P45" s="1"/>
      <c r="Q45" s="1"/>
      <c r="R45" s="1"/>
      <c r="S45" s="1"/>
      <c r="T45" s="1"/>
      <c r="U45" s="1"/>
      <c r="V45" s="1"/>
      <c r="W45" s="1"/>
      <c r="X45" s="1"/>
      <c r="Y45" s="1"/>
      <c r="Z45" s="1"/>
    </row>
    <row r="46" spans="1:26" ht="19.5" customHeight="1">
      <c r="A46" s="2"/>
      <c r="B46" s="17"/>
      <c r="C46" s="13"/>
      <c r="D46" s="13"/>
      <c r="E46" s="13"/>
      <c r="F46" s="13"/>
      <c r="G46" s="13"/>
      <c r="H46" s="13"/>
      <c r="I46" s="13"/>
      <c r="J46" s="13"/>
      <c r="K46" s="13"/>
      <c r="L46" s="13"/>
      <c r="M46" s="1"/>
      <c r="N46" s="1"/>
      <c r="O46" s="1"/>
      <c r="P46" s="1"/>
      <c r="Q46" s="1"/>
      <c r="R46" s="1"/>
      <c r="S46" s="1"/>
      <c r="T46" s="1"/>
      <c r="U46" s="1"/>
      <c r="V46" s="1"/>
      <c r="W46" s="1"/>
      <c r="X46" s="1"/>
      <c r="Y46" s="1"/>
      <c r="Z46" s="1"/>
    </row>
    <row r="47" spans="1:26" ht="26.25" customHeight="1">
      <c r="A47" s="19"/>
      <c r="B47" s="20" t="s">
        <v>70</v>
      </c>
      <c r="C47" s="179" t="s">
        <v>71</v>
      </c>
      <c r="D47" s="164"/>
      <c r="E47" s="164"/>
      <c r="F47" s="164"/>
      <c r="G47" s="164"/>
      <c r="H47" s="164"/>
      <c r="I47" s="164"/>
      <c r="J47" s="164"/>
      <c r="K47" s="165"/>
      <c r="L47" s="21"/>
      <c r="M47" s="1"/>
      <c r="N47" s="1"/>
      <c r="O47" s="1"/>
      <c r="P47" s="1"/>
      <c r="Q47" s="1"/>
      <c r="R47" s="1"/>
      <c r="S47" s="1"/>
      <c r="T47" s="1"/>
      <c r="U47" s="1"/>
      <c r="V47" s="1"/>
      <c r="W47" s="1"/>
      <c r="X47" s="1"/>
      <c r="Y47" s="1"/>
      <c r="Z47" s="1"/>
    </row>
    <row r="48" spans="1:26" ht="19.5" customHeight="1">
      <c r="A48" s="23"/>
      <c r="B48" s="17"/>
      <c r="C48" s="13"/>
      <c r="D48" s="13"/>
      <c r="E48" s="13"/>
      <c r="F48" s="13"/>
      <c r="G48" s="13"/>
      <c r="H48" s="13"/>
      <c r="I48" s="13"/>
      <c r="J48" s="13"/>
      <c r="K48" s="13"/>
      <c r="L48" s="13"/>
      <c r="M48" s="1"/>
      <c r="N48" s="1"/>
      <c r="O48" s="1"/>
      <c r="P48" s="1"/>
      <c r="Q48" s="1"/>
      <c r="R48" s="1"/>
      <c r="S48" s="1"/>
      <c r="T48" s="1"/>
      <c r="U48" s="1"/>
      <c r="V48" s="1"/>
      <c r="W48" s="1"/>
      <c r="X48" s="1"/>
      <c r="Y48" s="1"/>
      <c r="Z48" s="1"/>
    </row>
    <row r="49" spans="1:26" ht="19.5" customHeight="1">
      <c r="A49" s="39" t="s">
        <v>72</v>
      </c>
      <c r="B49" s="22" t="s">
        <v>73</v>
      </c>
      <c r="C49" s="171" t="s">
        <v>74</v>
      </c>
      <c r="D49" s="164"/>
      <c r="E49" s="164"/>
      <c r="F49" s="164"/>
      <c r="G49" s="164"/>
      <c r="H49" s="164"/>
      <c r="I49" s="164"/>
      <c r="J49" s="164"/>
      <c r="K49" s="165"/>
      <c r="L49" s="13"/>
      <c r="M49" s="1"/>
      <c r="N49" s="1"/>
      <c r="O49" s="1"/>
      <c r="P49" s="1"/>
      <c r="Q49" s="1"/>
      <c r="R49" s="1"/>
      <c r="S49" s="1"/>
      <c r="T49" s="1"/>
      <c r="U49" s="1"/>
      <c r="V49" s="1"/>
      <c r="W49" s="1"/>
      <c r="X49" s="1"/>
      <c r="Y49" s="1"/>
      <c r="Z49" s="1"/>
    </row>
    <row r="50" spans="1:26" ht="19.5" customHeight="1">
      <c r="A50" s="11"/>
      <c r="B50" s="17"/>
      <c r="C50" s="13"/>
      <c r="D50" s="13"/>
      <c r="E50" s="13"/>
      <c r="F50" s="13"/>
      <c r="G50" s="13"/>
      <c r="H50" s="13"/>
      <c r="I50" s="13"/>
      <c r="J50" s="13"/>
      <c r="K50" s="13"/>
      <c r="L50" s="13"/>
      <c r="M50" s="1"/>
      <c r="N50" s="1"/>
      <c r="O50" s="1"/>
      <c r="P50" s="1"/>
      <c r="Q50" s="1"/>
      <c r="R50" s="1"/>
      <c r="S50" s="1"/>
      <c r="T50" s="1"/>
      <c r="U50" s="1"/>
      <c r="V50" s="1"/>
      <c r="W50" s="1"/>
      <c r="X50" s="1"/>
      <c r="Y50" s="1"/>
      <c r="Z50" s="1"/>
    </row>
    <row r="51" spans="1:26" ht="19.5" customHeight="1">
      <c r="A51" s="39" t="s">
        <v>75</v>
      </c>
      <c r="B51" s="22" t="s">
        <v>76</v>
      </c>
      <c r="C51" s="163" t="str">
        <f t="array" ref="C51">IF(C52="","?",C52)&amp;IF(C53="","","; downloaded "&amp;C53)&amp;IF(C54="","","; "&amp;C54)</f>
        <v>https://www.insee.fr/fr/metadonnees/definition/c1676; downloaded 2026-05-22</v>
      </c>
      <c r="D51" s="164"/>
      <c r="E51" s="164"/>
      <c r="F51" s="164"/>
      <c r="G51" s="164"/>
      <c r="H51" s="164"/>
      <c r="I51" s="164"/>
      <c r="J51" s="164"/>
      <c r="K51" s="165"/>
      <c r="L51" s="13"/>
      <c r="M51" s="1"/>
      <c r="N51" s="1"/>
      <c r="O51" s="1"/>
      <c r="P51" s="1"/>
      <c r="Q51" s="1"/>
      <c r="R51" s="1"/>
      <c r="S51" s="1"/>
      <c r="T51" s="1"/>
      <c r="U51" s="1"/>
      <c r="V51" s="1"/>
      <c r="W51" s="1"/>
      <c r="X51" s="1"/>
      <c r="Y51" s="1"/>
      <c r="Z51" s="1"/>
    </row>
    <row r="52" spans="1:26" ht="19.5" customHeight="1">
      <c r="A52" s="15"/>
      <c r="B52" s="22" t="s">
        <v>77</v>
      </c>
      <c r="C52" s="166" t="s">
        <v>78</v>
      </c>
      <c r="D52" s="164"/>
      <c r="E52" s="164"/>
      <c r="F52" s="164"/>
      <c r="G52" s="164"/>
      <c r="H52" s="164"/>
      <c r="I52" s="164"/>
      <c r="J52" s="164"/>
      <c r="K52" s="165"/>
      <c r="L52" s="13"/>
      <c r="M52" s="1"/>
      <c r="N52" s="1"/>
      <c r="O52" s="1"/>
      <c r="P52" s="1"/>
      <c r="Q52" s="1"/>
      <c r="R52" s="1"/>
      <c r="S52" s="1"/>
      <c r="T52" s="1"/>
      <c r="U52" s="1"/>
      <c r="V52" s="1"/>
      <c r="W52" s="1"/>
      <c r="X52" s="1"/>
      <c r="Y52" s="1"/>
      <c r="Z52" s="1"/>
    </row>
    <row r="53" spans="1:26" ht="19.5" customHeight="1">
      <c r="A53" s="23"/>
      <c r="B53" s="33" t="s">
        <v>79</v>
      </c>
      <c r="C53" s="166" t="s">
        <v>80</v>
      </c>
      <c r="D53" s="164"/>
      <c r="E53" s="164"/>
      <c r="F53" s="164"/>
      <c r="G53" s="164"/>
      <c r="H53" s="164"/>
      <c r="I53" s="164"/>
      <c r="J53" s="164"/>
      <c r="K53" s="165"/>
      <c r="L53" s="13"/>
      <c r="M53" s="1"/>
      <c r="N53" s="1"/>
      <c r="O53" s="1"/>
      <c r="P53" s="1"/>
      <c r="Q53" s="1"/>
      <c r="R53" s="1"/>
      <c r="S53" s="1"/>
      <c r="T53" s="1"/>
      <c r="U53" s="1"/>
      <c r="V53" s="1"/>
      <c r="W53" s="1"/>
      <c r="X53" s="1"/>
      <c r="Y53" s="1"/>
      <c r="Z53" s="1"/>
    </row>
    <row r="54" spans="1:26" ht="19.5" customHeight="1">
      <c r="A54" s="11"/>
      <c r="B54" s="12" t="s">
        <v>81</v>
      </c>
      <c r="C54" s="171"/>
      <c r="D54" s="164"/>
      <c r="E54" s="164"/>
      <c r="F54" s="164"/>
      <c r="G54" s="164"/>
      <c r="H54" s="164"/>
      <c r="I54" s="164"/>
      <c r="J54" s="164"/>
      <c r="K54" s="165"/>
      <c r="L54" s="13"/>
      <c r="M54" s="1"/>
      <c r="N54" s="1"/>
      <c r="O54" s="1"/>
      <c r="P54" s="1"/>
      <c r="Q54" s="1"/>
      <c r="R54" s="1"/>
      <c r="S54" s="1"/>
      <c r="T54" s="1"/>
      <c r="U54" s="1"/>
      <c r="V54" s="1"/>
      <c r="W54" s="1"/>
      <c r="X54" s="1"/>
      <c r="Y54" s="1"/>
      <c r="Z54" s="1"/>
    </row>
    <row r="55" spans="1:26" ht="19.5" customHeight="1">
      <c r="A55" s="11"/>
      <c r="B55" s="12" t="s">
        <v>82</v>
      </c>
      <c r="C55" s="171" t="s">
        <v>83</v>
      </c>
      <c r="D55" s="164"/>
      <c r="E55" s="164"/>
      <c r="F55" s="164"/>
      <c r="G55" s="164"/>
      <c r="H55" s="164"/>
      <c r="I55" s="164"/>
      <c r="J55" s="164"/>
      <c r="K55" s="165"/>
      <c r="L55" s="13"/>
      <c r="M55" s="1"/>
      <c r="N55" s="1"/>
      <c r="O55" s="1"/>
      <c r="P55" s="1"/>
      <c r="Q55" s="1"/>
      <c r="R55" s="1"/>
      <c r="S55" s="1"/>
      <c r="T55" s="1"/>
      <c r="U55" s="1"/>
      <c r="V55" s="1"/>
      <c r="W55" s="1"/>
      <c r="X55" s="1"/>
      <c r="Y55" s="1"/>
      <c r="Z55" s="1"/>
    </row>
    <row r="56" spans="1:26" ht="19.5" customHeight="1">
      <c r="A56" s="11"/>
      <c r="B56" s="12" t="s">
        <v>84</v>
      </c>
      <c r="C56" s="171"/>
      <c r="D56" s="164"/>
      <c r="E56" s="164"/>
      <c r="F56" s="164"/>
      <c r="G56" s="164"/>
      <c r="H56" s="164"/>
      <c r="I56" s="164"/>
      <c r="J56" s="164"/>
      <c r="K56" s="165"/>
      <c r="L56" s="13"/>
      <c r="M56" s="1"/>
      <c r="N56" s="1"/>
      <c r="O56" s="1"/>
      <c r="P56" s="1"/>
      <c r="Q56" s="1"/>
      <c r="R56" s="1"/>
      <c r="S56" s="1"/>
      <c r="T56" s="1"/>
      <c r="U56" s="1"/>
      <c r="V56" s="1"/>
      <c r="W56" s="1"/>
      <c r="X56" s="1"/>
      <c r="Y56" s="1"/>
      <c r="Z56" s="1"/>
    </row>
    <row r="57" spans="1:26" ht="19.5" customHeight="1">
      <c r="A57" s="15"/>
      <c r="B57" s="16"/>
      <c r="C57" s="13"/>
      <c r="D57" s="13"/>
      <c r="E57" s="13"/>
      <c r="F57" s="13"/>
      <c r="G57" s="13"/>
      <c r="H57" s="13"/>
      <c r="I57" s="13"/>
      <c r="J57" s="13"/>
      <c r="K57" s="13"/>
      <c r="L57" s="13"/>
      <c r="M57" s="1"/>
      <c r="N57" s="1"/>
      <c r="O57" s="1"/>
      <c r="P57" s="1"/>
      <c r="Q57" s="1"/>
      <c r="R57" s="1"/>
      <c r="S57" s="1"/>
      <c r="T57" s="1"/>
      <c r="U57" s="1"/>
      <c r="V57" s="1"/>
      <c r="W57" s="1"/>
      <c r="X57" s="1"/>
      <c r="Y57" s="1"/>
      <c r="Z57" s="1"/>
    </row>
    <row r="58" spans="1:26" ht="26.25" customHeight="1">
      <c r="A58" s="19"/>
      <c r="B58" s="20" t="s">
        <v>85</v>
      </c>
      <c r="C58" s="179" t="s">
        <v>86</v>
      </c>
      <c r="D58" s="164"/>
      <c r="E58" s="164"/>
      <c r="F58" s="164"/>
      <c r="G58" s="164"/>
      <c r="H58" s="164"/>
      <c r="I58" s="164"/>
      <c r="J58" s="164"/>
      <c r="K58" s="165"/>
      <c r="L58" s="21"/>
      <c r="M58" s="1"/>
      <c r="N58" s="1"/>
      <c r="O58" s="1"/>
      <c r="P58" s="1"/>
      <c r="Q58" s="1"/>
      <c r="R58" s="1"/>
      <c r="S58" s="1"/>
      <c r="T58" s="1"/>
      <c r="U58" s="1"/>
      <c r="V58" s="1"/>
      <c r="W58" s="1"/>
      <c r="X58" s="1"/>
      <c r="Y58" s="1"/>
      <c r="Z58" s="1"/>
    </row>
    <row r="59" spans="1:26" ht="19.5" customHeight="1">
      <c r="A59" s="23"/>
      <c r="B59" s="24"/>
      <c r="C59" s="25"/>
      <c r="D59" s="25"/>
      <c r="E59" s="25"/>
      <c r="F59" s="25"/>
      <c r="G59" s="25"/>
      <c r="H59" s="25"/>
      <c r="I59" s="25"/>
      <c r="J59" s="25"/>
      <c r="K59" s="25"/>
      <c r="L59" s="13"/>
      <c r="M59" s="1"/>
      <c r="N59" s="1"/>
      <c r="O59" s="1"/>
      <c r="P59" s="1"/>
      <c r="Q59" s="1"/>
      <c r="R59" s="1"/>
      <c r="S59" s="1"/>
      <c r="T59" s="1"/>
      <c r="U59" s="1"/>
      <c r="V59" s="1"/>
      <c r="W59" s="1"/>
      <c r="X59" s="1"/>
      <c r="Y59" s="1"/>
      <c r="Z59" s="1"/>
    </row>
    <row r="60" spans="1:26" ht="19.5" customHeight="1">
      <c r="A60" s="39" t="s">
        <v>87</v>
      </c>
      <c r="B60" s="12" t="s">
        <v>88</v>
      </c>
      <c r="C60" s="40">
        <f t="array" ref="C60">($D60*population!$D109+$E60*population!$E109+$F60*population!$F109+$G60*population!$G109)/population!C109</f>
        <v>82.933347768522097</v>
      </c>
      <c r="D60" s="41">
        <v>85.7</v>
      </c>
      <c r="E60" s="41">
        <v>80</v>
      </c>
      <c r="F60" s="41">
        <v>85.7</v>
      </c>
      <c r="G60" s="41">
        <v>80</v>
      </c>
      <c r="H60" s="40">
        <f t="array" ref="H60">($D60*population!$D109+$E60*population!$E109)/population!H109</f>
        <v>82.94608802418918</v>
      </c>
      <c r="I60" s="40">
        <f t="array" ref="I60">($F60*population!$F109+$G60*population!$G109)/population!I109</f>
        <v>82.887623837570672</v>
      </c>
      <c r="J60" s="40">
        <f t="array" ref="J60">($D60*population!$D109+$F60*population!$F109)/population!J109</f>
        <v>85.7</v>
      </c>
      <c r="K60" s="40">
        <f t="array" ref="K60">($E60*population!$E109+$G60*population!$G109)/population!K109</f>
        <v>80</v>
      </c>
      <c r="L60" s="13"/>
      <c r="M60" s="1"/>
      <c r="N60" s="1"/>
      <c r="O60" s="1"/>
      <c r="P60" s="1"/>
      <c r="Q60" s="1"/>
      <c r="R60" s="1"/>
      <c r="S60" s="1"/>
      <c r="T60" s="1"/>
      <c r="U60" s="1"/>
      <c r="V60" s="1"/>
      <c r="W60" s="1"/>
      <c r="X60" s="1"/>
      <c r="Y60" s="1"/>
      <c r="Z60" s="1"/>
    </row>
    <row r="61" spans="1:26" ht="19.5" customHeight="1">
      <c r="A61" s="15"/>
      <c r="B61" s="16"/>
      <c r="C61" s="32"/>
      <c r="D61" s="32"/>
      <c r="E61" s="32"/>
      <c r="F61" s="32"/>
      <c r="G61" s="32"/>
      <c r="H61" s="32"/>
      <c r="I61" s="32"/>
      <c r="J61" s="32"/>
      <c r="K61" s="32"/>
      <c r="L61" s="13"/>
      <c r="M61" s="1"/>
      <c r="N61" s="1"/>
      <c r="O61" s="1"/>
      <c r="P61" s="1"/>
      <c r="Q61" s="1"/>
      <c r="R61" s="1"/>
      <c r="S61" s="1"/>
      <c r="T61" s="1"/>
      <c r="U61" s="1"/>
      <c r="V61" s="1"/>
      <c r="W61" s="1"/>
      <c r="X61" s="1"/>
      <c r="Y61" s="1"/>
      <c r="Z61" s="1"/>
    </row>
    <row r="62" spans="1:26" ht="19.5" customHeight="1">
      <c r="A62" s="3" t="s">
        <v>89</v>
      </c>
      <c r="B62" s="22" t="s">
        <v>76</v>
      </c>
      <c r="C62" s="163" t="str">
        <f t="array" ref="C62">IF(C63="","?",C63)&amp;IF(C64="","","; downloaded "&amp;C64)&amp;IF(C65="","","; "&amp;C65)</f>
        <v>https://www.insee.fr/fr/statistiques/8719824, https://www.insee.fr/fr/statistiques/8313953; downloaded 2026-05-22</v>
      </c>
      <c r="D62" s="164"/>
      <c r="E62" s="164"/>
      <c r="F62" s="164"/>
      <c r="G62" s="164"/>
      <c r="H62" s="164"/>
      <c r="I62" s="164"/>
      <c r="J62" s="164"/>
      <c r="K62" s="165"/>
      <c r="L62" s="13"/>
      <c r="M62" s="1"/>
      <c r="N62" s="1"/>
      <c r="O62" s="1"/>
      <c r="P62" s="1"/>
      <c r="Q62" s="1"/>
      <c r="R62" s="1"/>
      <c r="S62" s="1"/>
      <c r="T62" s="1"/>
      <c r="U62" s="1"/>
      <c r="V62" s="1"/>
      <c r="W62" s="1"/>
      <c r="X62" s="1"/>
      <c r="Y62" s="1"/>
      <c r="Z62" s="1"/>
    </row>
    <row r="63" spans="1:26" ht="19.5" customHeight="1">
      <c r="A63" s="2"/>
      <c r="B63" s="22" t="s">
        <v>77</v>
      </c>
      <c r="C63" s="166" t="s">
        <v>90</v>
      </c>
      <c r="D63" s="164"/>
      <c r="E63" s="164"/>
      <c r="F63" s="164"/>
      <c r="G63" s="164"/>
      <c r="H63" s="164"/>
      <c r="I63" s="164"/>
      <c r="J63" s="164"/>
      <c r="K63" s="165"/>
      <c r="L63" s="13"/>
      <c r="M63" s="1"/>
      <c r="N63" s="1"/>
      <c r="O63" s="1"/>
      <c r="P63" s="1"/>
      <c r="Q63" s="1"/>
      <c r="R63" s="1"/>
      <c r="S63" s="1"/>
      <c r="T63" s="1"/>
      <c r="U63" s="1"/>
      <c r="V63" s="1"/>
      <c r="W63" s="1"/>
      <c r="X63" s="1"/>
      <c r="Y63" s="1"/>
      <c r="Z63" s="1"/>
    </row>
    <row r="64" spans="1:26" ht="19.5" customHeight="1">
      <c r="A64" s="23"/>
      <c r="B64" s="33" t="s">
        <v>79</v>
      </c>
      <c r="C64" s="166" t="s">
        <v>80</v>
      </c>
      <c r="D64" s="164"/>
      <c r="E64" s="164"/>
      <c r="F64" s="164"/>
      <c r="G64" s="164"/>
      <c r="H64" s="164"/>
      <c r="I64" s="164"/>
      <c r="J64" s="164"/>
      <c r="K64" s="165"/>
      <c r="L64" s="13"/>
      <c r="M64" s="1"/>
      <c r="N64" s="1"/>
      <c r="O64" s="1"/>
      <c r="P64" s="1"/>
      <c r="Q64" s="1"/>
      <c r="R64" s="1"/>
      <c r="S64" s="1"/>
      <c r="T64" s="1"/>
      <c r="U64" s="1"/>
      <c r="V64" s="1"/>
      <c r="W64" s="1"/>
      <c r="X64" s="1"/>
      <c r="Y64" s="1"/>
      <c r="Z64" s="1"/>
    </row>
    <row r="65" spans="1:26" ht="19.5" customHeight="1">
      <c r="A65" s="11"/>
      <c r="B65" s="12" t="s">
        <v>81</v>
      </c>
      <c r="C65" s="171"/>
      <c r="D65" s="164"/>
      <c r="E65" s="164"/>
      <c r="F65" s="164"/>
      <c r="G65" s="164"/>
      <c r="H65" s="164"/>
      <c r="I65" s="164"/>
      <c r="J65" s="164"/>
      <c r="K65" s="165"/>
      <c r="L65" s="13"/>
      <c r="M65" s="1"/>
      <c r="N65" s="1"/>
      <c r="O65" s="1"/>
      <c r="P65" s="1"/>
      <c r="Q65" s="1"/>
      <c r="R65" s="1"/>
      <c r="S65" s="1"/>
      <c r="T65" s="1"/>
      <c r="U65" s="1"/>
      <c r="V65" s="1"/>
      <c r="W65" s="1"/>
      <c r="X65" s="1"/>
      <c r="Y65" s="1"/>
      <c r="Z65" s="1"/>
    </row>
    <row r="66" spans="1:26" ht="19.5" customHeight="1">
      <c r="A66" s="11"/>
      <c r="B66" s="12" t="s">
        <v>82</v>
      </c>
      <c r="C66" s="171" t="s">
        <v>91</v>
      </c>
      <c r="D66" s="164"/>
      <c r="E66" s="164"/>
      <c r="F66" s="164"/>
      <c r="G66" s="164"/>
      <c r="H66" s="164"/>
      <c r="I66" s="164"/>
      <c r="J66" s="164"/>
      <c r="K66" s="165"/>
      <c r="L66" s="13"/>
      <c r="M66" s="1"/>
      <c r="N66" s="1"/>
      <c r="O66" s="1"/>
      <c r="P66" s="1"/>
      <c r="Q66" s="1"/>
      <c r="R66" s="1"/>
      <c r="S66" s="1"/>
      <c r="T66" s="1"/>
      <c r="U66" s="1"/>
      <c r="V66" s="1"/>
      <c r="W66" s="1"/>
      <c r="X66" s="1"/>
      <c r="Y66" s="1"/>
      <c r="Z66" s="1"/>
    </row>
    <row r="67" spans="1:26" ht="19.5" customHeight="1">
      <c r="A67" s="11"/>
      <c r="B67" s="12" t="s">
        <v>84</v>
      </c>
      <c r="C67" s="171"/>
      <c r="D67" s="164"/>
      <c r="E67" s="164"/>
      <c r="F67" s="164"/>
      <c r="G67" s="164"/>
      <c r="H67" s="164"/>
      <c r="I67" s="164"/>
      <c r="J67" s="164"/>
      <c r="K67" s="165"/>
      <c r="L67" s="13"/>
      <c r="M67" s="1"/>
      <c r="N67" s="1"/>
      <c r="O67" s="1"/>
      <c r="P67" s="1"/>
      <c r="Q67" s="1"/>
      <c r="R67" s="1"/>
      <c r="S67" s="1"/>
      <c r="T67" s="1"/>
      <c r="U67" s="1"/>
      <c r="V67" s="1"/>
      <c r="W67" s="1"/>
      <c r="X67" s="1"/>
      <c r="Y67" s="1"/>
      <c r="Z67" s="1"/>
    </row>
    <row r="68" spans="1:26" ht="19.5" customHeight="1">
      <c r="A68" s="42"/>
      <c r="B68" s="43"/>
      <c r="C68" s="44"/>
      <c r="D68" s="45"/>
      <c r="E68" s="45"/>
      <c r="F68" s="45"/>
      <c r="G68" s="45"/>
      <c r="H68" s="45"/>
      <c r="I68" s="45"/>
      <c r="J68" s="45"/>
      <c r="K68" s="45"/>
      <c r="L68" s="45"/>
      <c r="M68" s="1"/>
      <c r="N68" s="1"/>
      <c r="O68" s="1"/>
      <c r="P68" s="1"/>
      <c r="Q68" s="1"/>
      <c r="R68" s="1"/>
      <c r="S68" s="1"/>
      <c r="T68" s="1"/>
      <c r="U68" s="1"/>
      <c r="V68" s="1"/>
      <c r="W68" s="1"/>
      <c r="X68" s="1"/>
      <c r="Y68" s="1"/>
      <c r="Z68" s="1"/>
    </row>
    <row r="69" spans="1:26" ht="19.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9.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9.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9.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9.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9.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9.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9.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9.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9.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9.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9.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9.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9.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9.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9.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9.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9.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9.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9.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9.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9.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9.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9.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9.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9.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9.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9.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9.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9.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9.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9.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9.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9.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9.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9.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9.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9.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9.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9.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9.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9.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9.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9.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9.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9.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9.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9.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9.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9.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9.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9.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9.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9.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9.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9.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9.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9.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9.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9.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9.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9.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9.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9.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9.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9.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9.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9.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9.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9.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9.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9.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9.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9.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9.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9.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9.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9.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9.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9.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9.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9.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9.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9.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9.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9.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9.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9.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9.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9.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9.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9.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9.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9.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9.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9.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9.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9.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9.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9.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9.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9.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9.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9.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9.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9.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9.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9.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9.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9.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9.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9.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9.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9.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9.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9.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9.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9.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9.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9.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9.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9.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9.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9.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9.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9.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9.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9.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9.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9.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9.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9.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9.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9.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9.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9.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9.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9.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9.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9.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9.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9.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9.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9.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9.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9.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9.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9.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9.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9.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9.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9.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9.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9.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9.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9.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9.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9.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9.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9.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9.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9.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9.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9.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9.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9.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9.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9.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9.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9.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9.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9.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9.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9.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9.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9.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9.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9.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9.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9.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9.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9.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9.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9.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9.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9.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9.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9.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9.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9.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9.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9.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9.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9.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9.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9.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9.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9.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9.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9.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9.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9.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9.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9.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9.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9.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9.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9.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9.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9.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9.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9.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9.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9.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9.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9.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9.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9.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9.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9.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9.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9.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9.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9.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9.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9.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9.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9.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9.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9.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9.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9.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9.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9.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9.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9.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9.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9.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9.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9.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9.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9.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9.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9.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9.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9.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9.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9.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9.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9.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9.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9.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9.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9.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9.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9.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9.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9.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9.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9.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9.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9.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9.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9.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9.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9.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9.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9.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9.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9.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9.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9.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9.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9.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9.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9.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9.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9.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9.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9.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9.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9.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9.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9.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9.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9.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9.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9.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9.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9.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9.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9.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9.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9.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9.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9.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9.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9.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9.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9.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9.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9.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9.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9.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9.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9.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9.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9.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9.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9.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9.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9.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9.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9.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9.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9.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9.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9.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9.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9.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9.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9.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9.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9.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9.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9.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9.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9.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9.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9.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9.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9.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9.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9.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9.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9.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9.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9.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9.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9.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9.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9.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9.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9.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9.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9.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9.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9.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9.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9.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9.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9.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9.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9.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9.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9.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9.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9.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9.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9.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9.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9.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9.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9.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9.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9.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9.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9.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9.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9.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9.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9.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9.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9.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9.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9.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9.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9.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9.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9.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9.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9.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9.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9.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9.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9.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9.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9.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9.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9.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9.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9.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9.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9.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9.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9.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9.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9.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9.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9.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9.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9.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9.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9.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9.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9.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9.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9.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9.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9.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9.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9.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9.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9.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9.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9.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9.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9.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9.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9.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9.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9.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9.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9.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9.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9.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9.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9.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9.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9.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9.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9.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9.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9.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9.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9.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9.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9.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9.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9.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9.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9.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9.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9.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9.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9.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9.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9.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9.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9.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9.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9.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9.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9.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9.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9.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9.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9.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9.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9.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9.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9.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9.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9.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9.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9.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9.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9.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9.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9.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9.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9.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9.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9.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9.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9.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9.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9.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9.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9.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9.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9.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9.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9.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9.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9.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9.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9.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9.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9.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9.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9.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9.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9.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9.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9.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9.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9.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9.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9.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9.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9.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9.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9.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9.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9.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9.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9.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9.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9.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9.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9.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9.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9.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9.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9.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9.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9.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9.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9.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9.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9.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9.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9.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9.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9.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9.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9.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9.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9.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9.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9.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9.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9.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9.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9.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9.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9.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9.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9.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9.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9.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9.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9.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9.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9.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9.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9.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9.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9.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9.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9.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9.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9.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9.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9.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9.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9.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9.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9.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9.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9.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9.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9.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9.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9.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9.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9.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9.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9.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9.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9.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9.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9.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9.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9.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9.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9.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9.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9.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9.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9.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9.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9.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9.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9.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9.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9.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9.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9.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9.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9.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9.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9.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9.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9.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9.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9.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9.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9.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9.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9.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9.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9.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9.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9.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9.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9.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9.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9.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9.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9.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9.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9.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9.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9.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9.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9.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9.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9.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9.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9.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9.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9.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9.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9.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9.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9.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9.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9.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9.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9.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9.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9.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9.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9.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9.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9.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9.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9.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9.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9.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9.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9.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9.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9.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9.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9.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9.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9.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9.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9.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9.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9.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9.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9.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9.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9.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9.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9.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9.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9.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9.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9.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9.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9.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9.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9.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9.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9.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9.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9.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9.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9.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9.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9.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9.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9.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9.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9.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9.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9.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9.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9.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9.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9.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9.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9.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9.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9.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9.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9.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9.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9.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9.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9.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9.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9.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9.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9.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9.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9.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9.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9.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9.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9.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9.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9.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9.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9.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9.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9.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9.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9.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9.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9.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9.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9.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9.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9.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9.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9.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9.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9.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9.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9.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9.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9.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9.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9.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9.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9.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9.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9.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9.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9.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9.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9.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9.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9.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9.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9.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9.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9.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9.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9.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9.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9.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9.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9.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9.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9.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9.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9.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9.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9.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9.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9.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9.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9.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9.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9.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9.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9.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9.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9.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9.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9.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9.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9.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9.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9.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9.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9.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9.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9.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9.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9.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9.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9.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9.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9.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9.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9.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9.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9.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9.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9.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9.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9.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9.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9.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9.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9.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9.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9.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9.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9.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9.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9.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9.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9.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9.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9.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9.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9.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9.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9.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9.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9.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9.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9.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9.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9.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9.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9.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9.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9.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9.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9.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9.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9.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9.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9.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9.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9.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9.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9.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9.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9.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9.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9.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9.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9.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9.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9.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9.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9.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9.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9.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9.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9.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9.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9.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9.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9.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9.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9.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9.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9.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9.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9.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9.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9.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9.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9.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9.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9.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9.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9.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9.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9.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9.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9.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9.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9.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9.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9.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9.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9.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9.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9.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9.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9.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9.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9.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9.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9.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9.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9.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9.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9.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9.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9.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9.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9.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9.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9.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9.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9.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9.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9.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9.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9.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9.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9.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9.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9.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9.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9.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9.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9.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9.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9.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9.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9.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9.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9.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9.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9.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9.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9.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9.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9.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9.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9.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9.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9.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9.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9.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9.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9.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9.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9.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9.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9.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9.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9.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9.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9.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9.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9.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35">
    <mergeCell ref="C65:K65"/>
    <mergeCell ref="C66:K66"/>
    <mergeCell ref="C67:K67"/>
    <mergeCell ref="C49:K49"/>
    <mergeCell ref="C51:K51"/>
    <mergeCell ref="C52:K52"/>
    <mergeCell ref="C53:K53"/>
    <mergeCell ref="C54:K54"/>
    <mergeCell ref="C55:K55"/>
    <mergeCell ref="C56:K56"/>
    <mergeCell ref="C47:K47"/>
    <mergeCell ref="C58:K58"/>
    <mergeCell ref="C62:K62"/>
    <mergeCell ref="C63:K63"/>
    <mergeCell ref="C64:K64"/>
    <mergeCell ref="C31:K31"/>
    <mergeCell ref="D34:G34"/>
    <mergeCell ref="D35:G35"/>
    <mergeCell ref="D36:G36"/>
    <mergeCell ref="D37:G37"/>
    <mergeCell ref="E17:G17"/>
    <mergeCell ref="D21:G21"/>
    <mergeCell ref="E24:G24"/>
    <mergeCell ref="D26:G26"/>
    <mergeCell ref="D28:G28"/>
    <mergeCell ref="C10:K10"/>
    <mergeCell ref="C11:K11"/>
    <mergeCell ref="C12:K12"/>
    <mergeCell ref="C13:K13"/>
    <mergeCell ref="C15:K15"/>
    <mergeCell ref="A1:L1"/>
    <mergeCell ref="C5:K5"/>
    <mergeCell ref="C6:K6"/>
    <mergeCell ref="C7:K7"/>
    <mergeCell ref="C8:K8"/>
  </mergeCells>
  <pageMargins left="1" right="1" top="1" bottom="1" header="0" footer="0"/>
  <pageSetup orientation="portrait"/>
  <headerFooter>
    <oddFooter>&amp;C 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1000"/>
  <sheetViews>
    <sheetView showGridLines="0" workbookViewId="0">
      <pane xSplit="2" ySplit="3" topLeftCell="C4" activePane="bottomRight" state="frozen"/>
      <selection pane="topRight" activeCell="C1" sqref="C1"/>
      <selection pane="bottomLeft" activeCell="A4" sqref="A4"/>
      <selection pane="bottomRight" activeCell="C4" sqref="C4"/>
    </sheetView>
  </sheetViews>
  <sheetFormatPr baseColWidth="10" defaultColWidth="14.42578125" defaultRowHeight="15" customHeight="1"/>
  <cols>
    <col min="1" max="1" width="6.7109375" customWidth="1"/>
    <col min="2" max="2" width="33.28515625" customWidth="1"/>
    <col min="3" max="12" width="13.28515625" customWidth="1"/>
    <col min="13" max="26" width="16.28515625" customWidth="1"/>
  </cols>
  <sheetData>
    <row r="1" spans="1:26" ht="27" customHeight="1">
      <c r="A1" s="155" t="s">
        <v>92</v>
      </c>
      <c r="B1" s="156"/>
      <c r="C1" s="156"/>
      <c r="D1" s="156"/>
      <c r="E1" s="156"/>
      <c r="F1" s="156"/>
      <c r="G1" s="156"/>
      <c r="H1" s="156"/>
      <c r="I1" s="156"/>
      <c r="J1" s="156"/>
      <c r="K1" s="156"/>
      <c r="L1" s="156"/>
      <c r="M1" s="1"/>
      <c r="N1" s="1"/>
      <c r="O1" s="1"/>
      <c r="P1" s="1"/>
      <c r="Q1" s="1"/>
      <c r="R1" s="1"/>
      <c r="S1" s="1"/>
      <c r="T1" s="1"/>
      <c r="U1" s="1"/>
      <c r="V1" s="1"/>
      <c r="W1" s="1"/>
      <c r="X1" s="1"/>
      <c r="Y1" s="1"/>
      <c r="Z1" s="1"/>
    </row>
    <row r="2" spans="1:26" ht="19.5" customHeight="1">
      <c r="A2" s="2"/>
      <c r="B2" s="2"/>
      <c r="C2" s="3" t="s">
        <v>1</v>
      </c>
      <c r="D2" s="3" t="s">
        <v>2</v>
      </c>
      <c r="E2" s="3" t="s">
        <v>3</v>
      </c>
      <c r="F2" s="3" t="s">
        <v>4</v>
      </c>
      <c r="G2" s="3" t="s">
        <v>5</v>
      </c>
      <c r="H2" s="3" t="s">
        <v>6</v>
      </c>
      <c r="I2" s="3" t="s">
        <v>7</v>
      </c>
      <c r="J2" s="3" t="s">
        <v>8</v>
      </c>
      <c r="K2" s="3" t="s">
        <v>9</v>
      </c>
      <c r="L2" s="2"/>
      <c r="M2" s="1"/>
      <c r="N2" s="1"/>
      <c r="O2" s="1"/>
      <c r="P2" s="1"/>
      <c r="Q2" s="1"/>
      <c r="R2" s="1"/>
      <c r="S2" s="1"/>
      <c r="T2" s="1"/>
      <c r="U2" s="1"/>
      <c r="V2" s="1"/>
      <c r="W2" s="1"/>
      <c r="X2" s="1"/>
      <c r="Y2" s="1"/>
      <c r="Z2" s="1"/>
    </row>
    <row r="3" spans="1:26" ht="32.25" customHeight="1">
      <c r="A3" s="23"/>
      <c r="B3" s="46" t="str">
        <f t="array" ref="B3">overview!C11&amp;" / "&amp;overview!C12</f>
        <v>FR / France</v>
      </c>
      <c r="C3" s="47" t="s">
        <v>10</v>
      </c>
      <c r="D3" s="47" t="s">
        <v>11</v>
      </c>
      <c r="E3" s="47" t="s">
        <v>12</v>
      </c>
      <c r="F3" s="47" t="s">
        <v>13</v>
      </c>
      <c r="G3" s="47" t="s">
        <v>14</v>
      </c>
      <c r="H3" s="47" t="s">
        <v>15</v>
      </c>
      <c r="I3" s="47" t="s">
        <v>16</v>
      </c>
      <c r="J3" s="47" t="s">
        <v>17</v>
      </c>
      <c r="K3" s="47" t="s">
        <v>18</v>
      </c>
      <c r="L3" s="6" t="s">
        <v>19</v>
      </c>
      <c r="M3" s="1"/>
      <c r="N3" s="1"/>
      <c r="O3" s="1"/>
      <c r="P3" s="1"/>
      <c r="Q3" s="1"/>
      <c r="R3" s="1"/>
      <c r="S3" s="1"/>
      <c r="T3" s="1"/>
      <c r="U3" s="1"/>
      <c r="V3" s="1"/>
      <c r="W3" s="1"/>
      <c r="X3" s="1"/>
      <c r="Y3" s="1"/>
      <c r="Z3" s="1"/>
    </row>
    <row r="4" spans="1:26" ht="33" customHeight="1">
      <c r="A4" s="48"/>
      <c r="B4" s="49" t="s">
        <v>93</v>
      </c>
      <c r="C4" s="184" t="s">
        <v>94</v>
      </c>
      <c r="D4" s="158"/>
      <c r="E4" s="158"/>
      <c r="F4" s="158"/>
      <c r="G4" s="158"/>
      <c r="H4" s="158"/>
      <c r="I4" s="158"/>
      <c r="J4" s="158"/>
      <c r="K4" s="159"/>
      <c r="L4" s="50"/>
      <c r="M4" s="1"/>
      <c r="N4" s="1"/>
      <c r="O4" s="1"/>
      <c r="P4" s="1"/>
      <c r="Q4" s="1"/>
      <c r="R4" s="1"/>
      <c r="S4" s="1"/>
      <c r="T4" s="1"/>
      <c r="U4" s="1"/>
      <c r="V4" s="1"/>
      <c r="W4" s="1"/>
      <c r="X4" s="1"/>
      <c r="Y4" s="1"/>
      <c r="Z4" s="1"/>
    </row>
    <row r="5" spans="1:26" ht="26.25" customHeight="1">
      <c r="A5" s="51"/>
      <c r="B5" s="52" t="s">
        <v>95</v>
      </c>
      <c r="C5" s="160" t="s">
        <v>96</v>
      </c>
      <c r="D5" s="161"/>
      <c r="E5" s="161"/>
      <c r="F5" s="161"/>
      <c r="G5" s="161"/>
      <c r="H5" s="161"/>
      <c r="I5" s="161"/>
      <c r="J5" s="161"/>
      <c r="K5" s="162"/>
      <c r="L5" s="21"/>
      <c r="M5" s="1"/>
      <c r="N5" s="1"/>
      <c r="O5" s="1"/>
      <c r="P5" s="1"/>
      <c r="Q5" s="1"/>
      <c r="R5" s="1"/>
      <c r="S5" s="1"/>
      <c r="T5" s="1"/>
      <c r="U5" s="1"/>
      <c r="V5" s="1"/>
      <c r="W5" s="1"/>
      <c r="X5" s="1"/>
      <c r="Y5" s="1"/>
      <c r="Z5" s="1"/>
    </row>
    <row r="6" spans="1:26" ht="19.5" customHeight="1">
      <c r="A6" s="2"/>
      <c r="B6" s="17"/>
      <c r="C6" s="53"/>
      <c r="D6" s="53"/>
      <c r="E6" s="53"/>
      <c r="F6" s="53"/>
      <c r="G6" s="53"/>
      <c r="H6" s="53"/>
      <c r="I6" s="53"/>
      <c r="J6" s="53"/>
      <c r="K6" s="53"/>
      <c r="L6" s="53"/>
      <c r="M6" s="1"/>
      <c r="N6" s="1"/>
      <c r="O6" s="1"/>
      <c r="P6" s="1"/>
      <c r="Q6" s="1"/>
      <c r="R6" s="1"/>
      <c r="S6" s="1"/>
      <c r="T6" s="1"/>
      <c r="U6" s="1"/>
      <c r="V6" s="1"/>
      <c r="W6" s="1"/>
      <c r="X6" s="1"/>
      <c r="Y6" s="1"/>
      <c r="Z6" s="1"/>
    </row>
    <row r="7" spans="1:26" ht="19.5" customHeight="1">
      <c r="A7" s="3" t="s">
        <v>97</v>
      </c>
      <c r="B7" s="22" t="s">
        <v>98</v>
      </c>
      <c r="C7" s="54">
        <v>2025</v>
      </c>
      <c r="D7" s="53"/>
      <c r="E7" s="53"/>
      <c r="F7" s="53"/>
      <c r="G7" s="53"/>
      <c r="H7" s="53"/>
      <c r="I7" s="53"/>
      <c r="J7" s="53"/>
      <c r="K7" s="53"/>
      <c r="L7" s="53"/>
      <c r="M7" s="1"/>
      <c r="N7" s="1"/>
      <c r="O7" s="1"/>
      <c r="P7" s="1"/>
      <c r="Q7" s="1"/>
      <c r="R7" s="1"/>
      <c r="S7" s="1"/>
      <c r="T7" s="1"/>
      <c r="U7" s="1"/>
      <c r="V7" s="1"/>
      <c r="W7" s="1"/>
      <c r="X7" s="1"/>
      <c r="Y7" s="1"/>
      <c r="Z7" s="1"/>
    </row>
    <row r="8" spans="1:26" ht="19.5" customHeight="1">
      <c r="A8" s="2"/>
      <c r="B8" s="17"/>
      <c r="C8" s="55"/>
      <c r="D8" s="53"/>
      <c r="E8" s="53"/>
      <c r="F8" s="53"/>
      <c r="G8" s="53"/>
      <c r="H8" s="53"/>
      <c r="I8" s="53"/>
      <c r="J8" s="53"/>
      <c r="K8" s="53"/>
      <c r="L8" s="53"/>
      <c r="M8" s="1"/>
      <c r="N8" s="1"/>
      <c r="O8" s="1"/>
      <c r="P8" s="1"/>
      <c r="Q8" s="1"/>
      <c r="R8" s="1"/>
      <c r="S8" s="1"/>
      <c r="T8" s="1"/>
      <c r="U8" s="1"/>
      <c r="V8" s="1"/>
      <c r="W8" s="1"/>
      <c r="X8" s="1"/>
      <c r="Y8" s="1"/>
      <c r="Z8" s="1"/>
    </row>
    <row r="9" spans="1:26" ht="19.5" customHeight="1">
      <c r="A9" s="3" t="s">
        <v>99</v>
      </c>
      <c r="B9" s="22" t="s">
        <v>100</v>
      </c>
      <c r="C9" s="56">
        <f t="array" ref="C9">H9+I9</f>
        <v>613930</v>
      </c>
      <c r="D9" s="57">
        <f t="array" ref="D9">D121</f>
        <v>223160</v>
      </c>
      <c r="E9" s="57">
        <f t="array" ref="E9">E121</f>
        <v>236773</v>
      </c>
      <c r="F9" s="57">
        <f t="array" ref="F9">F121</f>
        <v>76749</v>
      </c>
      <c r="G9" s="57">
        <f t="array" ref="G9">G121</f>
        <v>77248</v>
      </c>
      <c r="H9" s="56">
        <f t="array" ref="H9">E9+D9</f>
        <v>459933</v>
      </c>
      <c r="I9" s="56">
        <f t="array" ref="I9">G9+F9</f>
        <v>153997</v>
      </c>
      <c r="J9" s="56">
        <f t="array" ref="J9">D9+F9</f>
        <v>299909</v>
      </c>
      <c r="K9" s="56">
        <f t="array" ref="K9">E9+G9</f>
        <v>314021</v>
      </c>
      <c r="L9" s="58"/>
      <c r="M9" s="1"/>
      <c r="N9" s="1"/>
      <c r="O9" s="1"/>
      <c r="P9" s="1"/>
      <c r="Q9" s="1"/>
      <c r="R9" s="1"/>
      <c r="S9" s="1"/>
      <c r="T9" s="1"/>
      <c r="U9" s="1"/>
      <c r="V9" s="1"/>
      <c r="W9" s="1"/>
      <c r="X9" s="1"/>
      <c r="Y9" s="1"/>
      <c r="Z9" s="1"/>
    </row>
    <row r="10" spans="1:26" ht="19.5" customHeight="1">
      <c r="A10" s="3" t="s">
        <v>101</v>
      </c>
      <c r="B10" s="22" t="s">
        <v>102</v>
      </c>
      <c r="C10" s="56">
        <f t="array" ref="C10">H10+I10</f>
        <v>633124</v>
      </c>
      <c r="D10" s="57">
        <f t="array" ref="D10">D122</f>
        <v>230533</v>
      </c>
      <c r="E10" s="57">
        <f t="array" ref="E10">E122</f>
        <v>243780</v>
      </c>
      <c r="F10" s="57">
        <f t="array" ref="F10">F122</f>
        <v>79161</v>
      </c>
      <c r="G10" s="57">
        <f t="array" ref="G10">G122</f>
        <v>79650</v>
      </c>
      <c r="H10" s="56">
        <f t="array" ref="H10">E10+D10</f>
        <v>474313</v>
      </c>
      <c r="I10" s="56">
        <f t="array" ref="I10">G10+F10</f>
        <v>158811</v>
      </c>
      <c r="J10" s="56">
        <f t="array" ref="J10">D10+F10</f>
        <v>309694</v>
      </c>
      <c r="K10" s="56">
        <f t="array" ref="K10">E10+G10</f>
        <v>323430</v>
      </c>
      <c r="L10" s="58"/>
      <c r="M10" s="1"/>
      <c r="N10" s="1"/>
      <c r="O10" s="1"/>
      <c r="P10" s="1"/>
      <c r="Q10" s="1"/>
      <c r="R10" s="1"/>
      <c r="S10" s="1"/>
      <c r="T10" s="1"/>
      <c r="U10" s="1"/>
      <c r="V10" s="1"/>
      <c r="W10" s="1"/>
      <c r="X10" s="1"/>
      <c r="Y10" s="1"/>
      <c r="Z10" s="1"/>
    </row>
    <row r="11" spans="1:26" ht="19.5" customHeight="1">
      <c r="A11" s="3" t="s">
        <v>103</v>
      </c>
      <c r="B11" s="22" t="s">
        <v>104</v>
      </c>
      <c r="C11" s="56">
        <f t="array" ref="C11">H11+I11</f>
        <v>680945</v>
      </c>
      <c r="D11" s="57">
        <f t="array" ref="D11">D123</f>
        <v>247647</v>
      </c>
      <c r="E11" s="57">
        <f t="array" ref="E11">E123</f>
        <v>262491</v>
      </c>
      <c r="F11" s="57">
        <f t="array" ref="F11">F123</f>
        <v>85131</v>
      </c>
      <c r="G11" s="57">
        <f t="array" ref="G11">G123</f>
        <v>85676</v>
      </c>
      <c r="H11" s="56">
        <f t="array" ref="H11">E11+D11</f>
        <v>510138</v>
      </c>
      <c r="I11" s="56">
        <f t="array" ref="I11">G11+F11</f>
        <v>170807</v>
      </c>
      <c r="J11" s="56">
        <f t="array" ref="J11">D11+F11</f>
        <v>332778</v>
      </c>
      <c r="K11" s="56">
        <f t="array" ref="K11">E11+G11</f>
        <v>348167</v>
      </c>
      <c r="L11" s="58"/>
      <c r="M11" s="1"/>
      <c r="N11" s="1"/>
      <c r="O11" s="1"/>
      <c r="P11" s="1"/>
      <c r="Q11" s="1"/>
      <c r="R11" s="1"/>
      <c r="S11" s="1"/>
      <c r="T11" s="1"/>
      <c r="U11" s="1"/>
      <c r="V11" s="1"/>
      <c r="W11" s="1"/>
      <c r="X11" s="1"/>
      <c r="Y11" s="1"/>
      <c r="Z11" s="1"/>
    </row>
    <row r="12" spans="1:26" ht="19.5" customHeight="1">
      <c r="A12" s="3" t="s">
        <v>105</v>
      </c>
      <c r="B12" s="22" t="s">
        <v>106</v>
      </c>
      <c r="C12" s="56">
        <f t="array" ref="C12">H12+I12</f>
        <v>707427</v>
      </c>
      <c r="D12" s="57">
        <f t="array" ref="D12">D124</f>
        <v>258010</v>
      </c>
      <c r="E12" s="57">
        <f t="array" ref="E12">E124</f>
        <v>271968</v>
      </c>
      <c r="F12" s="57">
        <f t="array" ref="F12">F124</f>
        <v>88466</v>
      </c>
      <c r="G12" s="57">
        <f t="array" ref="G12">G124</f>
        <v>88983</v>
      </c>
      <c r="H12" s="56">
        <f t="array" ref="H12">E12+D12</f>
        <v>529978</v>
      </c>
      <c r="I12" s="56">
        <f t="array" ref="I12">G12+F12</f>
        <v>177449</v>
      </c>
      <c r="J12" s="56">
        <f t="array" ref="J12">D12+F12</f>
        <v>346476</v>
      </c>
      <c r="K12" s="56">
        <f t="array" ref="K12">E12+G12</f>
        <v>360951</v>
      </c>
      <c r="L12" s="58"/>
      <c r="M12" s="1"/>
      <c r="N12" s="1"/>
      <c r="O12" s="1"/>
      <c r="P12" s="1"/>
      <c r="Q12" s="1"/>
      <c r="R12" s="1"/>
      <c r="S12" s="1"/>
      <c r="T12" s="1"/>
      <c r="U12" s="1"/>
      <c r="V12" s="1"/>
      <c r="W12" s="1"/>
      <c r="X12" s="1"/>
      <c r="Y12" s="1"/>
      <c r="Z12" s="1"/>
    </row>
    <row r="13" spans="1:26" ht="19.5" customHeight="1">
      <c r="A13" s="3" t="s">
        <v>107</v>
      </c>
      <c r="B13" s="22" t="s">
        <v>108</v>
      </c>
      <c r="C13" s="56">
        <f t="array" ref="C13">H13+I13</f>
        <v>711837</v>
      </c>
      <c r="D13" s="57">
        <f t="array" ref="D13">D125</f>
        <v>259140</v>
      </c>
      <c r="E13" s="57">
        <f t="array" ref="E13">E125</f>
        <v>274142</v>
      </c>
      <c r="F13" s="57">
        <f t="array" ref="F13">F125</f>
        <v>89001</v>
      </c>
      <c r="G13" s="57">
        <f t="array" ref="G13">G125</f>
        <v>89554</v>
      </c>
      <c r="H13" s="56">
        <f t="array" ref="H13">E13+D13</f>
        <v>533282</v>
      </c>
      <c r="I13" s="56">
        <f t="array" ref="I13">G13+F13</f>
        <v>178555</v>
      </c>
      <c r="J13" s="56">
        <f t="array" ref="J13">D13+F13</f>
        <v>348141</v>
      </c>
      <c r="K13" s="56">
        <f t="array" ref="K13">E13+G13</f>
        <v>363696</v>
      </c>
      <c r="L13" s="58"/>
      <c r="M13" s="1"/>
      <c r="N13" s="1"/>
      <c r="O13" s="1"/>
      <c r="P13" s="1"/>
      <c r="Q13" s="1"/>
      <c r="R13" s="1"/>
      <c r="S13" s="1"/>
      <c r="T13" s="1"/>
      <c r="U13" s="1"/>
      <c r="V13" s="1"/>
      <c r="W13" s="1"/>
      <c r="X13" s="1"/>
      <c r="Y13" s="1"/>
      <c r="Z13" s="1"/>
    </row>
    <row r="14" spans="1:26" ht="19.5" customHeight="1">
      <c r="A14" s="3" t="s">
        <v>109</v>
      </c>
      <c r="B14" s="22" t="s">
        <v>110</v>
      </c>
      <c r="C14" s="56">
        <f t="array" ref="C14">H14+I14</f>
        <v>738384</v>
      </c>
      <c r="D14" s="57">
        <f t="array" ref="D14">D126</f>
        <v>267392</v>
      </c>
      <c r="E14" s="57">
        <f t="array" ref="E14">E126</f>
        <v>285777</v>
      </c>
      <c r="F14" s="57">
        <f t="array" ref="F14">F126</f>
        <v>92274</v>
      </c>
      <c r="G14" s="57">
        <f t="array" ref="G14">G126</f>
        <v>92941</v>
      </c>
      <c r="H14" s="56">
        <f t="array" ref="H14">E14+D14</f>
        <v>553169</v>
      </c>
      <c r="I14" s="56">
        <f t="array" ref="I14">G14+F14</f>
        <v>185215</v>
      </c>
      <c r="J14" s="56">
        <f t="array" ref="J14">D14+F14</f>
        <v>359666</v>
      </c>
      <c r="K14" s="56">
        <f t="array" ref="K14">E14+G14</f>
        <v>378718</v>
      </c>
      <c r="L14" s="58"/>
      <c r="M14" s="1"/>
      <c r="N14" s="1"/>
      <c r="O14" s="1"/>
      <c r="P14" s="1"/>
      <c r="Q14" s="1"/>
      <c r="R14" s="1"/>
      <c r="S14" s="1"/>
      <c r="T14" s="1"/>
      <c r="U14" s="1"/>
      <c r="V14" s="1"/>
      <c r="W14" s="1"/>
      <c r="X14" s="1"/>
      <c r="Y14" s="1"/>
      <c r="Z14" s="1"/>
    </row>
    <row r="15" spans="1:26" ht="19.5" customHeight="1">
      <c r="A15" s="3" t="s">
        <v>111</v>
      </c>
      <c r="B15" s="22" t="s">
        <v>112</v>
      </c>
      <c r="C15" s="56">
        <f t="array" ref="C15">H15+I15</f>
        <v>747315</v>
      </c>
      <c r="D15" s="57">
        <f t="array" ref="D15">D127</f>
        <v>271396</v>
      </c>
      <c r="E15" s="57">
        <f t="array" ref="E15">E127</f>
        <v>288465</v>
      </c>
      <c r="F15" s="57">
        <f t="array" ref="F15">F127</f>
        <v>93415</v>
      </c>
      <c r="G15" s="57">
        <f t="array" ref="G15">G127</f>
        <v>94039</v>
      </c>
      <c r="H15" s="56">
        <f t="array" ref="H15">E15+D15</f>
        <v>559861</v>
      </c>
      <c r="I15" s="56">
        <f t="array" ref="I15">G15+F15</f>
        <v>187454</v>
      </c>
      <c r="J15" s="56">
        <f t="array" ref="J15">D15+F15</f>
        <v>364811</v>
      </c>
      <c r="K15" s="56">
        <f t="array" ref="K15">E15+G15</f>
        <v>382504</v>
      </c>
      <c r="L15" s="58"/>
      <c r="M15" s="1"/>
      <c r="N15" s="1"/>
      <c r="O15" s="1"/>
      <c r="P15" s="1"/>
      <c r="Q15" s="1"/>
      <c r="R15" s="1"/>
      <c r="S15" s="1"/>
      <c r="T15" s="1"/>
      <c r="U15" s="1"/>
      <c r="V15" s="1"/>
      <c r="W15" s="1"/>
      <c r="X15" s="1"/>
      <c r="Y15" s="1"/>
      <c r="Z15" s="1"/>
    </row>
    <row r="16" spans="1:26" ht="19.5" customHeight="1">
      <c r="A16" s="3" t="s">
        <v>113</v>
      </c>
      <c r="B16" s="22" t="s">
        <v>114</v>
      </c>
      <c r="C16" s="56">
        <f t="array" ref="C16">H16+I16</f>
        <v>762141</v>
      </c>
      <c r="D16" s="57">
        <f t="array" ref="D16">D128</f>
        <v>274735</v>
      </c>
      <c r="E16" s="57">
        <f t="array" ref="E16">E128</f>
        <v>296232</v>
      </c>
      <c r="F16" s="57">
        <f t="array" ref="F16">F128</f>
        <v>95201</v>
      </c>
      <c r="G16" s="57">
        <f t="array" ref="G16">G128</f>
        <v>95973</v>
      </c>
      <c r="H16" s="56">
        <f t="array" ref="H16">E16+D16</f>
        <v>570967</v>
      </c>
      <c r="I16" s="56">
        <f t="array" ref="I16">G16+F16</f>
        <v>191174</v>
      </c>
      <c r="J16" s="56">
        <f t="array" ref="J16">D16+F16</f>
        <v>369936</v>
      </c>
      <c r="K16" s="56">
        <f t="array" ref="K16">E16+G16</f>
        <v>392205</v>
      </c>
      <c r="L16" s="58"/>
      <c r="M16" s="1"/>
      <c r="N16" s="1"/>
      <c r="O16" s="1"/>
      <c r="P16" s="1"/>
      <c r="Q16" s="1"/>
      <c r="R16" s="1"/>
      <c r="S16" s="1"/>
      <c r="T16" s="1"/>
      <c r="U16" s="1"/>
      <c r="V16" s="1"/>
      <c r="W16" s="1"/>
      <c r="X16" s="1"/>
      <c r="Y16" s="1"/>
      <c r="Z16" s="1"/>
    </row>
    <row r="17" spans="1:26" ht="19.5" customHeight="1">
      <c r="A17" s="3" t="s">
        <v>115</v>
      </c>
      <c r="B17" s="22" t="s">
        <v>116</v>
      </c>
      <c r="C17" s="56">
        <f t="array" ref="C17">H17+I17</f>
        <v>783490</v>
      </c>
      <c r="D17" s="57">
        <f t="array" ref="D17">D129</f>
        <v>283507</v>
      </c>
      <c r="E17" s="57">
        <f t="array" ref="E17">E129</f>
        <v>303454</v>
      </c>
      <c r="F17" s="57">
        <f t="array" ref="F17">F129</f>
        <v>97903</v>
      </c>
      <c r="G17" s="57">
        <f t="array" ref="G17">G129</f>
        <v>98626</v>
      </c>
      <c r="H17" s="56">
        <f t="array" ref="H17">E17+D17</f>
        <v>586961</v>
      </c>
      <c r="I17" s="56">
        <f t="array" ref="I17">G17+F17</f>
        <v>196529</v>
      </c>
      <c r="J17" s="56">
        <f t="array" ref="J17">D17+F17</f>
        <v>381410</v>
      </c>
      <c r="K17" s="56">
        <f t="array" ref="K17">E17+G17</f>
        <v>402080</v>
      </c>
      <c r="L17" s="58"/>
      <c r="M17" s="1"/>
      <c r="N17" s="1"/>
      <c r="O17" s="1"/>
      <c r="P17" s="1"/>
      <c r="Q17" s="1"/>
      <c r="R17" s="1"/>
      <c r="S17" s="1"/>
      <c r="T17" s="1"/>
      <c r="U17" s="1"/>
      <c r="V17" s="1"/>
      <c r="W17" s="1"/>
      <c r="X17" s="1"/>
      <c r="Y17" s="1"/>
      <c r="Z17" s="1"/>
    </row>
    <row r="18" spans="1:26" ht="19.5" customHeight="1">
      <c r="A18" s="3" t="s">
        <v>117</v>
      </c>
      <c r="B18" s="22" t="s">
        <v>118</v>
      </c>
      <c r="C18" s="56">
        <f t="array" ref="C18">H18+I18</f>
        <v>805772</v>
      </c>
      <c r="D18" s="57">
        <f t="array" ref="D18">D130</f>
        <v>292809</v>
      </c>
      <c r="E18" s="57">
        <f t="array" ref="E18">E130</f>
        <v>310845</v>
      </c>
      <c r="F18" s="57">
        <f t="array" ref="F18">F130</f>
        <v>100729</v>
      </c>
      <c r="G18" s="57">
        <f t="array" ref="G18">G130</f>
        <v>101389</v>
      </c>
      <c r="H18" s="56">
        <f t="array" ref="H18">E18+D18</f>
        <v>603654</v>
      </c>
      <c r="I18" s="56">
        <f t="array" ref="I18">G18+F18</f>
        <v>202118</v>
      </c>
      <c r="J18" s="56">
        <f t="array" ref="J18">D18+F18</f>
        <v>393538</v>
      </c>
      <c r="K18" s="56">
        <f t="array" ref="K18">E18+G18</f>
        <v>412234</v>
      </c>
      <c r="L18" s="58"/>
      <c r="M18" s="1"/>
      <c r="N18" s="1"/>
      <c r="O18" s="1"/>
      <c r="P18" s="1"/>
      <c r="Q18" s="1"/>
      <c r="R18" s="1"/>
      <c r="S18" s="1"/>
      <c r="T18" s="1"/>
      <c r="U18" s="1"/>
      <c r="V18" s="1"/>
      <c r="W18" s="1"/>
      <c r="X18" s="1"/>
      <c r="Y18" s="1"/>
      <c r="Z18" s="1"/>
    </row>
    <row r="19" spans="1:26" ht="19.5" customHeight="1">
      <c r="A19" s="3" t="s">
        <v>119</v>
      </c>
      <c r="B19" s="22" t="s">
        <v>120</v>
      </c>
      <c r="C19" s="56">
        <f t="array" ref="C19">H19+I19</f>
        <v>828311</v>
      </c>
      <c r="D19" s="57">
        <f t="array" ref="D19">D131</f>
        <v>301901</v>
      </c>
      <c r="E19" s="57">
        <f t="array" ref="E19">E131</f>
        <v>318639</v>
      </c>
      <c r="F19" s="57">
        <f t="array" ref="F19">F131</f>
        <v>103576</v>
      </c>
      <c r="G19" s="57">
        <f t="array" ref="G19">G131</f>
        <v>104195</v>
      </c>
      <c r="H19" s="56">
        <f t="array" ref="H19">E19+D19</f>
        <v>620540</v>
      </c>
      <c r="I19" s="56">
        <f t="array" ref="I19">G19+F19</f>
        <v>207771</v>
      </c>
      <c r="J19" s="56">
        <f t="array" ref="J19">D19+F19</f>
        <v>405477</v>
      </c>
      <c r="K19" s="56">
        <f t="array" ref="K19">E19+G19</f>
        <v>422834</v>
      </c>
      <c r="L19" s="58"/>
      <c r="M19" s="1"/>
      <c r="N19" s="1"/>
      <c r="O19" s="1"/>
      <c r="P19" s="1"/>
      <c r="Q19" s="1"/>
      <c r="R19" s="1"/>
      <c r="S19" s="1"/>
      <c r="T19" s="1"/>
      <c r="U19" s="1"/>
      <c r="V19" s="1"/>
      <c r="W19" s="1"/>
      <c r="X19" s="1"/>
      <c r="Y19" s="1"/>
      <c r="Z19" s="1"/>
    </row>
    <row r="20" spans="1:26" ht="19.5" customHeight="1">
      <c r="A20" s="3" t="s">
        <v>121</v>
      </c>
      <c r="B20" s="22" t="s">
        <v>122</v>
      </c>
      <c r="C20" s="56">
        <f t="array" ref="C20">H20+I20</f>
        <v>834912</v>
      </c>
      <c r="D20" s="57">
        <f t="array" ref="D20">D132</f>
        <v>303966</v>
      </c>
      <c r="E20" s="57">
        <f t="array" ref="E20">E132</f>
        <v>321519</v>
      </c>
      <c r="F20" s="57">
        <f t="array" ref="F20">F132</f>
        <v>104390</v>
      </c>
      <c r="G20" s="57">
        <f t="array" ref="G20">G132</f>
        <v>105037</v>
      </c>
      <c r="H20" s="56">
        <f t="array" ref="H20">E20+D20</f>
        <v>625485</v>
      </c>
      <c r="I20" s="56">
        <f t="array" ref="I20">G20+F20</f>
        <v>209427</v>
      </c>
      <c r="J20" s="56">
        <f t="array" ref="J20">D20+F20</f>
        <v>408356</v>
      </c>
      <c r="K20" s="56">
        <f t="array" ref="K20">E20+G20</f>
        <v>426556</v>
      </c>
      <c r="L20" s="58"/>
      <c r="M20" s="1"/>
      <c r="N20" s="1"/>
      <c r="O20" s="1"/>
      <c r="P20" s="1"/>
      <c r="Q20" s="1"/>
      <c r="R20" s="1"/>
      <c r="S20" s="1"/>
      <c r="T20" s="1"/>
      <c r="U20" s="1"/>
      <c r="V20" s="1"/>
      <c r="W20" s="1"/>
      <c r="X20" s="1"/>
      <c r="Y20" s="1"/>
      <c r="Z20" s="1"/>
    </row>
    <row r="21" spans="1:26" ht="19.5" customHeight="1">
      <c r="A21" s="3" t="s">
        <v>123</v>
      </c>
      <c r="B21" s="22" t="s">
        <v>124</v>
      </c>
      <c r="C21" s="56">
        <f t="array" ref="C21">H21+I21</f>
        <v>850791</v>
      </c>
      <c r="D21" s="57">
        <f t="array" ref="D21">D133</f>
        <v>309240</v>
      </c>
      <c r="E21" s="57">
        <f t="array" ref="E21">E133</f>
        <v>328141</v>
      </c>
      <c r="F21" s="57">
        <f t="array" ref="F21">F133</f>
        <v>106359</v>
      </c>
      <c r="G21" s="57">
        <f t="array" ref="G21">G133</f>
        <v>107051</v>
      </c>
      <c r="H21" s="56">
        <f t="array" ref="H21">E21+D21</f>
        <v>637381</v>
      </c>
      <c r="I21" s="56">
        <f t="array" ref="I21">G21+F21</f>
        <v>213410</v>
      </c>
      <c r="J21" s="56">
        <f t="array" ref="J21">D21+F21</f>
        <v>415599</v>
      </c>
      <c r="K21" s="56">
        <f t="array" ref="K21">E21+G21</f>
        <v>435192</v>
      </c>
      <c r="L21" s="58"/>
      <c r="M21" s="1"/>
      <c r="N21" s="1"/>
      <c r="O21" s="1"/>
      <c r="P21" s="1"/>
      <c r="Q21" s="1"/>
      <c r="R21" s="1"/>
      <c r="S21" s="1"/>
      <c r="T21" s="1"/>
      <c r="U21" s="1"/>
      <c r="V21" s="1"/>
      <c r="W21" s="1"/>
      <c r="X21" s="1"/>
      <c r="Y21" s="1"/>
      <c r="Z21" s="1"/>
    </row>
    <row r="22" spans="1:26" ht="19.5" customHeight="1">
      <c r="A22" s="3" t="s">
        <v>125</v>
      </c>
      <c r="B22" s="22" t="s">
        <v>126</v>
      </c>
      <c r="C22" s="56">
        <f t="array" ref="C22">H22+I22</f>
        <v>853400</v>
      </c>
      <c r="D22" s="57">
        <f t="array" ref="D22">D134</f>
        <v>310334</v>
      </c>
      <c r="E22" s="57">
        <f t="array" ref="E22">E134</f>
        <v>329001</v>
      </c>
      <c r="F22" s="57">
        <f t="array" ref="F22">F134</f>
        <v>106690</v>
      </c>
      <c r="G22" s="57">
        <f t="array" ref="G22">G134</f>
        <v>107375</v>
      </c>
      <c r="H22" s="56">
        <f t="array" ref="H22">E22+D22</f>
        <v>639335</v>
      </c>
      <c r="I22" s="56">
        <f t="array" ref="I22">G22+F22</f>
        <v>214065</v>
      </c>
      <c r="J22" s="56">
        <f t="array" ref="J22">D22+F22</f>
        <v>417024</v>
      </c>
      <c r="K22" s="56">
        <f t="array" ref="K22">E22+G22</f>
        <v>436376</v>
      </c>
      <c r="L22" s="58"/>
      <c r="M22" s="1"/>
      <c r="N22" s="1"/>
      <c r="O22" s="1"/>
      <c r="P22" s="1"/>
      <c r="Q22" s="1"/>
      <c r="R22" s="1"/>
      <c r="S22" s="1"/>
      <c r="T22" s="1"/>
      <c r="U22" s="1"/>
      <c r="V22" s="1"/>
      <c r="W22" s="1"/>
      <c r="X22" s="1"/>
      <c r="Y22" s="1"/>
      <c r="Z22" s="1"/>
    </row>
    <row r="23" spans="1:26" ht="19.5" customHeight="1">
      <c r="A23" s="3" t="s">
        <v>127</v>
      </c>
      <c r="B23" s="22" t="s">
        <v>128</v>
      </c>
      <c r="C23" s="56">
        <f t="array" ref="C23">H23+I23</f>
        <v>877526</v>
      </c>
      <c r="D23" s="57">
        <f t="array" ref="D23">D135</f>
        <v>317206</v>
      </c>
      <c r="E23" s="57">
        <f t="array" ref="E23">E135</f>
        <v>340203</v>
      </c>
      <c r="F23" s="57">
        <f t="array" ref="F23">F135</f>
        <v>109643</v>
      </c>
      <c r="G23" s="57">
        <f t="array" ref="G23">G135</f>
        <v>110474</v>
      </c>
      <c r="H23" s="56">
        <f t="array" ref="H23">E23+D23</f>
        <v>657409</v>
      </c>
      <c r="I23" s="56">
        <f t="array" ref="I23">G23+F23</f>
        <v>220117</v>
      </c>
      <c r="J23" s="56">
        <f t="array" ref="J23">D23+F23</f>
        <v>426849</v>
      </c>
      <c r="K23" s="56">
        <f t="array" ref="K23">E23+G23</f>
        <v>450677</v>
      </c>
      <c r="L23" s="58"/>
      <c r="M23" s="1"/>
      <c r="N23" s="1"/>
      <c r="O23" s="1"/>
      <c r="P23" s="1"/>
      <c r="Q23" s="1"/>
      <c r="R23" s="1"/>
      <c r="S23" s="1"/>
      <c r="T23" s="1"/>
      <c r="U23" s="1"/>
      <c r="V23" s="1"/>
      <c r="W23" s="1"/>
      <c r="X23" s="1"/>
      <c r="Y23" s="1"/>
      <c r="Z23" s="1"/>
    </row>
    <row r="24" spans="1:26" ht="19.5" customHeight="1">
      <c r="A24" s="3" t="s">
        <v>129</v>
      </c>
      <c r="B24" s="22" t="s">
        <v>130</v>
      </c>
      <c r="C24" s="56">
        <f t="array" ref="C24">H24+I24</f>
        <v>871050</v>
      </c>
      <c r="D24" s="57">
        <f t="array" ref="D24">D136</f>
        <v>315710</v>
      </c>
      <c r="E24" s="57">
        <f t="array" ref="E24">E136</f>
        <v>337100</v>
      </c>
      <c r="F24" s="57">
        <f t="array" ref="F24">F136</f>
        <v>107667</v>
      </c>
      <c r="G24" s="57">
        <f t="array" ref="G24">G136</f>
        <v>110573</v>
      </c>
      <c r="H24" s="56">
        <f t="array" ref="H24">E24+D24</f>
        <v>652810</v>
      </c>
      <c r="I24" s="56">
        <f t="array" ref="I24">G24+F24</f>
        <v>218240</v>
      </c>
      <c r="J24" s="56">
        <f t="array" ref="J24">D24+F24</f>
        <v>423377</v>
      </c>
      <c r="K24" s="56">
        <f t="array" ref="K24">E24+G24</f>
        <v>447673</v>
      </c>
      <c r="L24" s="58"/>
      <c r="M24" s="1"/>
      <c r="N24" s="1"/>
      <c r="O24" s="1"/>
      <c r="P24" s="1"/>
      <c r="Q24" s="1"/>
      <c r="R24" s="1"/>
      <c r="S24" s="1"/>
      <c r="T24" s="1"/>
      <c r="U24" s="1"/>
      <c r="V24" s="1"/>
      <c r="W24" s="1"/>
      <c r="X24" s="1"/>
      <c r="Y24" s="1"/>
      <c r="Z24" s="1"/>
    </row>
    <row r="25" spans="1:26" ht="19.5" customHeight="1">
      <c r="A25" s="3" t="s">
        <v>131</v>
      </c>
      <c r="B25" s="22" t="s">
        <v>132</v>
      </c>
      <c r="C25" s="56">
        <f t="array" ref="C25">H25+I25</f>
        <v>873075</v>
      </c>
      <c r="D25" s="57">
        <f t="array" ref="D25">D137</f>
        <v>314551</v>
      </c>
      <c r="E25" s="57">
        <f t="array" ref="E25">E137</f>
        <v>339772</v>
      </c>
      <c r="F25" s="57">
        <f t="array" ref="F25">F137</f>
        <v>107764</v>
      </c>
      <c r="G25" s="57">
        <f t="array" ref="G25">G137</f>
        <v>110988</v>
      </c>
      <c r="H25" s="56">
        <f t="array" ref="H25">E25+D25</f>
        <v>654323</v>
      </c>
      <c r="I25" s="56">
        <f t="array" ref="I25">G25+F25</f>
        <v>218752</v>
      </c>
      <c r="J25" s="56">
        <f t="array" ref="J25">D25+F25</f>
        <v>422315</v>
      </c>
      <c r="K25" s="56">
        <f t="array" ref="K25">E25+G25</f>
        <v>450760</v>
      </c>
      <c r="L25" s="58"/>
      <c r="M25" s="1"/>
      <c r="N25" s="1"/>
      <c r="O25" s="1"/>
      <c r="P25" s="1"/>
      <c r="Q25" s="1"/>
      <c r="R25" s="1"/>
      <c r="S25" s="1"/>
      <c r="T25" s="1"/>
      <c r="U25" s="1"/>
      <c r="V25" s="1"/>
      <c r="W25" s="1"/>
      <c r="X25" s="1"/>
      <c r="Y25" s="1"/>
      <c r="Z25" s="1"/>
    </row>
    <row r="26" spans="1:26" ht="19.5" customHeight="1">
      <c r="A26" s="3" t="s">
        <v>133</v>
      </c>
      <c r="B26" s="22" t="s">
        <v>134</v>
      </c>
      <c r="C26" s="56">
        <f t="array" ref="C26">H26+I26</f>
        <v>854120</v>
      </c>
      <c r="D26" s="57">
        <f t="array" ref="D26">D138</f>
        <v>307781</v>
      </c>
      <c r="E26" s="57">
        <f t="array" ref="E26">E138</f>
        <v>332336</v>
      </c>
      <c r="F26" s="57">
        <f t="array" ref="F26">F138</f>
        <v>105429</v>
      </c>
      <c r="G26" s="57">
        <f t="array" ref="G26">G138</f>
        <v>108574</v>
      </c>
      <c r="H26" s="56">
        <f t="array" ref="H26">E26+D26</f>
        <v>640117</v>
      </c>
      <c r="I26" s="56">
        <f t="array" ref="I26">G26+F26</f>
        <v>214003</v>
      </c>
      <c r="J26" s="56">
        <f t="array" ref="J26">D26+F26</f>
        <v>413210</v>
      </c>
      <c r="K26" s="56">
        <f t="array" ref="K26">E26+G26</f>
        <v>440910</v>
      </c>
      <c r="L26" s="58"/>
      <c r="M26" s="1"/>
      <c r="N26" s="1"/>
      <c r="O26" s="1"/>
      <c r="P26" s="1"/>
      <c r="Q26" s="1"/>
      <c r="R26" s="1"/>
      <c r="S26" s="1"/>
      <c r="T26" s="1"/>
      <c r="U26" s="1"/>
      <c r="V26" s="1"/>
      <c r="W26" s="1"/>
      <c r="X26" s="1"/>
      <c r="Y26" s="1"/>
      <c r="Z26" s="1"/>
    </row>
    <row r="27" spans="1:26" ht="19.5" customHeight="1">
      <c r="A27" s="3" t="s">
        <v>135</v>
      </c>
      <c r="B27" s="22" t="s">
        <v>136</v>
      </c>
      <c r="C27" s="56">
        <f t="array" ref="C27">H27+I27</f>
        <v>848632</v>
      </c>
      <c r="D27" s="57">
        <f t="array" ref="D27">D139</f>
        <v>303657</v>
      </c>
      <c r="E27" s="57">
        <f t="array" ref="E27">E139</f>
        <v>332341</v>
      </c>
      <c r="F27" s="57">
        <f t="array" ref="F27">F139</f>
        <v>104579</v>
      </c>
      <c r="G27" s="57">
        <f t="array" ref="G27">G139</f>
        <v>108055</v>
      </c>
      <c r="H27" s="56">
        <f t="array" ref="H27">E27+D27</f>
        <v>635998</v>
      </c>
      <c r="I27" s="56">
        <f t="array" ref="I27">G27+F27</f>
        <v>212634</v>
      </c>
      <c r="J27" s="56">
        <f t="array" ref="J27">D27+F27</f>
        <v>408236</v>
      </c>
      <c r="K27" s="56">
        <f t="array" ref="K27">E27+G27</f>
        <v>440396</v>
      </c>
      <c r="L27" s="58"/>
      <c r="M27" s="1"/>
      <c r="N27" s="1"/>
      <c r="O27" s="1"/>
      <c r="P27" s="1"/>
      <c r="Q27" s="1"/>
      <c r="R27" s="1"/>
      <c r="S27" s="1"/>
      <c r="T27" s="1"/>
      <c r="U27" s="1"/>
      <c r="V27" s="1"/>
      <c r="W27" s="1"/>
      <c r="X27" s="1"/>
      <c r="Y27" s="1"/>
      <c r="Z27" s="1"/>
    </row>
    <row r="28" spans="1:26" ht="19.5" customHeight="1">
      <c r="A28" s="3" t="s">
        <v>137</v>
      </c>
      <c r="B28" s="22" t="s">
        <v>138</v>
      </c>
      <c r="C28" s="56">
        <f t="array" ref="C28">H28+I28</f>
        <v>812932</v>
      </c>
      <c r="D28" s="57">
        <f t="array" ref="D28">D140</f>
        <v>292298</v>
      </c>
      <c r="E28" s="57">
        <f t="array" ref="E28">E140</f>
        <v>316949</v>
      </c>
      <c r="F28" s="57">
        <f t="array" ref="F28">F140</f>
        <v>100294</v>
      </c>
      <c r="G28" s="57">
        <f t="array" ref="G28">G140</f>
        <v>103391</v>
      </c>
      <c r="H28" s="56">
        <f t="array" ref="H28">E28+D28</f>
        <v>609247</v>
      </c>
      <c r="I28" s="56">
        <f t="array" ref="I28">G28+F28</f>
        <v>203685</v>
      </c>
      <c r="J28" s="56">
        <f t="array" ref="J28">D28+F28</f>
        <v>392592</v>
      </c>
      <c r="K28" s="56">
        <f t="array" ref="K28">E28+G28</f>
        <v>420340</v>
      </c>
      <c r="L28" s="58"/>
      <c r="M28" s="1"/>
      <c r="N28" s="1"/>
      <c r="O28" s="1"/>
      <c r="P28" s="1"/>
      <c r="Q28" s="1"/>
      <c r="R28" s="1"/>
      <c r="S28" s="1"/>
      <c r="T28" s="1"/>
      <c r="U28" s="1"/>
      <c r="V28" s="1"/>
      <c r="W28" s="1"/>
      <c r="X28" s="1"/>
      <c r="Y28" s="1"/>
      <c r="Z28" s="1"/>
    </row>
    <row r="29" spans="1:26" ht="19.5" customHeight="1">
      <c r="A29" s="3" t="s">
        <v>139</v>
      </c>
      <c r="B29" s="22" t="s">
        <v>140</v>
      </c>
      <c r="C29" s="56">
        <f t="array" ref="C29">H29+I29</f>
        <v>794105</v>
      </c>
      <c r="D29" s="57">
        <f t="array" ref="D29">D141</f>
        <v>285763</v>
      </c>
      <c r="E29" s="57">
        <f t="array" ref="E29">E141</f>
        <v>309375</v>
      </c>
      <c r="F29" s="57">
        <f t="array" ref="F29">F141</f>
        <v>97990</v>
      </c>
      <c r="G29" s="57">
        <f t="array" ref="G29">G141</f>
        <v>100977</v>
      </c>
      <c r="H29" s="56">
        <f t="array" ref="H29">E29+D29</f>
        <v>595138</v>
      </c>
      <c r="I29" s="56">
        <f t="array" ref="I29">G29+F29</f>
        <v>198967</v>
      </c>
      <c r="J29" s="56">
        <f t="array" ref="J29">D29+F29</f>
        <v>383753</v>
      </c>
      <c r="K29" s="56">
        <f t="array" ref="K29">E29+G29</f>
        <v>410352</v>
      </c>
      <c r="L29" s="58"/>
      <c r="M29" s="1"/>
      <c r="N29" s="1"/>
      <c r="O29" s="1"/>
      <c r="P29" s="1"/>
      <c r="Q29" s="1"/>
      <c r="R29" s="1"/>
      <c r="S29" s="1"/>
      <c r="T29" s="1"/>
      <c r="U29" s="1"/>
      <c r="V29" s="1"/>
      <c r="W29" s="1"/>
      <c r="X29" s="1"/>
      <c r="Y29" s="1"/>
      <c r="Z29" s="1"/>
    </row>
    <row r="30" spans="1:26" ht="19.5" customHeight="1">
      <c r="A30" s="3" t="s">
        <v>141</v>
      </c>
      <c r="B30" s="22" t="s">
        <v>142</v>
      </c>
      <c r="C30" s="56">
        <f t="array" ref="C30">H30+I30</f>
        <v>777960</v>
      </c>
      <c r="D30" s="57">
        <f t="array" ref="D30">D142</f>
        <v>281933</v>
      </c>
      <c r="E30" s="57">
        <f t="array" ref="E30">E142</f>
        <v>301111</v>
      </c>
      <c r="F30" s="57">
        <f t="array" ref="F30">F142</f>
        <v>96157</v>
      </c>
      <c r="G30" s="57">
        <f t="array" ref="G30">G142</f>
        <v>98759</v>
      </c>
      <c r="H30" s="56">
        <f t="array" ref="H30">E30+D30</f>
        <v>583044</v>
      </c>
      <c r="I30" s="56">
        <f t="array" ref="I30">G30+F30</f>
        <v>194916</v>
      </c>
      <c r="J30" s="56">
        <f t="array" ref="J30">D30+F30</f>
        <v>378090</v>
      </c>
      <c r="K30" s="56">
        <f t="array" ref="K30">E30+G30</f>
        <v>399870</v>
      </c>
      <c r="L30" s="58"/>
      <c r="M30" s="1"/>
      <c r="N30" s="1"/>
      <c r="O30" s="1"/>
      <c r="P30" s="1"/>
      <c r="Q30" s="1"/>
      <c r="R30" s="1"/>
      <c r="S30" s="1"/>
      <c r="T30" s="1"/>
      <c r="U30" s="1"/>
      <c r="V30" s="1"/>
      <c r="W30" s="1"/>
      <c r="X30" s="1"/>
      <c r="Y30" s="1"/>
      <c r="Z30" s="1"/>
    </row>
    <row r="31" spans="1:26" ht="19.5" customHeight="1">
      <c r="A31" s="3" t="s">
        <v>143</v>
      </c>
      <c r="B31" s="22" t="s">
        <v>144</v>
      </c>
      <c r="C31" s="56">
        <f t="array" ref="C31">H31+I31</f>
        <v>782428</v>
      </c>
      <c r="D31" s="57">
        <f t="array" ref="D31">D143</f>
        <v>285699</v>
      </c>
      <c r="E31" s="57">
        <f t="array" ref="E31">E143</f>
        <v>300698</v>
      </c>
      <c r="F31" s="57">
        <f t="array" ref="F31">F143</f>
        <v>96883</v>
      </c>
      <c r="G31" s="57">
        <f t="array" ref="G31">G143</f>
        <v>99148</v>
      </c>
      <c r="H31" s="56">
        <f t="array" ref="H31">E31+D31</f>
        <v>586397</v>
      </c>
      <c r="I31" s="56">
        <f t="array" ref="I31">G31+F31</f>
        <v>196031</v>
      </c>
      <c r="J31" s="56">
        <f t="array" ref="J31">D31+F31</f>
        <v>382582</v>
      </c>
      <c r="K31" s="56">
        <f t="array" ref="K31">E31+G31</f>
        <v>399846</v>
      </c>
      <c r="L31" s="58"/>
      <c r="M31" s="1"/>
      <c r="N31" s="1"/>
      <c r="O31" s="1"/>
      <c r="P31" s="1"/>
      <c r="Q31" s="1"/>
      <c r="R31" s="1"/>
      <c r="S31" s="1"/>
      <c r="T31" s="1"/>
      <c r="U31" s="1"/>
      <c r="V31" s="1"/>
      <c r="W31" s="1"/>
      <c r="X31" s="1"/>
      <c r="Y31" s="1"/>
      <c r="Z31" s="1"/>
    </row>
    <row r="32" spans="1:26" ht="19.5" customHeight="1">
      <c r="A32" s="3" t="s">
        <v>145</v>
      </c>
      <c r="B32" s="22" t="s">
        <v>146</v>
      </c>
      <c r="C32" s="56">
        <f t="array" ref="C32">H32+I32</f>
        <v>796489</v>
      </c>
      <c r="D32" s="57">
        <f t="array" ref="D32">D144</f>
        <v>292506</v>
      </c>
      <c r="E32" s="57">
        <f t="array" ref="E32">E144</f>
        <v>304434</v>
      </c>
      <c r="F32" s="57">
        <f t="array" ref="F32">F144</f>
        <v>98759</v>
      </c>
      <c r="G32" s="57">
        <f t="array" ref="G32">G144</f>
        <v>100790</v>
      </c>
      <c r="H32" s="56">
        <f t="array" ref="H32">E32+D32</f>
        <v>596940</v>
      </c>
      <c r="I32" s="56">
        <f t="array" ref="I32">G32+F32</f>
        <v>199549</v>
      </c>
      <c r="J32" s="56">
        <f t="array" ref="J32">D32+F32</f>
        <v>391265</v>
      </c>
      <c r="K32" s="56">
        <f t="array" ref="K32">E32+G32</f>
        <v>405224</v>
      </c>
      <c r="L32" s="58"/>
      <c r="M32" s="1"/>
      <c r="N32" s="1"/>
      <c r="O32" s="1"/>
      <c r="P32" s="1"/>
      <c r="Q32" s="1"/>
      <c r="R32" s="1"/>
      <c r="S32" s="1"/>
      <c r="T32" s="1"/>
      <c r="U32" s="1"/>
      <c r="V32" s="1"/>
      <c r="W32" s="1"/>
      <c r="X32" s="1"/>
      <c r="Y32" s="1"/>
      <c r="Z32" s="1"/>
    </row>
    <row r="33" spans="1:26" ht="19.5" customHeight="1">
      <c r="A33" s="3" t="s">
        <v>147</v>
      </c>
      <c r="B33" s="22" t="s">
        <v>148</v>
      </c>
      <c r="C33" s="56">
        <f t="array" ref="C33">H33+I33</f>
        <v>816131</v>
      </c>
      <c r="D33" s="57">
        <f t="array" ref="D33">D145</f>
        <v>302126</v>
      </c>
      <c r="E33" s="57">
        <f t="array" ref="E33">E145</f>
        <v>309541</v>
      </c>
      <c r="F33" s="57">
        <f t="array" ref="F33">F145</f>
        <v>101388</v>
      </c>
      <c r="G33" s="57">
        <f t="array" ref="G33">G145</f>
        <v>103076</v>
      </c>
      <c r="H33" s="56">
        <f t="array" ref="H33">E33+D33</f>
        <v>611667</v>
      </c>
      <c r="I33" s="56">
        <f t="array" ref="I33">G33+F33</f>
        <v>204464</v>
      </c>
      <c r="J33" s="56">
        <f t="array" ref="J33">D33+F33</f>
        <v>403514</v>
      </c>
      <c r="K33" s="56">
        <f t="array" ref="K33">E33+G33</f>
        <v>412617</v>
      </c>
      <c r="L33" s="58"/>
      <c r="M33" s="1"/>
      <c r="N33" s="1"/>
      <c r="O33" s="1"/>
      <c r="P33" s="1"/>
      <c r="Q33" s="1"/>
      <c r="R33" s="1"/>
      <c r="S33" s="1"/>
      <c r="T33" s="1"/>
      <c r="U33" s="1"/>
      <c r="V33" s="1"/>
      <c r="W33" s="1"/>
      <c r="X33" s="1"/>
      <c r="Y33" s="1"/>
      <c r="Z33" s="1"/>
    </row>
    <row r="34" spans="1:26" ht="19.5" customHeight="1">
      <c r="A34" s="3" t="s">
        <v>149</v>
      </c>
      <c r="B34" s="22" t="s">
        <v>150</v>
      </c>
      <c r="C34" s="56">
        <f t="array" ref="C34">H34+I34</f>
        <v>783800</v>
      </c>
      <c r="D34" s="57">
        <f t="array" ref="D34">D146</f>
        <v>290928</v>
      </c>
      <c r="E34" s="57">
        <f t="array" ref="E34">E146</f>
        <v>302282</v>
      </c>
      <c r="F34" s="57">
        <f t="array" ref="F34">F146</f>
        <v>96530</v>
      </c>
      <c r="G34" s="57">
        <f t="array" ref="G34">G146</f>
        <v>94060</v>
      </c>
      <c r="H34" s="56">
        <f t="array" ref="H34">E34+D34</f>
        <v>593210</v>
      </c>
      <c r="I34" s="56">
        <f t="array" ref="I34">G34+F34</f>
        <v>190590</v>
      </c>
      <c r="J34" s="56">
        <f t="array" ref="J34">D34+F34</f>
        <v>387458</v>
      </c>
      <c r="K34" s="56">
        <f t="array" ref="K34">E34+G34</f>
        <v>396342</v>
      </c>
      <c r="L34" s="58"/>
      <c r="M34" s="1"/>
      <c r="N34" s="1"/>
      <c r="O34" s="1"/>
      <c r="P34" s="1"/>
      <c r="Q34" s="1"/>
      <c r="R34" s="1"/>
      <c r="S34" s="1"/>
      <c r="T34" s="1"/>
      <c r="U34" s="1"/>
      <c r="V34" s="1"/>
      <c r="W34" s="1"/>
      <c r="X34" s="1"/>
      <c r="Y34" s="1"/>
      <c r="Z34" s="1"/>
    </row>
    <row r="35" spans="1:26" ht="19.5" customHeight="1">
      <c r="A35" s="3" t="s">
        <v>151</v>
      </c>
      <c r="B35" s="22" t="s">
        <v>152</v>
      </c>
      <c r="C35" s="56">
        <f t="array" ref="C35">H35+I35</f>
        <v>785902</v>
      </c>
      <c r="D35" s="57">
        <f t="array" ref="D35">D147</f>
        <v>295098</v>
      </c>
      <c r="E35" s="57">
        <f t="array" ref="E35">E147</f>
        <v>299665</v>
      </c>
      <c r="F35" s="57">
        <f t="array" ref="F35">F147</f>
        <v>97387</v>
      </c>
      <c r="G35" s="57">
        <f t="array" ref="G35">G147</f>
        <v>93752</v>
      </c>
      <c r="H35" s="56">
        <f t="array" ref="H35">E35+D35</f>
        <v>594763</v>
      </c>
      <c r="I35" s="56">
        <f t="array" ref="I35">G35+F35</f>
        <v>191139</v>
      </c>
      <c r="J35" s="56">
        <f t="array" ref="J35">D35+F35</f>
        <v>392485</v>
      </c>
      <c r="K35" s="56">
        <f t="array" ref="K35">E35+G35</f>
        <v>393417</v>
      </c>
      <c r="L35" s="58"/>
      <c r="M35" s="1"/>
      <c r="N35" s="1"/>
      <c r="O35" s="1"/>
      <c r="P35" s="1"/>
      <c r="Q35" s="1"/>
      <c r="R35" s="1"/>
      <c r="S35" s="1"/>
      <c r="T35" s="1"/>
      <c r="U35" s="1"/>
      <c r="V35" s="1"/>
      <c r="W35" s="1"/>
      <c r="X35" s="1"/>
      <c r="Y35" s="1"/>
      <c r="Z35" s="1"/>
    </row>
    <row r="36" spans="1:26" ht="19.5" customHeight="1">
      <c r="A36" s="3" t="s">
        <v>153</v>
      </c>
      <c r="B36" s="22" t="s">
        <v>154</v>
      </c>
      <c r="C36" s="56">
        <f t="array" ref="C36">H36+I36</f>
        <v>778127</v>
      </c>
      <c r="D36" s="57">
        <f t="array" ref="D36">D148</f>
        <v>292442</v>
      </c>
      <c r="E36" s="57">
        <f t="array" ref="E36">E148</f>
        <v>296434</v>
      </c>
      <c r="F36" s="57">
        <f t="array" ref="F36">F148</f>
        <v>96470</v>
      </c>
      <c r="G36" s="57">
        <f t="array" ref="G36">G148</f>
        <v>92781</v>
      </c>
      <c r="H36" s="56">
        <f t="array" ref="H36">E36+D36</f>
        <v>588876</v>
      </c>
      <c r="I36" s="56">
        <f t="array" ref="I36">G36+F36</f>
        <v>189251</v>
      </c>
      <c r="J36" s="56">
        <f t="array" ref="J36">D36+F36</f>
        <v>388912</v>
      </c>
      <c r="K36" s="56">
        <f t="array" ref="K36">E36+G36</f>
        <v>389215</v>
      </c>
      <c r="L36" s="58"/>
      <c r="M36" s="1"/>
      <c r="N36" s="1"/>
      <c r="O36" s="1"/>
      <c r="P36" s="1"/>
      <c r="Q36" s="1"/>
      <c r="R36" s="1"/>
      <c r="S36" s="1"/>
      <c r="T36" s="1"/>
      <c r="U36" s="1"/>
      <c r="V36" s="1"/>
      <c r="W36" s="1"/>
      <c r="X36" s="1"/>
      <c r="Y36" s="1"/>
      <c r="Z36" s="1"/>
    </row>
    <row r="37" spans="1:26" ht="19.5" customHeight="1">
      <c r="A37" s="3" t="s">
        <v>155</v>
      </c>
      <c r="B37" s="22" t="s">
        <v>156</v>
      </c>
      <c r="C37" s="56">
        <f t="array" ref="C37">H37+I37</f>
        <v>786300</v>
      </c>
      <c r="D37" s="57">
        <f t="array" ref="D37">D149</f>
        <v>297049</v>
      </c>
      <c r="E37" s="57">
        <f t="array" ref="E37">E149</f>
        <v>297995</v>
      </c>
      <c r="F37" s="57">
        <f t="array" ref="F37">F149</f>
        <v>97754</v>
      </c>
      <c r="G37" s="57">
        <f t="array" ref="G37">G149</f>
        <v>93502</v>
      </c>
      <c r="H37" s="56">
        <f t="array" ref="H37">E37+D37</f>
        <v>595044</v>
      </c>
      <c r="I37" s="56">
        <f t="array" ref="I37">G37+F37</f>
        <v>191256</v>
      </c>
      <c r="J37" s="56">
        <f t="array" ref="J37">D37+F37</f>
        <v>394803</v>
      </c>
      <c r="K37" s="56">
        <f t="array" ref="K37">E37+G37</f>
        <v>391497</v>
      </c>
      <c r="L37" s="58"/>
      <c r="M37" s="1"/>
      <c r="N37" s="1"/>
      <c r="O37" s="1"/>
      <c r="P37" s="1"/>
      <c r="Q37" s="1"/>
      <c r="R37" s="1"/>
      <c r="S37" s="1"/>
      <c r="T37" s="1"/>
      <c r="U37" s="1"/>
      <c r="V37" s="1"/>
      <c r="W37" s="1"/>
      <c r="X37" s="1"/>
      <c r="Y37" s="1"/>
      <c r="Z37" s="1"/>
    </row>
    <row r="38" spans="1:26" ht="19.5" customHeight="1">
      <c r="A38" s="3" t="s">
        <v>157</v>
      </c>
      <c r="B38" s="22" t="s">
        <v>158</v>
      </c>
      <c r="C38" s="56">
        <f t="array" ref="C38">H38+I38</f>
        <v>789717</v>
      </c>
      <c r="D38" s="57">
        <f t="array" ref="D38">D150</f>
        <v>299038</v>
      </c>
      <c r="E38" s="57">
        <f t="array" ref="E38">E150</f>
        <v>298583</v>
      </c>
      <c r="F38" s="57">
        <f t="array" ref="F38">F150</f>
        <v>98303</v>
      </c>
      <c r="G38" s="57">
        <f t="array" ref="G38">G150</f>
        <v>93793</v>
      </c>
      <c r="H38" s="56">
        <f t="array" ref="H38">E38+D38</f>
        <v>597621</v>
      </c>
      <c r="I38" s="56">
        <f t="array" ref="I38">G38+F38</f>
        <v>192096</v>
      </c>
      <c r="J38" s="56">
        <f t="array" ref="J38">D38+F38</f>
        <v>397341</v>
      </c>
      <c r="K38" s="56">
        <f t="array" ref="K38">E38+G38</f>
        <v>392376</v>
      </c>
      <c r="L38" s="58"/>
      <c r="M38" s="1"/>
      <c r="N38" s="1"/>
      <c r="O38" s="1"/>
      <c r="P38" s="1"/>
      <c r="Q38" s="1"/>
      <c r="R38" s="1"/>
      <c r="S38" s="1"/>
      <c r="T38" s="1"/>
      <c r="U38" s="1"/>
      <c r="V38" s="1"/>
      <c r="W38" s="1"/>
      <c r="X38" s="1"/>
      <c r="Y38" s="1"/>
      <c r="Z38" s="1"/>
    </row>
    <row r="39" spans="1:26" ht="19.5" customHeight="1">
      <c r="A39" s="3" t="s">
        <v>159</v>
      </c>
      <c r="B39" s="22" t="s">
        <v>160</v>
      </c>
      <c r="C39" s="56">
        <f t="array" ref="C39">H39+I39</f>
        <v>779877</v>
      </c>
      <c r="D39" s="57">
        <f t="array" ref="D39">D151</f>
        <v>297691</v>
      </c>
      <c r="E39" s="57">
        <f t="array" ref="E39">E151</f>
        <v>292458</v>
      </c>
      <c r="F39" s="57">
        <f t="array" ref="F39">F151</f>
        <v>97497</v>
      </c>
      <c r="G39" s="57">
        <f t="array" ref="G39">G151</f>
        <v>92231</v>
      </c>
      <c r="H39" s="56">
        <f t="array" ref="H39">E39+D39</f>
        <v>590149</v>
      </c>
      <c r="I39" s="56">
        <f t="array" ref="I39">G39+F39</f>
        <v>189728</v>
      </c>
      <c r="J39" s="56">
        <f t="array" ref="J39">D39+F39</f>
        <v>395188</v>
      </c>
      <c r="K39" s="56">
        <f t="array" ref="K39">E39+G39</f>
        <v>384689</v>
      </c>
      <c r="L39" s="58"/>
      <c r="M39" s="1"/>
      <c r="N39" s="1"/>
      <c r="O39" s="1"/>
      <c r="P39" s="1"/>
      <c r="Q39" s="1"/>
      <c r="R39" s="1"/>
      <c r="S39" s="1"/>
      <c r="T39" s="1"/>
      <c r="U39" s="1"/>
      <c r="V39" s="1"/>
      <c r="W39" s="1"/>
      <c r="X39" s="1"/>
      <c r="Y39" s="1"/>
      <c r="Z39" s="1"/>
    </row>
    <row r="40" spans="1:26" ht="19.5" customHeight="1">
      <c r="A40" s="3" t="s">
        <v>161</v>
      </c>
      <c r="B40" s="22" t="s">
        <v>162</v>
      </c>
      <c r="C40" s="56">
        <f t="array" ref="C40">H40+I40</f>
        <v>785370</v>
      </c>
      <c r="D40" s="57">
        <f t="array" ref="D40">D152</f>
        <v>299562</v>
      </c>
      <c r="E40" s="57">
        <f t="array" ref="E40">E152</f>
        <v>294746</v>
      </c>
      <c r="F40" s="57">
        <f t="array" ref="F40">F152</f>
        <v>98144</v>
      </c>
      <c r="G40" s="57">
        <f t="array" ref="G40">G152</f>
        <v>92918</v>
      </c>
      <c r="H40" s="56">
        <f t="array" ref="H40">E40+D40</f>
        <v>594308</v>
      </c>
      <c r="I40" s="56">
        <f t="array" ref="I40">G40+F40</f>
        <v>191062</v>
      </c>
      <c r="J40" s="56">
        <f t="array" ref="J40">D40+F40</f>
        <v>397706</v>
      </c>
      <c r="K40" s="56">
        <f t="array" ref="K40">E40+G40</f>
        <v>387664</v>
      </c>
      <c r="L40" s="58"/>
      <c r="M40" s="1"/>
      <c r="N40" s="1"/>
      <c r="O40" s="1"/>
      <c r="P40" s="1"/>
      <c r="Q40" s="1"/>
      <c r="R40" s="1"/>
      <c r="S40" s="1"/>
      <c r="T40" s="1"/>
      <c r="U40" s="1"/>
      <c r="V40" s="1"/>
      <c r="W40" s="1"/>
      <c r="X40" s="1"/>
      <c r="Y40" s="1"/>
      <c r="Z40" s="1"/>
    </row>
    <row r="41" spans="1:26" ht="19.5" customHeight="1">
      <c r="A41" s="3" t="s">
        <v>163</v>
      </c>
      <c r="B41" s="22" t="s">
        <v>164</v>
      </c>
      <c r="C41" s="56">
        <f t="array" ref="C41">H41+I41</f>
        <v>823029</v>
      </c>
      <c r="D41" s="57">
        <f t="array" ref="D41">D153</f>
        <v>314915</v>
      </c>
      <c r="E41" s="57">
        <f t="array" ref="E41">E153</f>
        <v>307879</v>
      </c>
      <c r="F41" s="57">
        <f t="array" ref="F41">F153</f>
        <v>103025</v>
      </c>
      <c r="G41" s="57">
        <f t="array" ref="G41">G153</f>
        <v>97210</v>
      </c>
      <c r="H41" s="56">
        <f t="array" ref="H41">E41+D41</f>
        <v>622794</v>
      </c>
      <c r="I41" s="56">
        <f t="array" ref="I41">G41+F41</f>
        <v>200235</v>
      </c>
      <c r="J41" s="56">
        <f t="array" ref="J41">D41+F41</f>
        <v>417940</v>
      </c>
      <c r="K41" s="56">
        <f t="array" ref="K41">E41+G41</f>
        <v>405089</v>
      </c>
      <c r="L41" s="58"/>
      <c r="M41" s="1"/>
      <c r="N41" s="1"/>
      <c r="O41" s="1"/>
      <c r="P41" s="1"/>
      <c r="Q41" s="1"/>
      <c r="R41" s="1"/>
      <c r="S41" s="1"/>
      <c r="T41" s="1"/>
      <c r="U41" s="1"/>
      <c r="V41" s="1"/>
      <c r="W41" s="1"/>
      <c r="X41" s="1"/>
      <c r="Y41" s="1"/>
      <c r="Z41" s="1"/>
    </row>
    <row r="42" spans="1:26" ht="19.5" customHeight="1">
      <c r="A42" s="3" t="s">
        <v>165</v>
      </c>
      <c r="B42" s="22" t="s">
        <v>166</v>
      </c>
      <c r="C42" s="56">
        <f t="array" ref="C42">H42+I42</f>
        <v>832229</v>
      </c>
      <c r="D42" s="57">
        <f t="array" ref="D42">D154</f>
        <v>318592</v>
      </c>
      <c r="E42" s="57">
        <f t="array" ref="E42">E154</f>
        <v>311162</v>
      </c>
      <c r="F42" s="57">
        <f t="array" ref="F42">F154</f>
        <v>104204</v>
      </c>
      <c r="G42" s="57">
        <f t="array" ref="G42">G154</f>
        <v>98271</v>
      </c>
      <c r="H42" s="56">
        <f t="array" ref="H42">E42+D42</f>
        <v>629754</v>
      </c>
      <c r="I42" s="56">
        <f t="array" ref="I42">G42+F42</f>
        <v>202475</v>
      </c>
      <c r="J42" s="56">
        <f t="array" ref="J42">D42+F42</f>
        <v>422796</v>
      </c>
      <c r="K42" s="56">
        <f t="array" ref="K42">E42+G42</f>
        <v>409433</v>
      </c>
      <c r="L42" s="58"/>
      <c r="M42" s="1"/>
      <c r="N42" s="1"/>
      <c r="O42" s="1"/>
      <c r="P42" s="1"/>
      <c r="Q42" s="1"/>
      <c r="R42" s="1"/>
      <c r="S42" s="1"/>
      <c r="T42" s="1"/>
      <c r="U42" s="1"/>
      <c r="V42" s="1"/>
      <c r="W42" s="1"/>
      <c r="X42" s="1"/>
      <c r="Y42" s="1"/>
      <c r="Z42" s="1"/>
    </row>
    <row r="43" spans="1:26" ht="19.5" customHeight="1">
      <c r="A43" s="3" t="s">
        <v>167</v>
      </c>
      <c r="B43" s="22" t="s">
        <v>168</v>
      </c>
      <c r="C43" s="56">
        <f t="array" ref="C43">H43+I43</f>
        <v>856432</v>
      </c>
      <c r="D43" s="57">
        <f t="array" ref="D43">D155</f>
        <v>327516</v>
      </c>
      <c r="E43" s="57">
        <f t="array" ref="E43">E155</f>
        <v>320556</v>
      </c>
      <c r="F43" s="57">
        <f t="array" ref="F43">F155</f>
        <v>107174</v>
      </c>
      <c r="G43" s="57">
        <f t="array" ref="G43">G155</f>
        <v>101186</v>
      </c>
      <c r="H43" s="56">
        <f t="array" ref="H43">E43+D43</f>
        <v>648072</v>
      </c>
      <c r="I43" s="56">
        <f t="array" ref="I43">G43+F43</f>
        <v>208360</v>
      </c>
      <c r="J43" s="56">
        <f t="array" ref="J43">D43+F43</f>
        <v>434690</v>
      </c>
      <c r="K43" s="56">
        <f t="array" ref="K43">E43+G43</f>
        <v>421742</v>
      </c>
      <c r="L43" s="58"/>
      <c r="M43" s="1"/>
      <c r="N43" s="1"/>
      <c r="O43" s="1"/>
      <c r="P43" s="1"/>
      <c r="Q43" s="1"/>
      <c r="R43" s="1"/>
      <c r="S43" s="1"/>
      <c r="T43" s="1"/>
      <c r="U43" s="1"/>
      <c r="V43" s="1"/>
      <c r="W43" s="1"/>
      <c r="X43" s="1"/>
      <c r="Y43" s="1"/>
      <c r="Z43" s="1"/>
    </row>
    <row r="44" spans="1:26" ht="19.5" customHeight="1">
      <c r="A44" s="3" t="s">
        <v>169</v>
      </c>
      <c r="B44" s="22" t="s">
        <v>170</v>
      </c>
      <c r="C44" s="56">
        <f t="array" ref="C44">H44+I44</f>
        <v>856531</v>
      </c>
      <c r="D44" s="57">
        <f t="array" ref="D44">D156</f>
        <v>328643</v>
      </c>
      <c r="E44" s="57">
        <f t="array" ref="E44">E156</f>
        <v>319492</v>
      </c>
      <c r="F44" s="57">
        <f t="array" ref="F44">F156</f>
        <v>107379</v>
      </c>
      <c r="G44" s="57">
        <f t="array" ref="G44">G156</f>
        <v>101017</v>
      </c>
      <c r="H44" s="56">
        <f t="array" ref="H44">E44+D44</f>
        <v>648135</v>
      </c>
      <c r="I44" s="56">
        <f t="array" ref="I44">G44+F44</f>
        <v>208396</v>
      </c>
      <c r="J44" s="56">
        <f t="array" ref="J44">D44+F44</f>
        <v>436022</v>
      </c>
      <c r="K44" s="56">
        <f t="array" ref="K44">E44+G44</f>
        <v>420509</v>
      </c>
      <c r="L44" s="58"/>
      <c r="M44" s="1"/>
      <c r="N44" s="1"/>
      <c r="O44" s="1"/>
      <c r="P44" s="1"/>
      <c r="Q44" s="1"/>
      <c r="R44" s="1"/>
      <c r="S44" s="1"/>
      <c r="T44" s="1"/>
      <c r="U44" s="1"/>
      <c r="V44" s="1"/>
      <c r="W44" s="1"/>
      <c r="X44" s="1"/>
      <c r="Y44" s="1"/>
      <c r="Z44" s="1"/>
    </row>
    <row r="45" spans="1:26" ht="19.5" customHeight="1">
      <c r="A45" s="3" t="s">
        <v>171</v>
      </c>
      <c r="B45" s="22" t="s">
        <v>172</v>
      </c>
      <c r="C45" s="56">
        <f t="array" ref="C45">H45+I45</f>
        <v>865411</v>
      </c>
      <c r="D45" s="57">
        <f t="array" ref="D45">D157</f>
        <v>332723</v>
      </c>
      <c r="E45" s="57">
        <f t="array" ref="E45">E157</f>
        <v>322124</v>
      </c>
      <c r="F45" s="57">
        <f t="array" ref="F45">F157</f>
        <v>108611</v>
      </c>
      <c r="G45" s="57">
        <f t="array" ref="G45">G157</f>
        <v>101953</v>
      </c>
      <c r="H45" s="56">
        <f t="array" ref="H45">E45+D45</f>
        <v>654847</v>
      </c>
      <c r="I45" s="56">
        <f t="array" ref="I45">G45+F45</f>
        <v>210564</v>
      </c>
      <c r="J45" s="56">
        <f t="array" ref="J45">D45+F45</f>
        <v>441334</v>
      </c>
      <c r="K45" s="56">
        <f t="array" ref="K45">E45+G45</f>
        <v>424077</v>
      </c>
      <c r="L45" s="58"/>
      <c r="M45" s="1"/>
      <c r="N45" s="1"/>
      <c r="O45" s="1"/>
      <c r="P45" s="1"/>
      <c r="Q45" s="1"/>
      <c r="R45" s="1"/>
      <c r="S45" s="1"/>
      <c r="T45" s="1"/>
      <c r="U45" s="1"/>
      <c r="V45" s="1"/>
      <c r="W45" s="1"/>
      <c r="X45" s="1"/>
      <c r="Y45" s="1"/>
      <c r="Z45" s="1"/>
    </row>
    <row r="46" spans="1:26" ht="19.5" customHeight="1">
      <c r="A46" s="3" t="s">
        <v>173</v>
      </c>
      <c r="B46" s="22" t="s">
        <v>174</v>
      </c>
      <c r="C46" s="56">
        <f t="array" ref="C46">H46+I46</f>
        <v>867356</v>
      </c>
      <c r="D46" s="57">
        <f t="array" ref="D46">D158</f>
        <v>335031</v>
      </c>
      <c r="E46" s="57">
        <f t="array" ref="E46">E158</f>
        <v>321270</v>
      </c>
      <c r="F46" s="57">
        <f t="array" ref="F46">F158</f>
        <v>109130</v>
      </c>
      <c r="G46" s="57">
        <f t="array" ref="G46">G158</f>
        <v>101925</v>
      </c>
      <c r="H46" s="56">
        <f t="array" ref="H46">E46+D46</f>
        <v>656301</v>
      </c>
      <c r="I46" s="56">
        <f t="array" ref="I46">G46+F46</f>
        <v>211055</v>
      </c>
      <c r="J46" s="56">
        <f t="array" ref="J46">D46+F46</f>
        <v>444161</v>
      </c>
      <c r="K46" s="56">
        <f t="array" ref="K46">E46+G46</f>
        <v>423195</v>
      </c>
      <c r="L46" s="58"/>
      <c r="M46" s="1"/>
      <c r="N46" s="1"/>
      <c r="O46" s="1"/>
      <c r="P46" s="1"/>
      <c r="Q46" s="1"/>
      <c r="R46" s="1"/>
      <c r="S46" s="1"/>
      <c r="T46" s="1"/>
      <c r="U46" s="1"/>
      <c r="V46" s="1"/>
      <c r="W46" s="1"/>
      <c r="X46" s="1"/>
      <c r="Y46" s="1"/>
      <c r="Z46" s="1"/>
    </row>
    <row r="47" spans="1:26" ht="19.5" customHeight="1">
      <c r="A47" s="3" t="s">
        <v>175</v>
      </c>
      <c r="B47" s="22" t="s">
        <v>176</v>
      </c>
      <c r="C47" s="56">
        <f t="array" ref="C47">H47+I47</f>
        <v>873874</v>
      </c>
      <c r="D47" s="57">
        <f t="array" ref="D47">D159</f>
        <v>337894</v>
      </c>
      <c r="E47" s="57">
        <f t="array" ref="E47">E159</f>
        <v>323334</v>
      </c>
      <c r="F47" s="57">
        <f t="array" ref="F47">F159</f>
        <v>110012</v>
      </c>
      <c r="G47" s="57">
        <f t="array" ref="G47">G159</f>
        <v>102634</v>
      </c>
      <c r="H47" s="56">
        <f t="array" ref="H47">E47+D47</f>
        <v>661228</v>
      </c>
      <c r="I47" s="56">
        <f t="array" ref="I47">G47+F47</f>
        <v>212646</v>
      </c>
      <c r="J47" s="56">
        <f t="array" ref="J47">D47+F47</f>
        <v>447906</v>
      </c>
      <c r="K47" s="56">
        <f t="array" ref="K47">E47+G47</f>
        <v>425968</v>
      </c>
      <c r="L47" s="58"/>
      <c r="M47" s="1"/>
      <c r="N47" s="1"/>
      <c r="O47" s="1"/>
      <c r="P47" s="1"/>
      <c r="Q47" s="1"/>
      <c r="R47" s="1"/>
      <c r="S47" s="1"/>
      <c r="T47" s="1"/>
      <c r="U47" s="1"/>
      <c r="V47" s="1"/>
      <c r="W47" s="1"/>
      <c r="X47" s="1"/>
      <c r="Y47" s="1"/>
      <c r="Z47" s="1"/>
    </row>
    <row r="48" spans="1:26" ht="19.5" customHeight="1">
      <c r="A48" s="3" t="s">
        <v>177</v>
      </c>
      <c r="B48" s="22" t="s">
        <v>178</v>
      </c>
      <c r="C48" s="56">
        <f t="array" ref="C48">H48+I48</f>
        <v>870781</v>
      </c>
      <c r="D48" s="57">
        <f t="array" ref="D48">D160</f>
        <v>336806</v>
      </c>
      <c r="E48" s="57">
        <f t="array" ref="E48">E160</f>
        <v>322081</v>
      </c>
      <c r="F48" s="57">
        <f t="array" ref="F48">F160</f>
        <v>109641</v>
      </c>
      <c r="G48" s="57">
        <f t="array" ref="G48">G160</f>
        <v>102253</v>
      </c>
      <c r="H48" s="56">
        <f t="array" ref="H48">E48+D48</f>
        <v>658887</v>
      </c>
      <c r="I48" s="56">
        <f t="array" ref="I48">G48+F48</f>
        <v>211894</v>
      </c>
      <c r="J48" s="56">
        <f t="array" ref="J48">D48+F48</f>
        <v>446447</v>
      </c>
      <c r="K48" s="56">
        <f t="array" ref="K48">E48+G48</f>
        <v>424334</v>
      </c>
      <c r="L48" s="58"/>
      <c r="M48" s="1"/>
      <c r="N48" s="1"/>
      <c r="O48" s="1"/>
      <c r="P48" s="1"/>
      <c r="Q48" s="1"/>
      <c r="R48" s="1"/>
      <c r="S48" s="1"/>
      <c r="T48" s="1"/>
      <c r="U48" s="1"/>
      <c r="V48" s="1"/>
      <c r="W48" s="1"/>
      <c r="X48" s="1"/>
      <c r="Y48" s="1"/>
      <c r="Z48" s="1"/>
    </row>
    <row r="49" spans="1:26" ht="19.5" customHeight="1">
      <c r="A49" s="3" t="s">
        <v>179</v>
      </c>
      <c r="B49" s="22" t="s">
        <v>180</v>
      </c>
      <c r="C49" s="56">
        <f t="array" ref="C49">H49+I49</f>
        <v>858171</v>
      </c>
      <c r="D49" s="57">
        <f t="array" ref="D49">D161</f>
        <v>333571</v>
      </c>
      <c r="E49" s="57">
        <f t="array" ref="E49">E161</f>
        <v>315756</v>
      </c>
      <c r="F49" s="57">
        <f t="array" ref="F49">F161</f>
        <v>108343</v>
      </c>
      <c r="G49" s="57">
        <f t="array" ref="G49">G161</f>
        <v>100501</v>
      </c>
      <c r="H49" s="56">
        <f t="array" ref="H49">E49+D49</f>
        <v>649327</v>
      </c>
      <c r="I49" s="56">
        <f t="array" ref="I49">G49+F49</f>
        <v>208844</v>
      </c>
      <c r="J49" s="56">
        <f t="array" ref="J49">D49+F49</f>
        <v>441914</v>
      </c>
      <c r="K49" s="56">
        <f t="array" ref="K49">E49+G49</f>
        <v>416257</v>
      </c>
      <c r="L49" s="58"/>
      <c r="M49" s="1"/>
      <c r="N49" s="1"/>
      <c r="O49" s="1"/>
      <c r="P49" s="1"/>
      <c r="Q49" s="1"/>
      <c r="R49" s="1"/>
      <c r="S49" s="1"/>
      <c r="T49" s="1"/>
      <c r="U49" s="1"/>
      <c r="V49" s="1"/>
      <c r="W49" s="1"/>
      <c r="X49" s="1"/>
      <c r="Y49" s="1"/>
      <c r="Z49" s="1"/>
    </row>
    <row r="50" spans="1:26" ht="19.5" customHeight="1">
      <c r="A50" s="3" t="s">
        <v>181</v>
      </c>
      <c r="B50" s="22" t="s">
        <v>182</v>
      </c>
      <c r="C50" s="56">
        <f t="array" ref="C50">H50+I50</f>
        <v>846701</v>
      </c>
      <c r="D50" s="57">
        <f t="array" ref="D50">D162</f>
        <v>329041</v>
      </c>
      <c r="E50" s="57">
        <f t="array" ref="E50">E162</f>
        <v>311608</v>
      </c>
      <c r="F50" s="57">
        <f t="array" ref="F50">F162</f>
        <v>106883</v>
      </c>
      <c r="G50" s="57">
        <f t="array" ref="G50">G162</f>
        <v>99169</v>
      </c>
      <c r="H50" s="56">
        <f t="array" ref="H50">E50+D50</f>
        <v>640649</v>
      </c>
      <c r="I50" s="56">
        <f t="array" ref="I50">G50+F50</f>
        <v>206052</v>
      </c>
      <c r="J50" s="56">
        <f t="array" ref="J50">D50+F50</f>
        <v>435924</v>
      </c>
      <c r="K50" s="56">
        <f t="array" ref="K50">E50+G50</f>
        <v>410777</v>
      </c>
      <c r="L50" s="58"/>
      <c r="M50" s="1"/>
      <c r="N50" s="1"/>
      <c r="O50" s="1"/>
      <c r="P50" s="1"/>
      <c r="Q50" s="1"/>
      <c r="R50" s="1"/>
      <c r="S50" s="1"/>
      <c r="T50" s="1"/>
      <c r="U50" s="1"/>
      <c r="V50" s="1"/>
      <c r="W50" s="1"/>
      <c r="X50" s="1"/>
      <c r="Y50" s="1"/>
      <c r="Z50" s="1"/>
    </row>
    <row r="51" spans="1:26" ht="19.5" customHeight="1">
      <c r="A51" s="3" t="s">
        <v>183</v>
      </c>
      <c r="B51" s="22" t="s">
        <v>184</v>
      </c>
      <c r="C51" s="56">
        <f t="array" ref="C51">H51+I51</f>
        <v>889902</v>
      </c>
      <c r="D51" s="57">
        <f t="array" ref="D51">D163</f>
        <v>343127</v>
      </c>
      <c r="E51" s="57">
        <f t="array" ref="E51">E163</f>
        <v>330241</v>
      </c>
      <c r="F51" s="57">
        <f t="array" ref="F51">F163</f>
        <v>111859</v>
      </c>
      <c r="G51" s="57">
        <f t="array" ref="G51">G163</f>
        <v>104675</v>
      </c>
      <c r="H51" s="56">
        <f t="array" ref="H51">E51+D51</f>
        <v>673368</v>
      </c>
      <c r="I51" s="56">
        <f t="array" ref="I51">G51+F51</f>
        <v>216534</v>
      </c>
      <c r="J51" s="56">
        <f t="array" ref="J51">D51+F51</f>
        <v>454986</v>
      </c>
      <c r="K51" s="56">
        <f t="array" ref="K51">E51+G51</f>
        <v>434916</v>
      </c>
      <c r="L51" s="58"/>
      <c r="M51" s="1"/>
      <c r="N51" s="1"/>
      <c r="O51" s="1"/>
      <c r="P51" s="1"/>
      <c r="Q51" s="1"/>
      <c r="R51" s="1"/>
      <c r="S51" s="1"/>
      <c r="T51" s="1"/>
      <c r="U51" s="1"/>
      <c r="V51" s="1"/>
      <c r="W51" s="1"/>
      <c r="X51" s="1"/>
      <c r="Y51" s="1"/>
      <c r="Z51" s="1"/>
    </row>
    <row r="52" spans="1:26" ht="19.5" customHeight="1">
      <c r="A52" s="3" t="s">
        <v>185</v>
      </c>
      <c r="B52" s="22" t="s">
        <v>186</v>
      </c>
      <c r="C52" s="56">
        <f t="array" ref="C52">H52+I52</f>
        <v>890740</v>
      </c>
      <c r="D52" s="57">
        <f t="array" ref="D52">D164</f>
        <v>343116</v>
      </c>
      <c r="E52" s="57">
        <f t="array" ref="E52">E164</f>
        <v>330890</v>
      </c>
      <c r="F52" s="57">
        <f t="array" ref="F52">F164</f>
        <v>111905</v>
      </c>
      <c r="G52" s="57">
        <f t="array" ref="G52">G164</f>
        <v>104829</v>
      </c>
      <c r="H52" s="56">
        <f t="array" ref="H52">E52+D52</f>
        <v>674006</v>
      </c>
      <c r="I52" s="56">
        <f t="array" ref="I52">G52+F52</f>
        <v>216734</v>
      </c>
      <c r="J52" s="56">
        <f t="array" ref="J52">D52+F52</f>
        <v>455021</v>
      </c>
      <c r="K52" s="56">
        <f t="array" ref="K52">E52+G52</f>
        <v>435719</v>
      </c>
      <c r="L52" s="58"/>
      <c r="M52" s="1"/>
      <c r="N52" s="1"/>
      <c r="O52" s="1"/>
      <c r="P52" s="1"/>
      <c r="Q52" s="1"/>
      <c r="R52" s="1"/>
      <c r="S52" s="1"/>
      <c r="T52" s="1"/>
      <c r="U52" s="1"/>
      <c r="V52" s="1"/>
      <c r="W52" s="1"/>
      <c r="X52" s="1"/>
      <c r="Y52" s="1"/>
      <c r="Z52" s="1"/>
    </row>
    <row r="53" spans="1:26" ht="19.5" customHeight="1">
      <c r="A53" s="3" t="s">
        <v>187</v>
      </c>
      <c r="B53" s="22" t="s">
        <v>188</v>
      </c>
      <c r="C53" s="56">
        <f t="array" ref="C53">H53+I53</f>
        <v>908103</v>
      </c>
      <c r="D53" s="57">
        <f t="array" ref="D53">D165</f>
        <v>349801</v>
      </c>
      <c r="E53" s="57">
        <f t="array" ref="E53">E165</f>
        <v>337343</v>
      </c>
      <c r="F53" s="57">
        <f t="array" ref="F53">F165</f>
        <v>114086</v>
      </c>
      <c r="G53" s="57">
        <f t="array" ref="G53">G165</f>
        <v>106873</v>
      </c>
      <c r="H53" s="56">
        <f t="array" ref="H53">E53+D53</f>
        <v>687144</v>
      </c>
      <c r="I53" s="56">
        <f t="array" ref="I53">G53+F53</f>
        <v>220959</v>
      </c>
      <c r="J53" s="56">
        <f t="array" ref="J53">D53+F53</f>
        <v>463887</v>
      </c>
      <c r="K53" s="56">
        <f t="array" ref="K53">E53+G53</f>
        <v>444216</v>
      </c>
      <c r="L53" s="58"/>
      <c r="M53" s="1"/>
      <c r="N53" s="1"/>
      <c r="O53" s="1"/>
      <c r="P53" s="1"/>
      <c r="Q53" s="1"/>
      <c r="R53" s="1"/>
      <c r="S53" s="1"/>
      <c r="T53" s="1"/>
      <c r="U53" s="1"/>
      <c r="V53" s="1"/>
      <c r="W53" s="1"/>
      <c r="X53" s="1"/>
      <c r="Y53" s="1"/>
      <c r="Z53" s="1"/>
    </row>
    <row r="54" spans="1:26" ht="19.5" customHeight="1">
      <c r="A54" s="3" t="s">
        <v>189</v>
      </c>
      <c r="B54" s="22" t="s">
        <v>190</v>
      </c>
      <c r="C54" s="56">
        <f t="array" ref="C54">H54+I54</f>
        <v>853130</v>
      </c>
      <c r="D54" s="57">
        <f t="array" ref="D54">D166</f>
        <v>327983</v>
      </c>
      <c r="E54" s="57">
        <f t="array" ref="E54">E166</f>
        <v>317570</v>
      </c>
      <c r="F54" s="57">
        <f t="array" ref="F54">F166</f>
        <v>107067</v>
      </c>
      <c r="G54" s="57">
        <f t="array" ref="G54">G166</f>
        <v>100510</v>
      </c>
      <c r="H54" s="56">
        <f t="array" ref="H54">E54+D54</f>
        <v>645553</v>
      </c>
      <c r="I54" s="56">
        <f t="array" ref="I54">G54+F54</f>
        <v>207577</v>
      </c>
      <c r="J54" s="56">
        <f t="array" ref="J54">D54+F54</f>
        <v>435050</v>
      </c>
      <c r="K54" s="56">
        <f t="array" ref="K54">E54+G54</f>
        <v>418080</v>
      </c>
      <c r="L54" s="58"/>
      <c r="M54" s="1"/>
      <c r="N54" s="1"/>
      <c r="O54" s="1"/>
      <c r="P54" s="1"/>
      <c r="Q54" s="1"/>
      <c r="R54" s="1"/>
      <c r="S54" s="1"/>
      <c r="T54" s="1"/>
      <c r="U54" s="1"/>
      <c r="V54" s="1"/>
      <c r="W54" s="1"/>
      <c r="X54" s="1"/>
      <c r="Y54" s="1"/>
      <c r="Z54" s="1"/>
    </row>
    <row r="55" spans="1:26" ht="19.5" customHeight="1">
      <c r="A55" s="3" t="s">
        <v>191</v>
      </c>
      <c r="B55" s="22" t="s">
        <v>192</v>
      </c>
      <c r="C55" s="56">
        <f t="array" ref="C55">H55+I55</f>
        <v>834481</v>
      </c>
      <c r="D55" s="57">
        <f t="array" ref="D55">D167</f>
        <v>319398</v>
      </c>
      <c r="E55" s="57">
        <f t="array" ref="E55">E167</f>
        <v>312061</v>
      </c>
      <c r="F55" s="57">
        <f t="array" ref="F55">F167</f>
        <v>104476</v>
      </c>
      <c r="G55" s="57">
        <f t="array" ref="G55">G167</f>
        <v>98546</v>
      </c>
      <c r="H55" s="56">
        <f t="array" ref="H55">E55+D55</f>
        <v>631459</v>
      </c>
      <c r="I55" s="56">
        <f t="array" ref="I55">G55+F55</f>
        <v>203022</v>
      </c>
      <c r="J55" s="56">
        <f t="array" ref="J55">D55+F55</f>
        <v>423874</v>
      </c>
      <c r="K55" s="56">
        <f t="array" ref="K55">E55+G55</f>
        <v>410607</v>
      </c>
      <c r="L55" s="58"/>
      <c r="M55" s="1"/>
      <c r="N55" s="1"/>
      <c r="O55" s="1"/>
      <c r="P55" s="1"/>
      <c r="Q55" s="1"/>
      <c r="R55" s="1"/>
      <c r="S55" s="1"/>
      <c r="T55" s="1"/>
      <c r="U55" s="1"/>
      <c r="V55" s="1"/>
      <c r="W55" s="1"/>
      <c r="X55" s="1"/>
      <c r="Y55" s="1"/>
      <c r="Z55" s="1"/>
    </row>
    <row r="56" spans="1:26" ht="19.5" customHeight="1">
      <c r="A56" s="3" t="s">
        <v>193</v>
      </c>
      <c r="B56" s="22" t="s">
        <v>194</v>
      </c>
      <c r="C56" s="56">
        <f t="array" ref="C56">H56+I56</f>
        <v>835195</v>
      </c>
      <c r="D56" s="57">
        <f t="array" ref="D56">D168</f>
        <v>318312</v>
      </c>
      <c r="E56" s="57">
        <f t="array" ref="E56">E168</f>
        <v>313702</v>
      </c>
      <c r="F56" s="57">
        <f t="array" ref="F56">F168</f>
        <v>104326</v>
      </c>
      <c r="G56" s="57">
        <f t="array" ref="G56">G168</f>
        <v>98855</v>
      </c>
      <c r="H56" s="56">
        <f t="array" ref="H56">E56+D56</f>
        <v>632014</v>
      </c>
      <c r="I56" s="56">
        <f t="array" ref="I56">G56+F56</f>
        <v>203181</v>
      </c>
      <c r="J56" s="56">
        <f t="array" ref="J56">D56+F56</f>
        <v>422638</v>
      </c>
      <c r="K56" s="56">
        <f t="array" ref="K56">E56+G56</f>
        <v>412557</v>
      </c>
      <c r="L56" s="58"/>
      <c r="M56" s="1"/>
      <c r="N56" s="1"/>
      <c r="O56" s="1"/>
      <c r="P56" s="1"/>
      <c r="Q56" s="1"/>
      <c r="R56" s="1"/>
      <c r="S56" s="1"/>
      <c r="T56" s="1"/>
      <c r="U56" s="1"/>
      <c r="V56" s="1"/>
      <c r="W56" s="1"/>
      <c r="X56" s="1"/>
      <c r="Y56" s="1"/>
      <c r="Z56" s="1"/>
    </row>
    <row r="57" spans="1:26" ht="19.5" customHeight="1">
      <c r="A57" s="3" t="s">
        <v>195</v>
      </c>
      <c r="B57" s="22" t="s">
        <v>196</v>
      </c>
      <c r="C57" s="56">
        <f t="array" ref="C57">H57+I57</f>
        <v>808453</v>
      </c>
      <c r="D57" s="57">
        <f t="array" ref="D57">D169</f>
        <v>307557</v>
      </c>
      <c r="E57" s="57">
        <f t="array" ref="E57">E169</f>
        <v>304227</v>
      </c>
      <c r="F57" s="57">
        <f t="array" ref="F57">F169</f>
        <v>100886</v>
      </c>
      <c r="G57" s="57">
        <f t="array" ref="G57">G169</f>
        <v>95783</v>
      </c>
      <c r="H57" s="56">
        <f t="array" ref="H57">E57+D57</f>
        <v>611784</v>
      </c>
      <c r="I57" s="56">
        <f t="array" ref="I57">G57+F57</f>
        <v>196669</v>
      </c>
      <c r="J57" s="56">
        <f t="array" ref="J57">D57+F57</f>
        <v>408443</v>
      </c>
      <c r="K57" s="56">
        <f t="array" ref="K57">E57+G57</f>
        <v>400010</v>
      </c>
      <c r="L57" s="58"/>
      <c r="M57" s="1"/>
      <c r="N57" s="1"/>
      <c r="O57" s="1"/>
      <c r="P57" s="1"/>
      <c r="Q57" s="1"/>
      <c r="R57" s="1"/>
      <c r="S57" s="1"/>
      <c r="T57" s="1"/>
      <c r="U57" s="1"/>
      <c r="V57" s="1"/>
      <c r="W57" s="1"/>
      <c r="X57" s="1"/>
      <c r="Y57" s="1"/>
      <c r="Z57" s="1"/>
    </row>
    <row r="58" spans="1:26" ht="19.5" customHeight="1">
      <c r="A58" s="3" t="s">
        <v>197</v>
      </c>
      <c r="B58" s="22" t="s">
        <v>198</v>
      </c>
      <c r="C58" s="56">
        <f t="array" ref="C58">H58+I58</f>
        <v>830975</v>
      </c>
      <c r="D58" s="57">
        <f t="array" ref="D58">D170</f>
        <v>316349</v>
      </c>
      <c r="E58" s="57">
        <f t="array" ref="E58">E170</f>
        <v>312476</v>
      </c>
      <c r="F58" s="57">
        <f t="array" ref="F58">F170</f>
        <v>103736</v>
      </c>
      <c r="G58" s="57">
        <f t="array" ref="G58">G170</f>
        <v>98414</v>
      </c>
      <c r="H58" s="56">
        <f t="array" ref="H58">E58+D58</f>
        <v>628825</v>
      </c>
      <c r="I58" s="56">
        <f t="array" ref="I58">G58+F58</f>
        <v>202150</v>
      </c>
      <c r="J58" s="56">
        <f t="array" ref="J58">D58+F58</f>
        <v>420085</v>
      </c>
      <c r="K58" s="56">
        <f t="array" ref="K58">E58+G58</f>
        <v>410890</v>
      </c>
      <c r="L58" s="58"/>
      <c r="M58" s="1"/>
      <c r="N58" s="1"/>
      <c r="O58" s="1"/>
      <c r="P58" s="1"/>
      <c r="Q58" s="1"/>
      <c r="R58" s="1"/>
      <c r="S58" s="1"/>
      <c r="T58" s="1"/>
      <c r="U58" s="1"/>
      <c r="V58" s="1"/>
      <c r="W58" s="1"/>
      <c r="X58" s="1"/>
      <c r="Y58" s="1"/>
      <c r="Z58" s="1"/>
    </row>
    <row r="59" spans="1:26" ht="19.5" customHeight="1">
      <c r="A59" s="3" t="s">
        <v>199</v>
      </c>
      <c r="B59" s="22" t="s">
        <v>200</v>
      </c>
      <c r="C59" s="56">
        <f t="array" ref="C59">H59+I59</f>
        <v>870719</v>
      </c>
      <c r="D59" s="57">
        <f t="array" ref="D59">D171</f>
        <v>330925</v>
      </c>
      <c r="E59" s="57">
        <f t="array" ref="E59">E171</f>
        <v>327981</v>
      </c>
      <c r="F59" s="57">
        <f t="array" ref="F59">F171</f>
        <v>108600</v>
      </c>
      <c r="G59" s="57">
        <f t="array" ref="G59">G171</f>
        <v>103213</v>
      </c>
      <c r="H59" s="56">
        <f t="array" ref="H59">E59+D59</f>
        <v>658906</v>
      </c>
      <c r="I59" s="56">
        <f t="array" ref="I59">G59+F59</f>
        <v>211813</v>
      </c>
      <c r="J59" s="56">
        <f t="array" ref="J59">D59+F59</f>
        <v>439525</v>
      </c>
      <c r="K59" s="56">
        <f t="array" ref="K59">E59+G59</f>
        <v>431194</v>
      </c>
      <c r="L59" s="58"/>
      <c r="M59" s="1"/>
      <c r="N59" s="1"/>
      <c r="O59" s="1"/>
      <c r="P59" s="1"/>
      <c r="Q59" s="1"/>
      <c r="R59" s="1"/>
      <c r="S59" s="1"/>
      <c r="T59" s="1"/>
      <c r="U59" s="1"/>
      <c r="V59" s="1"/>
      <c r="W59" s="1"/>
      <c r="X59" s="1"/>
      <c r="Y59" s="1"/>
      <c r="Z59" s="1"/>
    </row>
    <row r="60" spans="1:26" ht="19.5" customHeight="1">
      <c r="A60" s="3" t="s">
        <v>201</v>
      </c>
      <c r="B60" s="22" t="s">
        <v>202</v>
      </c>
      <c r="C60" s="56">
        <f t="array" ref="C60">H60+I60</f>
        <v>910858</v>
      </c>
      <c r="D60" s="57">
        <f t="array" ref="D60">D172</f>
        <v>347307</v>
      </c>
      <c r="E60" s="57">
        <f t="array" ref="E60">E172</f>
        <v>341961</v>
      </c>
      <c r="F60" s="57">
        <f t="array" ref="F60">F172</f>
        <v>113805</v>
      </c>
      <c r="G60" s="57">
        <f t="array" ref="G60">G172</f>
        <v>107785</v>
      </c>
      <c r="H60" s="56">
        <f t="array" ref="H60">E60+D60</f>
        <v>689268</v>
      </c>
      <c r="I60" s="56">
        <f t="array" ref="I60">G60+F60</f>
        <v>221590</v>
      </c>
      <c r="J60" s="56">
        <f t="array" ref="J60">D60+F60</f>
        <v>461112</v>
      </c>
      <c r="K60" s="56">
        <f t="array" ref="K60">E60+G60</f>
        <v>449746</v>
      </c>
      <c r="L60" s="58"/>
      <c r="M60" s="1"/>
      <c r="N60" s="1"/>
      <c r="O60" s="1"/>
      <c r="P60" s="1"/>
      <c r="Q60" s="1"/>
      <c r="R60" s="1"/>
      <c r="S60" s="1"/>
      <c r="T60" s="1"/>
      <c r="U60" s="1"/>
      <c r="V60" s="1"/>
      <c r="W60" s="1"/>
      <c r="X60" s="1"/>
      <c r="Y60" s="1"/>
      <c r="Z60" s="1"/>
    </row>
    <row r="61" spans="1:26" ht="19.5" customHeight="1">
      <c r="A61" s="3" t="s">
        <v>203</v>
      </c>
      <c r="B61" s="22" t="s">
        <v>204</v>
      </c>
      <c r="C61" s="56">
        <f t="array" ref="C61">H61+I61</f>
        <v>929226</v>
      </c>
      <c r="D61" s="57">
        <f t="array" ref="D61">D173</f>
        <v>352762</v>
      </c>
      <c r="E61" s="57">
        <f t="array" ref="E61">E173</f>
        <v>350424</v>
      </c>
      <c r="F61" s="57">
        <f t="array" ref="F61">F173</f>
        <v>115826</v>
      </c>
      <c r="G61" s="57">
        <f t="array" ref="G61">G173</f>
        <v>110214</v>
      </c>
      <c r="H61" s="56">
        <f t="array" ref="H61">E61+D61</f>
        <v>703186</v>
      </c>
      <c r="I61" s="56">
        <f t="array" ref="I61">G61+F61</f>
        <v>226040</v>
      </c>
      <c r="J61" s="56">
        <f t="array" ref="J61">D61+F61</f>
        <v>468588</v>
      </c>
      <c r="K61" s="56">
        <f t="array" ref="K61">E61+G61</f>
        <v>460638</v>
      </c>
      <c r="L61" s="58"/>
      <c r="M61" s="1"/>
      <c r="N61" s="1"/>
      <c r="O61" s="1"/>
      <c r="P61" s="1"/>
      <c r="Q61" s="1"/>
      <c r="R61" s="1"/>
      <c r="S61" s="1"/>
      <c r="T61" s="1"/>
      <c r="U61" s="1"/>
      <c r="V61" s="1"/>
      <c r="W61" s="1"/>
      <c r="X61" s="1"/>
      <c r="Y61" s="1"/>
      <c r="Z61" s="1"/>
    </row>
    <row r="62" spans="1:26" ht="19.5" customHeight="1">
      <c r="A62" s="3" t="s">
        <v>205</v>
      </c>
      <c r="B62" s="22" t="s">
        <v>206</v>
      </c>
      <c r="C62" s="56">
        <f t="array" ref="C62">H62+I62</f>
        <v>922084</v>
      </c>
      <c r="D62" s="57">
        <f t="array" ref="D62">D174</f>
        <v>351752</v>
      </c>
      <c r="E62" s="57">
        <f t="array" ref="E62">E174</f>
        <v>346009</v>
      </c>
      <c r="F62" s="57">
        <f t="array" ref="F62">F174</f>
        <v>115237</v>
      </c>
      <c r="G62" s="57">
        <f t="array" ref="G62">G174</f>
        <v>109086</v>
      </c>
      <c r="H62" s="56">
        <f t="array" ref="H62">E62+D62</f>
        <v>697761</v>
      </c>
      <c r="I62" s="56">
        <f t="array" ref="I62">G62+F62</f>
        <v>224323</v>
      </c>
      <c r="J62" s="56">
        <f t="array" ref="J62">D62+F62</f>
        <v>466989</v>
      </c>
      <c r="K62" s="56">
        <f t="array" ref="K62">E62+G62</f>
        <v>455095</v>
      </c>
      <c r="L62" s="58"/>
      <c r="M62" s="1"/>
      <c r="N62" s="1"/>
      <c r="O62" s="1"/>
      <c r="P62" s="1"/>
      <c r="Q62" s="1"/>
      <c r="R62" s="1"/>
      <c r="S62" s="1"/>
      <c r="T62" s="1"/>
      <c r="U62" s="1"/>
      <c r="V62" s="1"/>
      <c r="W62" s="1"/>
      <c r="X62" s="1"/>
      <c r="Y62" s="1"/>
      <c r="Z62" s="1"/>
    </row>
    <row r="63" spans="1:26" ht="19.5" customHeight="1">
      <c r="A63" s="3" t="s">
        <v>207</v>
      </c>
      <c r="B63" s="22" t="s">
        <v>208</v>
      </c>
      <c r="C63" s="56">
        <f t="array" ref="C63">H63+I63</f>
        <v>905091</v>
      </c>
      <c r="D63" s="57">
        <f t="array" ref="D63">D175</f>
        <v>345019</v>
      </c>
      <c r="E63" s="57">
        <f t="array" ref="E63">E175</f>
        <v>339886</v>
      </c>
      <c r="F63" s="57">
        <f t="array" ref="F63">F175</f>
        <v>113069</v>
      </c>
      <c r="G63" s="57">
        <f t="array" ref="G63">G175</f>
        <v>107117</v>
      </c>
      <c r="H63" s="56">
        <f t="array" ref="H63">E63+D63</f>
        <v>684905</v>
      </c>
      <c r="I63" s="56">
        <f t="array" ref="I63">G63+F63</f>
        <v>220186</v>
      </c>
      <c r="J63" s="56">
        <f t="array" ref="J63">D63+F63</f>
        <v>458088</v>
      </c>
      <c r="K63" s="56">
        <f t="array" ref="K63">E63+G63</f>
        <v>447003</v>
      </c>
      <c r="L63" s="58"/>
      <c r="M63" s="1"/>
      <c r="N63" s="1"/>
      <c r="O63" s="1"/>
      <c r="P63" s="1"/>
      <c r="Q63" s="1"/>
      <c r="R63" s="1"/>
      <c r="S63" s="1"/>
      <c r="T63" s="1"/>
      <c r="U63" s="1"/>
      <c r="V63" s="1"/>
      <c r="W63" s="1"/>
      <c r="X63" s="1"/>
      <c r="Y63" s="1"/>
      <c r="Z63" s="1"/>
    </row>
    <row r="64" spans="1:26" ht="19.5" customHeight="1">
      <c r="A64" s="3" t="s">
        <v>209</v>
      </c>
      <c r="B64" s="22" t="s">
        <v>210</v>
      </c>
      <c r="C64" s="56">
        <f t="array" ref="C64">H64+I64</f>
        <v>887758</v>
      </c>
      <c r="D64" s="57">
        <f t="array" ref="D64">D176</f>
        <v>380003</v>
      </c>
      <c r="E64" s="57">
        <f t="array" ref="E64">E176</f>
        <v>361993</v>
      </c>
      <c r="F64" s="57">
        <f t="array" ref="F64">F176</f>
        <v>70711</v>
      </c>
      <c r="G64" s="57">
        <f t="array" ref="G64">G176</f>
        <v>75051</v>
      </c>
      <c r="H64" s="56">
        <f t="array" ref="H64">E64+D64</f>
        <v>741996</v>
      </c>
      <c r="I64" s="56">
        <f t="array" ref="I64">G64+F64</f>
        <v>145762</v>
      </c>
      <c r="J64" s="56">
        <f t="array" ref="J64">D64+F64</f>
        <v>450714</v>
      </c>
      <c r="K64" s="56">
        <f t="array" ref="K64">E64+G64</f>
        <v>437044</v>
      </c>
      <c r="L64" s="58"/>
      <c r="M64" s="1"/>
      <c r="N64" s="1"/>
      <c r="O64" s="1"/>
      <c r="P64" s="1"/>
      <c r="Q64" s="1"/>
      <c r="R64" s="1"/>
      <c r="S64" s="1"/>
      <c r="T64" s="1"/>
      <c r="U64" s="1"/>
      <c r="V64" s="1"/>
      <c r="W64" s="1"/>
      <c r="X64" s="1"/>
      <c r="Y64" s="1"/>
      <c r="Z64" s="1"/>
    </row>
    <row r="65" spans="1:26" ht="19.5" customHeight="1">
      <c r="A65" s="3" t="s">
        <v>211</v>
      </c>
      <c r="B65" s="22" t="s">
        <v>212</v>
      </c>
      <c r="C65" s="56">
        <f t="array" ref="C65">H65+I65</f>
        <v>877124</v>
      </c>
      <c r="D65" s="57">
        <f t="array" ref="D65">D177</f>
        <v>377056</v>
      </c>
      <c r="E65" s="57">
        <f t="array" ref="E65">E177</f>
        <v>356075</v>
      </c>
      <c r="F65" s="57">
        <f t="array" ref="F65">F177</f>
        <v>70027</v>
      </c>
      <c r="G65" s="57">
        <f t="array" ref="G65">G177</f>
        <v>73966</v>
      </c>
      <c r="H65" s="56">
        <f t="array" ref="H65">E65+D65</f>
        <v>733131</v>
      </c>
      <c r="I65" s="56">
        <f t="array" ref="I65">G65+F65</f>
        <v>143993</v>
      </c>
      <c r="J65" s="56">
        <f t="array" ref="J65">D65+F65</f>
        <v>447083</v>
      </c>
      <c r="K65" s="56">
        <f t="array" ref="K65">E65+G65</f>
        <v>430041</v>
      </c>
      <c r="L65" s="58"/>
      <c r="M65" s="1"/>
      <c r="N65" s="1"/>
      <c r="O65" s="1"/>
      <c r="P65" s="1"/>
      <c r="Q65" s="1"/>
      <c r="R65" s="1"/>
      <c r="S65" s="1"/>
      <c r="T65" s="1"/>
      <c r="U65" s="1"/>
      <c r="V65" s="1"/>
      <c r="W65" s="1"/>
      <c r="X65" s="1"/>
      <c r="Y65" s="1"/>
      <c r="Z65" s="1"/>
    </row>
    <row r="66" spans="1:26" ht="19.5" customHeight="1">
      <c r="A66" s="3" t="s">
        <v>213</v>
      </c>
      <c r="B66" s="22" t="s">
        <v>214</v>
      </c>
      <c r="C66" s="56">
        <f t="array" ref="C66">H66+I66</f>
        <v>875691</v>
      </c>
      <c r="D66" s="57">
        <f t="array" ref="D66">D178</f>
        <v>375807</v>
      </c>
      <c r="E66" s="57">
        <f t="array" ref="E66">E178</f>
        <v>356117</v>
      </c>
      <c r="F66" s="57">
        <f t="array" ref="F66">F178</f>
        <v>69849</v>
      </c>
      <c r="G66" s="57">
        <f t="array" ref="G66">G178</f>
        <v>73918</v>
      </c>
      <c r="H66" s="56">
        <f t="array" ref="H66">E66+D66</f>
        <v>731924</v>
      </c>
      <c r="I66" s="56">
        <f t="array" ref="I66">G66+F66</f>
        <v>143767</v>
      </c>
      <c r="J66" s="56">
        <f t="array" ref="J66">D66+F66</f>
        <v>445656</v>
      </c>
      <c r="K66" s="56">
        <f t="array" ref="K66">E66+G66</f>
        <v>430035</v>
      </c>
      <c r="L66" s="58"/>
      <c r="M66" s="1"/>
      <c r="N66" s="1"/>
      <c r="O66" s="1"/>
      <c r="P66" s="1"/>
      <c r="Q66" s="1"/>
      <c r="R66" s="1"/>
      <c r="S66" s="1"/>
      <c r="T66" s="1"/>
      <c r="U66" s="1"/>
      <c r="V66" s="1"/>
      <c r="W66" s="1"/>
      <c r="X66" s="1"/>
      <c r="Y66" s="1"/>
      <c r="Z66" s="1"/>
    </row>
    <row r="67" spans="1:26" ht="19.5" customHeight="1">
      <c r="A67" s="3" t="s">
        <v>215</v>
      </c>
      <c r="B67" s="22" t="s">
        <v>216</v>
      </c>
      <c r="C67" s="56">
        <f t="array" ref="C67">H67+I67</f>
        <v>892406</v>
      </c>
      <c r="D67" s="57">
        <f t="array" ref="D67">D179</f>
        <v>383925</v>
      </c>
      <c r="E67" s="57">
        <f t="array" ref="E67">E179</f>
        <v>361983</v>
      </c>
      <c r="F67" s="57">
        <f t="array" ref="F67">F179</f>
        <v>71278</v>
      </c>
      <c r="G67" s="57">
        <f t="array" ref="G67">G179</f>
        <v>75220</v>
      </c>
      <c r="H67" s="56">
        <f t="array" ref="H67">E67+D67</f>
        <v>745908</v>
      </c>
      <c r="I67" s="56">
        <f t="array" ref="I67">G67+F67</f>
        <v>146498</v>
      </c>
      <c r="J67" s="56">
        <f t="array" ref="J67">D67+F67</f>
        <v>455203</v>
      </c>
      <c r="K67" s="56">
        <f t="array" ref="K67">E67+G67</f>
        <v>437203</v>
      </c>
      <c r="L67" s="58"/>
      <c r="M67" s="1"/>
      <c r="N67" s="1"/>
      <c r="O67" s="1"/>
      <c r="P67" s="1"/>
      <c r="Q67" s="1"/>
      <c r="R67" s="1"/>
      <c r="S67" s="1"/>
      <c r="T67" s="1"/>
      <c r="U67" s="1"/>
      <c r="V67" s="1"/>
      <c r="W67" s="1"/>
      <c r="X67" s="1"/>
      <c r="Y67" s="1"/>
      <c r="Z67" s="1"/>
    </row>
    <row r="68" spans="1:26" ht="19.5" customHeight="1">
      <c r="A68" s="3" t="s">
        <v>217</v>
      </c>
      <c r="B68" s="22" t="s">
        <v>218</v>
      </c>
      <c r="C68" s="56">
        <f t="array" ref="C68">H68+I68</f>
        <v>893293</v>
      </c>
      <c r="D68" s="57">
        <f t="array" ref="D68">D180</f>
        <v>385339</v>
      </c>
      <c r="E68" s="57">
        <f t="array" ref="E68">E180</f>
        <v>361325</v>
      </c>
      <c r="F68" s="57">
        <f t="array" ref="F68">F180</f>
        <v>71454</v>
      </c>
      <c r="G68" s="57">
        <f t="array" ref="G68">G180</f>
        <v>75175</v>
      </c>
      <c r="H68" s="56">
        <f t="array" ref="H68">E68+D68</f>
        <v>746664</v>
      </c>
      <c r="I68" s="56">
        <f t="array" ref="I68">G68+F68</f>
        <v>146629</v>
      </c>
      <c r="J68" s="56">
        <f t="array" ref="J68">D68+F68</f>
        <v>456793</v>
      </c>
      <c r="K68" s="56">
        <f t="array" ref="K68">E68+G68</f>
        <v>436500</v>
      </c>
      <c r="L68" s="58"/>
      <c r="M68" s="1"/>
      <c r="N68" s="1"/>
      <c r="O68" s="1"/>
      <c r="P68" s="1"/>
      <c r="Q68" s="1"/>
      <c r="R68" s="1"/>
      <c r="S68" s="1"/>
      <c r="T68" s="1"/>
      <c r="U68" s="1"/>
      <c r="V68" s="1"/>
      <c r="W68" s="1"/>
      <c r="X68" s="1"/>
      <c r="Y68" s="1"/>
      <c r="Z68" s="1"/>
    </row>
    <row r="69" spans="1:26" ht="19.5" customHeight="1">
      <c r="A69" s="3" t="s">
        <v>219</v>
      </c>
      <c r="B69" s="22" t="s">
        <v>220</v>
      </c>
      <c r="C69" s="56">
        <f t="array" ref="C69">H69+I69</f>
        <v>899489</v>
      </c>
      <c r="D69" s="57">
        <f t="array" ref="D69">D181</f>
        <v>389020</v>
      </c>
      <c r="E69" s="57">
        <f t="array" ref="E69">E181</f>
        <v>362837</v>
      </c>
      <c r="F69" s="57">
        <f t="array" ref="F69">F181</f>
        <v>72052</v>
      </c>
      <c r="G69" s="57">
        <f t="array" ref="G69">G181</f>
        <v>75580</v>
      </c>
      <c r="H69" s="56">
        <f t="array" ref="H69">E69+D69</f>
        <v>751857</v>
      </c>
      <c r="I69" s="56">
        <f t="array" ref="I69">G69+F69</f>
        <v>147632</v>
      </c>
      <c r="J69" s="56">
        <f t="array" ref="J69">D69+F69</f>
        <v>461072</v>
      </c>
      <c r="K69" s="56">
        <f t="array" ref="K69">E69+G69</f>
        <v>438417</v>
      </c>
      <c r="L69" s="58"/>
      <c r="M69" s="1"/>
      <c r="N69" s="1"/>
      <c r="O69" s="1"/>
      <c r="P69" s="1"/>
      <c r="Q69" s="1"/>
      <c r="R69" s="1"/>
      <c r="S69" s="1"/>
      <c r="T69" s="1"/>
      <c r="U69" s="1"/>
      <c r="V69" s="1"/>
      <c r="W69" s="1"/>
      <c r="X69" s="1"/>
      <c r="Y69" s="1"/>
      <c r="Z69" s="1"/>
    </row>
    <row r="70" spans="1:26" ht="19.5" customHeight="1">
      <c r="A70" s="3" t="s">
        <v>221</v>
      </c>
      <c r="B70" s="22" t="s">
        <v>222</v>
      </c>
      <c r="C70" s="56">
        <f t="array" ref="C70">H70+I70</f>
        <v>884400</v>
      </c>
      <c r="D70" s="57">
        <f t="array" ref="D70">D182</f>
        <v>385242</v>
      </c>
      <c r="E70" s="57">
        <f t="array" ref="E70">E182</f>
        <v>354042</v>
      </c>
      <c r="F70" s="57">
        <f t="array" ref="F70">F182</f>
        <v>71123</v>
      </c>
      <c r="G70" s="57">
        <f t="array" ref="G70">G182</f>
        <v>73993</v>
      </c>
      <c r="H70" s="56">
        <f t="array" ref="H70">E70+D70</f>
        <v>739284</v>
      </c>
      <c r="I70" s="56">
        <f t="array" ref="I70">G70+F70</f>
        <v>145116</v>
      </c>
      <c r="J70" s="56">
        <f t="array" ref="J70">D70+F70</f>
        <v>456365</v>
      </c>
      <c r="K70" s="56">
        <f t="array" ref="K70">E70+G70</f>
        <v>428035</v>
      </c>
      <c r="L70" s="58"/>
      <c r="M70" s="1"/>
      <c r="N70" s="1"/>
      <c r="O70" s="1"/>
      <c r="P70" s="1"/>
      <c r="Q70" s="1"/>
      <c r="R70" s="1"/>
      <c r="S70" s="1"/>
      <c r="T70" s="1"/>
      <c r="U70" s="1"/>
      <c r="V70" s="1"/>
      <c r="W70" s="1"/>
      <c r="X70" s="1"/>
      <c r="Y70" s="1"/>
      <c r="Z70" s="1"/>
    </row>
    <row r="71" spans="1:26" ht="19.5" customHeight="1">
      <c r="A71" s="3" t="s">
        <v>223</v>
      </c>
      <c r="B71" s="22" t="s">
        <v>224</v>
      </c>
      <c r="C71" s="56">
        <f t="array" ref="C71">H71+I71</f>
        <v>848932</v>
      </c>
      <c r="D71" s="57">
        <f t="array" ref="D71">D183</f>
        <v>369927</v>
      </c>
      <c r="E71" s="57">
        <f t="array" ref="E71">E183</f>
        <v>339711</v>
      </c>
      <c r="F71" s="57">
        <f t="array" ref="F71">F183</f>
        <v>68284</v>
      </c>
      <c r="G71" s="57">
        <f t="array" ref="G71">G183</f>
        <v>71010</v>
      </c>
      <c r="H71" s="56">
        <f t="array" ref="H71">E71+D71</f>
        <v>709638</v>
      </c>
      <c r="I71" s="56">
        <f t="array" ref="I71">G71+F71</f>
        <v>139294</v>
      </c>
      <c r="J71" s="56">
        <f t="array" ref="J71">D71+F71</f>
        <v>438211</v>
      </c>
      <c r="K71" s="56">
        <f t="array" ref="K71">E71+G71</f>
        <v>410721</v>
      </c>
      <c r="L71" s="58"/>
      <c r="M71" s="1"/>
      <c r="N71" s="1"/>
      <c r="O71" s="1"/>
      <c r="P71" s="1"/>
      <c r="Q71" s="1"/>
      <c r="R71" s="1"/>
      <c r="S71" s="1"/>
      <c r="T71" s="1"/>
      <c r="U71" s="1"/>
      <c r="V71" s="1"/>
      <c r="W71" s="1"/>
      <c r="X71" s="1"/>
      <c r="Y71" s="1"/>
      <c r="Z71" s="1"/>
    </row>
    <row r="72" spans="1:26" ht="19.5" customHeight="1">
      <c r="A72" s="3" t="s">
        <v>225</v>
      </c>
      <c r="B72" s="22" t="s">
        <v>226</v>
      </c>
      <c r="C72" s="56">
        <f t="array" ref="C72">H72+I72</f>
        <v>843681</v>
      </c>
      <c r="D72" s="57">
        <f t="array" ref="D72">D184</f>
        <v>368162</v>
      </c>
      <c r="E72" s="57">
        <f t="array" ref="E72">E184</f>
        <v>337094</v>
      </c>
      <c r="F72" s="57">
        <f t="array" ref="F72">F184</f>
        <v>67915</v>
      </c>
      <c r="G72" s="57">
        <f t="array" ref="G72">G184</f>
        <v>70510</v>
      </c>
      <c r="H72" s="56">
        <f t="array" ref="H72">E72+D72</f>
        <v>705256</v>
      </c>
      <c r="I72" s="56">
        <f t="array" ref="I72">G72+F72</f>
        <v>138425</v>
      </c>
      <c r="J72" s="56">
        <f t="array" ref="J72">D72+F72</f>
        <v>436077</v>
      </c>
      <c r="K72" s="56">
        <f t="array" ref="K72">E72+G72</f>
        <v>407604</v>
      </c>
      <c r="L72" s="58"/>
      <c r="M72" s="1"/>
      <c r="N72" s="1"/>
      <c r="O72" s="1"/>
      <c r="P72" s="1"/>
      <c r="Q72" s="1"/>
      <c r="R72" s="1"/>
      <c r="S72" s="1"/>
      <c r="T72" s="1"/>
      <c r="U72" s="1"/>
      <c r="V72" s="1"/>
      <c r="W72" s="1"/>
      <c r="X72" s="1"/>
      <c r="Y72" s="1"/>
      <c r="Z72" s="1"/>
    </row>
    <row r="73" spans="1:26" ht="19.5" customHeight="1">
      <c r="A73" s="3" t="s">
        <v>227</v>
      </c>
      <c r="B73" s="22" t="s">
        <v>228</v>
      </c>
      <c r="C73" s="56">
        <f t="array" ref="C73">H73+I73</f>
        <v>835504</v>
      </c>
      <c r="D73" s="57">
        <f t="array" ref="D73">D185</f>
        <v>366985</v>
      </c>
      <c r="E73" s="57">
        <f t="array" ref="E73">E185</f>
        <v>331469</v>
      </c>
      <c r="F73" s="57">
        <f t="array" ref="F73">F185</f>
        <v>67500</v>
      </c>
      <c r="G73" s="57">
        <f t="array" ref="G73">G185</f>
        <v>69550</v>
      </c>
      <c r="H73" s="56">
        <f t="array" ref="H73">E73+D73</f>
        <v>698454</v>
      </c>
      <c r="I73" s="56">
        <f t="array" ref="I73">G73+F73</f>
        <v>137050</v>
      </c>
      <c r="J73" s="56">
        <f t="array" ref="J73">D73+F73</f>
        <v>434485</v>
      </c>
      <c r="K73" s="56">
        <f t="array" ref="K73">E73+G73</f>
        <v>401019</v>
      </c>
      <c r="L73" s="58"/>
      <c r="M73" s="1"/>
      <c r="N73" s="1"/>
      <c r="O73" s="1"/>
      <c r="P73" s="1"/>
      <c r="Q73" s="1"/>
      <c r="R73" s="1"/>
      <c r="S73" s="1"/>
      <c r="T73" s="1"/>
      <c r="U73" s="1"/>
      <c r="V73" s="1"/>
      <c r="W73" s="1"/>
      <c r="X73" s="1"/>
      <c r="Y73" s="1"/>
      <c r="Z73" s="1"/>
    </row>
    <row r="74" spans="1:26" ht="19.5" customHeight="1">
      <c r="A74" s="3" t="s">
        <v>229</v>
      </c>
      <c r="B74" s="22" t="s">
        <v>230</v>
      </c>
      <c r="C74" s="56">
        <f t="array" ref="C74">H74+I74</f>
        <v>824730</v>
      </c>
      <c r="D74" s="57">
        <f t="array" ref="D74">D186</f>
        <v>363681</v>
      </c>
      <c r="E74" s="57">
        <f t="array" ref="E74">E186</f>
        <v>325786</v>
      </c>
      <c r="F74" s="57">
        <f t="array" ref="F74">F186</f>
        <v>66775</v>
      </c>
      <c r="G74" s="57">
        <f t="array" ref="G74">G186</f>
        <v>68488</v>
      </c>
      <c r="H74" s="56">
        <f t="array" ref="H74">E74+D74</f>
        <v>689467</v>
      </c>
      <c r="I74" s="56">
        <f t="array" ref="I74">G74+F74</f>
        <v>135263</v>
      </c>
      <c r="J74" s="56">
        <f t="array" ref="J74">D74+F74</f>
        <v>430456</v>
      </c>
      <c r="K74" s="56">
        <f t="array" ref="K74">E74+G74</f>
        <v>394274</v>
      </c>
      <c r="L74" s="58"/>
      <c r="M74" s="1"/>
      <c r="N74" s="1"/>
      <c r="O74" s="1"/>
      <c r="P74" s="1"/>
      <c r="Q74" s="1"/>
      <c r="R74" s="1"/>
      <c r="S74" s="1"/>
      <c r="T74" s="1"/>
      <c r="U74" s="1"/>
      <c r="V74" s="1"/>
      <c r="W74" s="1"/>
      <c r="X74" s="1"/>
      <c r="Y74" s="1"/>
      <c r="Z74" s="1"/>
    </row>
    <row r="75" spans="1:26" ht="19.5" customHeight="1">
      <c r="A75" s="3" t="s">
        <v>231</v>
      </c>
      <c r="B75" s="22" t="s">
        <v>232</v>
      </c>
      <c r="C75" s="56">
        <f t="array" ref="C75">H75+I75</f>
        <v>800144</v>
      </c>
      <c r="D75" s="57">
        <f t="array" ref="D75">D187</f>
        <v>356077</v>
      </c>
      <c r="E75" s="57">
        <f t="array" ref="E75">E187</f>
        <v>312882</v>
      </c>
      <c r="F75" s="57">
        <f t="array" ref="F75">F187</f>
        <v>65114</v>
      </c>
      <c r="G75" s="57">
        <f t="array" ref="G75">G187</f>
        <v>66071</v>
      </c>
      <c r="H75" s="56">
        <f t="array" ref="H75">E75+D75</f>
        <v>668959</v>
      </c>
      <c r="I75" s="56">
        <f t="array" ref="I75">G75+F75</f>
        <v>131185</v>
      </c>
      <c r="J75" s="56">
        <f t="array" ref="J75">D75+F75</f>
        <v>421191</v>
      </c>
      <c r="K75" s="56">
        <f t="array" ref="K75">E75+G75</f>
        <v>378953</v>
      </c>
      <c r="L75" s="58"/>
      <c r="M75" s="1"/>
      <c r="N75" s="1"/>
      <c r="O75" s="1"/>
      <c r="P75" s="1"/>
      <c r="Q75" s="1"/>
      <c r="R75" s="1"/>
      <c r="S75" s="1"/>
      <c r="T75" s="1"/>
      <c r="U75" s="1"/>
      <c r="V75" s="1"/>
      <c r="W75" s="1"/>
      <c r="X75" s="1"/>
      <c r="Y75" s="1"/>
      <c r="Z75" s="1"/>
    </row>
    <row r="76" spans="1:26" ht="19.5" customHeight="1">
      <c r="A76" s="3" t="s">
        <v>233</v>
      </c>
      <c r="B76" s="22" t="s">
        <v>234</v>
      </c>
      <c r="C76" s="56">
        <f t="array" ref="C76">H76+I76</f>
        <v>791451</v>
      </c>
      <c r="D76" s="57">
        <f t="array" ref="D76">D188</f>
        <v>353876</v>
      </c>
      <c r="E76" s="57">
        <f t="array" ref="E76">E188</f>
        <v>307839</v>
      </c>
      <c r="F76" s="57">
        <f t="array" ref="F76">F188</f>
        <v>64577</v>
      </c>
      <c r="G76" s="57">
        <f t="array" ref="G76">G188</f>
        <v>65159</v>
      </c>
      <c r="H76" s="56">
        <f t="array" ref="H76">E76+D76</f>
        <v>661715</v>
      </c>
      <c r="I76" s="56">
        <f t="array" ref="I76">G76+F76</f>
        <v>129736</v>
      </c>
      <c r="J76" s="56">
        <f t="array" ref="J76">D76+F76</f>
        <v>418453</v>
      </c>
      <c r="K76" s="56">
        <f t="array" ref="K76">E76+G76</f>
        <v>372998</v>
      </c>
      <c r="L76" s="58"/>
      <c r="M76" s="1"/>
      <c r="N76" s="1"/>
      <c r="O76" s="1"/>
      <c r="P76" s="1"/>
      <c r="Q76" s="1"/>
      <c r="R76" s="1"/>
      <c r="S76" s="1"/>
      <c r="T76" s="1"/>
      <c r="U76" s="1"/>
      <c r="V76" s="1"/>
      <c r="W76" s="1"/>
      <c r="X76" s="1"/>
      <c r="Y76" s="1"/>
      <c r="Z76" s="1"/>
    </row>
    <row r="77" spans="1:26" ht="19.5" customHeight="1">
      <c r="A77" s="3" t="s">
        <v>235</v>
      </c>
      <c r="B77" s="22" t="s">
        <v>236</v>
      </c>
      <c r="C77" s="56">
        <f t="array" ref="C77">H77+I77</f>
        <v>778684</v>
      </c>
      <c r="D77" s="57">
        <f t="array" ref="D77">D189</f>
        <v>351088</v>
      </c>
      <c r="E77" s="57">
        <f t="array" ref="E77">E189</f>
        <v>299994</v>
      </c>
      <c r="F77" s="57">
        <f t="array" ref="F77">F189</f>
        <v>63832</v>
      </c>
      <c r="G77" s="57">
        <f t="array" ref="G77">G189</f>
        <v>63770</v>
      </c>
      <c r="H77" s="56">
        <f t="array" ref="H77">E77+D77</f>
        <v>651082</v>
      </c>
      <c r="I77" s="56">
        <f t="array" ref="I77">G77+F77</f>
        <v>127602</v>
      </c>
      <c r="J77" s="56">
        <f t="array" ref="J77">D77+F77</f>
        <v>414920</v>
      </c>
      <c r="K77" s="56">
        <f t="array" ref="K77">E77+G77</f>
        <v>363764</v>
      </c>
      <c r="L77" s="58"/>
      <c r="M77" s="1"/>
      <c r="N77" s="1"/>
      <c r="O77" s="1"/>
      <c r="P77" s="1"/>
      <c r="Q77" s="1"/>
      <c r="R77" s="1"/>
      <c r="S77" s="1"/>
      <c r="T77" s="1"/>
      <c r="U77" s="1"/>
      <c r="V77" s="1"/>
      <c r="W77" s="1"/>
      <c r="X77" s="1"/>
      <c r="Y77" s="1"/>
      <c r="Z77" s="1"/>
    </row>
    <row r="78" spans="1:26" ht="19.5" customHeight="1">
      <c r="A78" s="3" t="s">
        <v>237</v>
      </c>
      <c r="B78" s="22" t="s">
        <v>238</v>
      </c>
      <c r="C78" s="56">
        <f t="array" ref="C78">H78+I78</f>
        <v>764786</v>
      </c>
      <c r="D78" s="57">
        <f t="array" ref="D78">D190</f>
        <v>346244</v>
      </c>
      <c r="E78" s="57">
        <f t="array" ref="E78">E190</f>
        <v>293237</v>
      </c>
      <c r="F78" s="57">
        <f t="array" ref="F78">F190</f>
        <v>62838</v>
      </c>
      <c r="G78" s="57">
        <f t="array" ref="G78">G190</f>
        <v>62467</v>
      </c>
      <c r="H78" s="56">
        <f t="array" ref="H78">E78+D78</f>
        <v>639481</v>
      </c>
      <c r="I78" s="56">
        <f t="array" ref="I78">G78+F78</f>
        <v>125305</v>
      </c>
      <c r="J78" s="56">
        <f t="array" ref="J78">D78+F78</f>
        <v>409082</v>
      </c>
      <c r="K78" s="56">
        <f t="array" ref="K78">E78+G78</f>
        <v>355704</v>
      </c>
      <c r="L78" s="58"/>
      <c r="M78" s="1"/>
      <c r="N78" s="1"/>
      <c r="O78" s="1"/>
      <c r="P78" s="1"/>
      <c r="Q78" s="1"/>
      <c r="R78" s="1"/>
      <c r="S78" s="1"/>
      <c r="T78" s="1"/>
      <c r="U78" s="1"/>
      <c r="V78" s="1"/>
      <c r="W78" s="1"/>
      <c r="X78" s="1"/>
      <c r="Y78" s="1"/>
      <c r="Z78" s="1"/>
    </row>
    <row r="79" spans="1:26" ht="19.5" customHeight="1">
      <c r="A79" s="3" t="s">
        <v>239</v>
      </c>
      <c r="B79" s="22" t="s">
        <v>240</v>
      </c>
      <c r="C79" s="56">
        <f t="array" ref="C79">H79+I79</f>
        <v>756345</v>
      </c>
      <c r="D79" s="57">
        <f t="array" ref="D79">D191</f>
        <v>342664</v>
      </c>
      <c r="E79" s="57">
        <f t="array" ref="E79">E191</f>
        <v>289763</v>
      </c>
      <c r="F79" s="57">
        <f t="array" ref="F79">F191</f>
        <v>62169</v>
      </c>
      <c r="G79" s="57">
        <f t="array" ref="G79">G191</f>
        <v>61749</v>
      </c>
      <c r="H79" s="56">
        <f t="array" ref="H79">E79+D79</f>
        <v>632427</v>
      </c>
      <c r="I79" s="56">
        <f t="array" ref="I79">G79+F79</f>
        <v>123918</v>
      </c>
      <c r="J79" s="56">
        <f t="array" ref="J79">D79+F79</f>
        <v>404833</v>
      </c>
      <c r="K79" s="56">
        <f t="array" ref="K79">E79+G79</f>
        <v>351512</v>
      </c>
      <c r="L79" s="58"/>
      <c r="M79" s="1"/>
      <c r="N79" s="1"/>
      <c r="O79" s="1"/>
      <c r="P79" s="1"/>
      <c r="Q79" s="1"/>
      <c r="R79" s="1"/>
      <c r="S79" s="1"/>
      <c r="T79" s="1"/>
      <c r="U79" s="1"/>
      <c r="V79" s="1"/>
      <c r="W79" s="1"/>
      <c r="X79" s="1"/>
      <c r="Y79" s="1"/>
      <c r="Z79" s="1"/>
    </row>
    <row r="80" spans="1:26" ht="19.5" customHeight="1">
      <c r="A80" s="3" t="s">
        <v>241</v>
      </c>
      <c r="B80" s="22" t="s">
        <v>242</v>
      </c>
      <c r="C80" s="56">
        <f t="array" ref="C80">H80+I80</f>
        <v>735445</v>
      </c>
      <c r="D80" s="57">
        <f t="array" ref="D80">D192</f>
        <v>335859</v>
      </c>
      <c r="E80" s="57">
        <f t="array" ref="E80">E192</f>
        <v>279130</v>
      </c>
      <c r="F80" s="57">
        <f t="array" ref="F80">F192</f>
        <v>60722</v>
      </c>
      <c r="G80" s="57">
        <f t="array" ref="G80">G192</f>
        <v>59734</v>
      </c>
      <c r="H80" s="56">
        <f t="array" ref="H80">E80+D80</f>
        <v>614989</v>
      </c>
      <c r="I80" s="56">
        <f t="array" ref="I80">G80+F80</f>
        <v>120456</v>
      </c>
      <c r="J80" s="56">
        <f t="array" ref="J80">D80+F80</f>
        <v>396581</v>
      </c>
      <c r="K80" s="56">
        <f t="array" ref="K80">E80+G80</f>
        <v>338864</v>
      </c>
      <c r="L80" s="58"/>
      <c r="M80" s="1"/>
      <c r="N80" s="1"/>
      <c r="O80" s="1"/>
      <c r="P80" s="1"/>
      <c r="Q80" s="1"/>
      <c r="R80" s="1"/>
      <c r="S80" s="1"/>
      <c r="T80" s="1"/>
      <c r="U80" s="1"/>
      <c r="V80" s="1"/>
      <c r="W80" s="1"/>
      <c r="X80" s="1"/>
      <c r="Y80" s="1"/>
      <c r="Z80" s="1"/>
    </row>
    <row r="81" spans="1:26" ht="19.5" customHeight="1">
      <c r="A81" s="3" t="s">
        <v>243</v>
      </c>
      <c r="B81" s="22" t="s">
        <v>244</v>
      </c>
      <c r="C81" s="56">
        <f t="array" ref="C81">H81+I81</f>
        <v>741042</v>
      </c>
      <c r="D81" s="57">
        <f t="array" ref="D81">D193</f>
        <v>340286</v>
      </c>
      <c r="E81" s="57">
        <f t="array" ref="E81">E193</f>
        <v>279410</v>
      </c>
      <c r="F81" s="57">
        <f t="array" ref="F81">F193</f>
        <v>61374</v>
      </c>
      <c r="G81" s="57">
        <f t="array" ref="G81">G193</f>
        <v>59972</v>
      </c>
      <c r="H81" s="56">
        <f t="array" ref="H81">E81+D81</f>
        <v>619696</v>
      </c>
      <c r="I81" s="56">
        <f t="array" ref="I81">G81+F81</f>
        <v>121346</v>
      </c>
      <c r="J81" s="56">
        <f t="array" ref="J81">D81+F81</f>
        <v>401660</v>
      </c>
      <c r="K81" s="56">
        <f t="array" ref="K81">E81+G81</f>
        <v>339382</v>
      </c>
      <c r="L81" s="58"/>
      <c r="M81" s="1"/>
      <c r="N81" s="1"/>
      <c r="O81" s="1"/>
      <c r="P81" s="1"/>
      <c r="Q81" s="1"/>
      <c r="R81" s="1"/>
      <c r="S81" s="1"/>
      <c r="T81" s="1"/>
      <c r="U81" s="1"/>
      <c r="V81" s="1"/>
      <c r="W81" s="1"/>
      <c r="X81" s="1"/>
      <c r="Y81" s="1"/>
      <c r="Z81" s="1"/>
    </row>
    <row r="82" spans="1:26" ht="19.5" customHeight="1">
      <c r="A82" s="3" t="s">
        <v>245</v>
      </c>
      <c r="B82" s="22" t="s">
        <v>246</v>
      </c>
      <c r="C82" s="56">
        <f t="array" ref="C82">H82+I82</f>
        <v>714246</v>
      </c>
      <c r="D82" s="57">
        <f t="array" ref="D82">D194</f>
        <v>328517</v>
      </c>
      <c r="E82" s="57">
        <f t="array" ref="E82">E194</f>
        <v>268777</v>
      </c>
      <c r="F82" s="57">
        <f t="array" ref="F82">F194</f>
        <v>59210</v>
      </c>
      <c r="G82" s="57">
        <f t="array" ref="G82">G194</f>
        <v>57742</v>
      </c>
      <c r="H82" s="56">
        <f t="array" ref="H82">E82+D82</f>
        <v>597294</v>
      </c>
      <c r="I82" s="56">
        <f t="array" ref="I82">G82+F82</f>
        <v>116952</v>
      </c>
      <c r="J82" s="56">
        <f t="array" ref="J82">D82+F82</f>
        <v>387727</v>
      </c>
      <c r="K82" s="56">
        <f t="array" ref="K82">E82+G82</f>
        <v>326519</v>
      </c>
      <c r="L82" s="58"/>
      <c r="M82" s="1"/>
      <c r="N82" s="1"/>
      <c r="O82" s="1"/>
      <c r="P82" s="1"/>
      <c r="Q82" s="1"/>
      <c r="R82" s="1"/>
      <c r="S82" s="1"/>
      <c r="T82" s="1"/>
      <c r="U82" s="1"/>
      <c r="V82" s="1"/>
      <c r="W82" s="1"/>
      <c r="X82" s="1"/>
      <c r="Y82" s="1"/>
      <c r="Z82" s="1"/>
    </row>
    <row r="83" spans="1:26" ht="19.5" customHeight="1">
      <c r="A83" s="3" t="s">
        <v>247</v>
      </c>
      <c r="B83" s="22" t="s">
        <v>248</v>
      </c>
      <c r="C83" s="56">
        <f t="array" ref="C83">H83+I83</f>
        <v>731276</v>
      </c>
      <c r="D83" s="57">
        <f t="array" ref="D83">D195</f>
        <v>336168</v>
      </c>
      <c r="E83" s="57">
        <f t="array" ref="E83">E195</f>
        <v>275366</v>
      </c>
      <c r="F83" s="57">
        <f t="array" ref="F83">F195</f>
        <v>60603</v>
      </c>
      <c r="G83" s="57">
        <f t="array" ref="G83">G195</f>
        <v>59139</v>
      </c>
      <c r="H83" s="56">
        <f t="array" ref="H83">E83+D83</f>
        <v>611534</v>
      </c>
      <c r="I83" s="56">
        <f t="array" ref="I83">G83+F83</f>
        <v>119742</v>
      </c>
      <c r="J83" s="56">
        <f t="array" ref="J83">D83+F83</f>
        <v>396771</v>
      </c>
      <c r="K83" s="56">
        <f t="array" ref="K83">E83+G83</f>
        <v>334505</v>
      </c>
      <c r="L83" s="58"/>
      <c r="M83" s="1"/>
      <c r="N83" s="1"/>
      <c r="O83" s="1"/>
      <c r="P83" s="1"/>
      <c r="Q83" s="1"/>
      <c r="R83" s="1"/>
      <c r="S83" s="1"/>
      <c r="T83" s="1"/>
      <c r="U83" s="1"/>
      <c r="V83" s="1"/>
      <c r="W83" s="1"/>
      <c r="X83" s="1"/>
      <c r="Y83" s="1"/>
      <c r="Z83" s="1"/>
    </row>
    <row r="84" spans="1:26" ht="19.5" customHeight="1">
      <c r="A84" s="3" t="s">
        <v>249</v>
      </c>
      <c r="B84" s="22" t="s">
        <v>250</v>
      </c>
      <c r="C84" s="56">
        <f t="array" ref="C84">H84+I84</f>
        <v>717277</v>
      </c>
      <c r="D84" s="57">
        <f t="array" ref="D84">D196</f>
        <v>333587</v>
      </c>
      <c r="E84" s="57">
        <f t="array" ref="E84">E196</f>
        <v>266294</v>
      </c>
      <c r="F84" s="57">
        <f t="array" ref="F84">F196</f>
        <v>59835</v>
      </c>
      <c r="G84" s="57">
        <f t="array" ref="G84">G196</f>
        <v>57561</v>
      </c>
      <c r="H84" s="56">
        <f t="array" ref="H84">E84+D84</f>
        <v>599881</v>
      </c>
      <c r="I84" s="56">
        <f t="array" ref="I84">G84+F84</f>
        <v>117396</v>
      </c>
      <c r="J84" s="56">
        <f t="array" ref="J84">D84+F84</f>
        <v>393422</v>
      </c>
      <c r="K84" s="56">
        <f t="array" ref="K84">E84+G84</f>
        <v>323855</v>
      </c>
      <c r="L84" s="58"/>
      <c r="M84" s="1"/>
      <c r="N84" s="1"/>
      <c r="O84" s="1"/>
      <c r="P84" s="1"/>
      <c r="Q84" s="1"/>
      <c r="R84" s="1"/>
      <c r="S84" s="1"/>
      <c r="T84" s="1"/>
      <c r="U84" s="1"/>
      <c r="V84" s="1"/>
      <c r="W84" s="1"/>
      <c r="X84" s="1"/>
      <c r="Y84" s="1"/>
      <c r="Z84" s="1"/>
    </row>
    <row r="85" spans="1:26" ht="19.5" customHeight="1">
      <c r="A85" s="3" t="s">
        <v>251</v>
      </c>
      <c r="B85" s="22" t="s">
        <v>252</v>
      </c>
      <c r="C85" s="56">
        <f t="array" ref="C85">H85+I85</f>
        <v>697358</v>
      </c>
      <c r="D85" s="57">
        <f t="array" ref="D85">D197</f>
        <v>323100</v>
      </c>
      <c r="E85" s="57">
        <f t="array" ref="E85">E197</f>
        <v>260105</v>
      </c>
      <c r="F85" s="57">
        <f t="array" ref="F85">F197</f>
        <v>58049</v>
      </c>
      <c r="G85" s="57">
        <f t="array" ref="G85">G197</f>
        <v>56104</v>
      </c>
      <c r="H85" s="56">
        <f t="array" ref="H85">E85+D85</f>
        <v>583205</v>
      </c>
      <c r="I85" s="56">
        <f t="array" ref="I85">G85+F85</f>
        <v>114153</v>
      </c>
      <c r="J85" s="56">
        <f t="array" ref="J85">D85+F85</f>
        <v>381149</v>
      </c>
      <c r="K85" s="56">
        <f t="array" ref="K85">E85+G85</f>
        <v>316209</v>
      </c>
      <c r="L85" s="58"/>
      <c r="M85" s="1"/>
      <c r="N85" s="1"/>
      <c r="O85" s="1"/>
      <c r="P85" s="1"/>
      <c r="Q85" s="1"/>
      <c r="R85" s="1"/>
      <c r="S85" s="1"/>
      <c r="T85" s="1"/>
      <c r="U85" s="1"/>
      <c r="V85" s="1"/>
      <c r="W85" s="1"/>
      <c r="X85" s="1"/>
      <c r="Y85" s="1"/>
      <c r="Z85" s="1"/>
    </row>
    <row r="86" spans="1:26" ht="19.5" customHeight="1">
      <c r="A86" s="3" t="s">
        <v>253</v>
      </c>
      <c r="B86" s="22" t="s">
        <v>254</v>
      </c>
      <c r="C86" s="56">
        <f t="array" ref="C86">H86+I86</f>
        <v>672402</v>
      </c>
      <c r="D86" s="57">
        <f t="array" ref="D86">D198</f>
        <v>314899</v>
      </c>
      <c r="E86" s="57">
        <f t="array" ref="E86">E198</f>
        <v>247483</v>
      </c>
      <c r="F86" s="57">
        <f t="array" ref="F86">F198</f>
        <v>56314</v>
      </c>
      <c r="G86" s="57">
        <f t="array" ref="G86">G198</f>
        <v>53706</v>
      </c>
      <c r="H86" s="56">
        <f t="array" ref="H86">E86+D86</f>
        <v>562382</v>
      </c>
      <c r="I86" s="56">
        <f t="array" ref="I86">G86+F86</f>
        <v>110020</v>
      </c>
      <c r="J86" s="56">
        <f t="array" ref="J86">D86+F86</f>
        <v>371213</v>
      </c>
      <c r="K86" s="56">
        <f t="array" ref="K86">E86+G86</f>
        <v>301189</v>
      </c>
      <c r="L86" s="58"/>
      <c r="M86" s="1"/>
      <c r="N86" s="1"/>
      <c r="O86" s="1"/>
      <c r="P86" s="1"/>
      <c r="Q86" s="1"/>
      <c r="R86" s="1"/>
      <c r="S86" s="1"/>
      <c r="T86" s="1"/>
      <c r="U86" s="1"/>
      <c r="V86" s="1"/>
      <c r="W86" s="1"/>
      <c r="X86" s="1"/>
      <c r="Y86" s="1"/>
      <c r="Z86" s="1"/>
    </row>
    <row r="87" spans="1:26" ht="19.5" customHeight="1">
      <c r="A87" s="3" t="s">
        <v>255</v>
      </c>
      <c r="B87" s="22" t="s">
        <v>256</v>
      </c>
      <c r="C87" s="56">
        <f t="array" ref="C87">H87+I87</f>
        <v>622988</v>
      </c>
      <c r="D87" s="57">
        <f t="array" ref="D87">D199</f>
        <v>292933</v>
      </c>
      <c r="E87" s="57">
        <f t="array" ref="E87">E199</f>
        <v>228137</v>
      </c>
      <c r="F87" s="57">
        <f t="array" ref="F87">F199</f>
        <v>52295</v>
      </c>
      <c r="G87" s="57">
        <f t="array" ref="G87">G199</f>
        <v>49623</v>
      </c>
      <c r="H87" s="56">
        <f t="array" ref="H87">E87+D87</f>
        <v>521070</v>
      </c>
      <c r="I87" s="56">
        <f t="array" ref="I87">G87+F87</f>
        <v>101918</v>
      </c>
      <c r="J87" s="56">
        <f t="array" ref="J87">D87+F87</f>
        <v>345228</v>
      </c>
      <c r="K87" s="56">
        <f t="array" ref="K87">E87+G87</f>
        <v>277760</v>
      </c>
      <c r="L87" s="58"/>
      <c r="M87" s="1"/>
      <c r="N87" s="1"/>
      <c r="O87" s="1"/>
      <c r="P87" s="1"/>
      <c r="Q87" s="1"/>
      <c r="R87" s="1"/>
      <c r="S87" s="1"/>
      <c r="T87" s="1"/>
      <c r="U87" s="1"/>
      <c r="V87" s="1"/>
      <c r="W87" s="1"/>
      <c r="X87" s="1"/>
      <c r="Y87" s="1"/>
      <c r="Z87" s="1"/>
    </row>
    <row r="88" spans="1:26" ht="19.5" customHeight="1">
      <c r="A88" s="3" t="s">
        <v>257</v>
      </c>
      <c r="B88" s="22" t="s">
        <v>258</v>
      </c>
      <c r="C88" s="56">
        <f t="array" ref="C88">H88+I88</f>
        <v>461914</v>
      </c>
      <c r="D88" s="57">
        <f t="array" ref="D88">D200</f>
        <v>219770</v>
      </c>
      <c r="E88" s="57">
        <f t="array" ref="E88">E200</f>
        <v>166613</v>
      </c>
      <c r="F88" s="57">
        <f t="array" ref="F88">F200</f>
        <v>39036</v>
      </c>
      <c r="G88" s="57">
        <f t="array" ref="G88">G200</f>
        <v>36495</v>
      </c>
      <c r="H88" s="56">
        <f t="array" ref="H88">E88+D88</f>
        <v>386383</v>
      </c>
      <c r="I88" s="56">
        <f t="array" ref="I88">G88+F88</f>
        <v>75531</v>
      </c>
      <c r="J88" s="56">
        <f t="array" ref="J88">D88+F88</f>
        <v>258806</v>
      </c>
      <c r="K88" s="56">
        <f t="array" ref="K88">E88+G88</f>
        <v>203108</v>
      </c>
      <c r="L88" s="58"/>
      <c r="M88" s="1"/>
      <c r="N88" s="1"/>
      <c r="O88" s="1"/>
      <c r="P88" s="1"/>
      <c r="Q88" s="1"/>
      <c r="R88" s="1"/>
      <c r="S88" s="1"/>
      <c r="T88" s="1"/>
      <c r="U88" s="1"/>
      <c r="V88" s="1"/>
      <c r="W88" s="1"/>
      <c r="X88" s="1"/>
      <c r="Y88" s="1"/>
      <c r="Z88" s="1"/>
    </row>
    <row r="89" spans="1:26" ht="19.5" customHeight="1">
      <c r="A89" s="3" t="s">
        <v>259</v>
      </c>
      <c r="B89" s="22" t="s">
        <v>260</v>
      </c>
      <c r="C89" s="56">
        <f t="array" ref="C89">H89+I89</f>
        <v>438470</v>
      </c>
      <c r="D89" s="57">
        <f t="array" ref="D89">D201</f>
        <v>210253</v>
      </c>
      <c r="E89" s="57">
        <f t="array" ref="E89">E201</f>
        <v>156543</v>
      </c>
      <c r="F89" s="57">
        <f t="array" ref="F89">F201</f>
        <v>37221</v>
      </c>
      <c r="G89" s="57">
        <f t="array" ref="G89">G201</f>
        <v>34453</v>
      </c>
      <c r="H89" s="56">
        <f t="array" ref="H89">E89+D89</f>
        <v>366796</v>
      </c>
      <c r="I89" s="56">
        <f t="array" ref="I89">G89+F89</f>
        <v>71674</v>
      </c>
      <c r="J89" s="56">
        <f t="array" ref="J89">D89+F89</f>
        <v>247474</v>
      </c>
      <c r="K89" s="56">
        <f t="array" ref="K89">E89+G89</f>
        <v>190996</v>
      </c>
      <c r="L89" s="58"/>
      <c r="M89" s="1"/>
      <c r="N89" s="1"/>
      <c r="O89" s="1"/>
      <c r="P89" s="1"/>
      <c r="Q89" s="1"/>
      <c r="R89" s="1"/>
      <c r="S89" s="1"/>
      <c r="T89" s="1"/>
      <c r="U89" s="1"/>
      <c r="V89" s="1"/>
      <c r="W89" s="1"/>
      <c r="X89" s="1"/>
      <c r="Y89" s="1"/>
      <c r="Z89" s="1"/>
    </row>
    <row r="90" spans="1:26" ht="19.5" customHeight="1">
      <c r="A90" s="3" t="s">
        <v>261</v>
      </c>
      <c r="B90" s="22" t="s">
        <v>262</v>
      </c>
      <c r="C90" s="56">
        <f t="array" ref="C90">H90+I90</f>
        <v>415938</v>
      </c>
      <c r="D90" s="57">
        <f t="array" ref="D90">D202</f>
        <v>200896</v>
      </c>
      <c r="E90" s="57">
        <f t="array" ref="E90">E202</f>
        <v>147071</v>
      </c>
      <c r="F90" s="57">
        <f t="array" ref="F90">F202</f>
        <v>35456</v>
      </c>
      <c r="G90" s="57">
        <f t="array" ref="G90">G202</f>
        <v>32515</v>
      </c>
      <c r="H90" s="56">
        <f t="array" ref="H90">E90+D90</f>
        <v>347967</v>
      </c>
      <c r="I90" s="56">
        <f t="array" ref="I90">G90+F90</f>
        <v>67971</v>
      </c>
      <c r="J90" s="56">
        <f t="array" ref="J90">D90+F90</f>
        <v>236352</v>
      </c>
      <c r="K90" s="56">
        <f t="array" ref="K90">E90+G90</f>
        <v>179586</v>
      </c>
      <c r="L90" s="58"/>
      <c r="M90" s="1"/>
      <c r="N90" s="1"/>
      <c r="O90" s="1"/>
      <c r="P90" s="1"/>
      <c r="Q90" s="1"/>
      <c r="R90" s="1"/>
      <c r="S90" s="1"/>
      <c r="T90" s="1"/>
      <c r="U90" s="1"/>
      <c r="V90" s="1"/>
      <c r="W90" s="1"/>
      <c r="X90" s="1"/>
      <c r="Y90" s="1"/>
      <c r="Z90" s="1"/>
    </row>
    <row r="91" spans="1:26" ht="19.5" customHeight="1">
      <c r="A91" s="3" t="s">
        <v>263</v>
      </c>
      <c r="B91" s="22" t="s">
        <v>264</v>
      </c>
      <c r="C91" s="56">
        <f t="array" ref="C91">H91+I91</f>
        <v>373998</v>
      </c>
      <c r="D91" s="57">
        <f t="array" ref="D91">D203</f>
        <v>183170</v>
      </c>
      <c r="E91" s="57">
        <f t="array" ref="E91">E203</f>
        <v>129747</v>
      </c>
      <c r="F91" s="57">
        <f t="array" ref="F91">F203</f>
        <v>32138</v>
      </c>
      <c r="G91" s="57">
        <f t="array" ref="G91">G203</f>
        <v>28943</v>
      </c>
      <c r="H91" s="56">
        <f t="array" ref="H91">E91+D91</f>
        <v>312917</v>
      </c>
      <c r="I91" s="56">
        <f t="array" ref="I91">G91+F91</f>
        <v>61081</v>
      </c>
      <c r="J91" s="56">
        <f t="array" ref="J91">D91+F91</f>
        <v>215308</v>
      </c>
      <c r="K91" s="56">
        <f t="array" ref="K91">E91+G91</f>
        <v>158690</v>
      </c>
      <c r="L91" s="58"/>
      <c r="M91" s="1"/>
      <c r="N91" s="1"/>
      <c r="O91" s="1"/>
      <c r="P91" s="1"/>
      <c r="Q91" s="1"/>
      <c r="R91" s="1"/>
      <c r="S91" s="1"/>
      <c r="T91" s="1"/>
      <c r="U91" s="1"/>
      <c r="V91" s="1"/>
      <c r="W91" s="1"/>
      <c r="X91" s="1"/>
      <c r="Y91" s="1"/>
      <c r="Z91" s="1"/>
    </row>
    <row r="92" spans="1:26" ht="19.5" customHeight="1">
      <c r="A92" s="3" t="s">
        <v>265</v>
      </c>
      <c r="B92" s="22" t="s">
        <v>266</v>
      </c>
      <c r="C92" s="56">
        <f t="array" ref="C92">H92+I92</f>
        <v>321969</v>
      </c>
      <c r="D92" s="57">
        <f t="array" ref="D92">D204</f>
        <v>159887</v>
      </c>
      <c r="E92" s="57">
        <f t="array" ref="E92">E204</f>
        <v>109529</v>
      </c>
      <c r="F92" s="57">
        <f t="array" ref="F92">F204</f>
        <v>27891</v>
      </c>
      <c r="G92" s="57">
        <f t="array" ref="G92">G204</f>
        <v>24662</v>
      </c>
      <c r="H92" s="56">
        <f t="array" ref="H92">E92+D92</f>
        <v>269416</v>
      </c>
      <c r="I92" s="56">
        <f t="array" ref="I92">G92+F92</f>
        <v>52553</v>
      </c>
      <c r="J92" s="56">
        <f t="array" ref="J92">D92+F92</f>
        <v>187778</v>
      </c>
      <c r="K92" s="56">
        <f t="array" ref="K92">E92+G92</f>
        <v>134191</v>
      </c>
      <c r="L92" s="58"/>
      <c r="M92" s="1"/>
      <c r="N92" s="1"/>
      <c r="O92" s="1"/>
      <c r="P92" s="1"/>
      <c r="Q92" s="1"/>
      <c r="R92" s="1"/>
      <c r="S92" s="1"/>
      <c r="T92" s="1"/>
      <c r="U92" s="1"/>
      <c r="V92" s="1"/>
      <c r="W92" s="1"/>
      <c r="X92" s="1"/>
      <c r="Y92" s="1"/>
      <c r="Z92" s="1"/>
    </row>
    <row r="93" spans="1:26" ht="19.5" customHeight="1">
      <c r="A93" s="3" t="s">
        <v>267</v>
      </c>
      <c r="B93" s="22" t="s">
        <v>268</v>
      </c>
      <c r="C93" s="56">
        <f t="array" ref="C93">H93+I93</f>
        <v>320191</v>
      </c>
      <c r="D93" s="57">
        <f t="array" ref="D93">D205</f>
        <v>161157</v>
      </c>
      <c r="E93" s="57">
        <f t="array" ref="E93">E205</f>
        <v>106802</v>
      </c>
      <c r="F93" s="57">
        <f t="array" ref="F93">F205</f>
        <v>27956</v>
      </c>
      <c r="G93" s="57">
        <f t="array" ref="G93">G205</f>
        <v>24276</v>
      </c>
      <c r="H93" s="56">
        <f t="array" ref="H93">E93+D93</f>
        <v>267959</v>
      </c>
      <c r="I93" s="56">
        <f t="array" ref="I93">G93+F93</f>
        <v>52232</v>
      </c>
      <c r="J93" s="56">
        <f t="array" ref="J93">D93+F93</f>
        <v>189113</v>
      </c>
      <c r="K93" s="56">
        <f t="array" ref="K93">E93+G93</f>
        <v>131078</v>
      </c>
      <c r="L93" s="58"/>
      <c r="M93" s="1"/>
      <c r="N93" s="1"/>
      <c r="O93" s="1"/>
      <c r="P93" s="1"/>
      <c r="Q93" s="1"/>
      <c r="R93" s="1"/>
      <c r="S93" s="1"/>
      <c r="T93" s="1"/>
      <c r="U93" s="1"/>
      <c r="V93" s="1"/>
      <c r="W93" s="1"/>
      <c r="X93" s="1"/>
      <c r="Y93" s="1"/>
      <c r="Z93" s="1"/>
    </row>
    <row r="94" spans="1:26" ht="19.5" customHeight="1">
      <c r="A94" s="3" t="s">
        <v>269</v>
      </c>
      <c r="B94" s="22" t="s">
        <v>270</v>
      </c>
      <c r="C94" s="56">
        <f t="array" ref="C94">H94+I94</f>
        <v>318269</v>
      </c>
      <c r="D94" s="57">
        <f t="array" ref="D94">D206</f>
        <v>164009</v>
      </c>
      <c r="E94" s="57">
        <f t="array" ref="E94">E206</f>
        <v>102395</v>
      </c>
      <c r="F94" s="57">
        <f t="array" ref="F94">F206</f>
        <v>28177</v>
      </c>
      <c r="G94" s="57">
        <f t="array" ref="G94">G206</f>
        <v>23688</v>
      </c>
      <c r="H94" s="56">
        <f t="array" ref="H94">E94+D94</f>
        <v>266404</v>
      </c>
      <c r="I94" s="56">
        <f t="array" ref="I94">G94+F94</f>
        <v>51865</v>
      </c>
      <c r="J94" s="56">
        <f t="array" ref="J94">D94+F94</f>
        <v>192186</v>
      </c>
      <c r="K94" s="56">
        <f t="array" ref="K94">E94+G94</f>
        <v>126083</v>
      </c>
      <c r="L94" s="58"/>
      <c r="M94" s="1"/>
      <c r="N94" s="1"/>
      <c r="O94" s="1"/>
      <c r="P94" s="1"/>
      <c r="Q94" s="1"/>
      <c r="R94" s="1"/>
      <c r="S94" s="1"/>
      <c r="T94" s="1"/>
      <c r="U94" s="1"/>
      <c r="V94" s="1"/>
      <c r="W94" s="1"/>
      <c r="X94" s="1"/>
      <c r="Y94" s="1"/>
      <c r="Z94" s="1"/>
    </row>
    <row r="95" spans="1:26" ht="19.5" customHeight="1">
      <c r="A95" s="3" t="s">
        <v>271</v>
      </c>
      <c r="B95" s="22" t="s">
        <v>272</v>
      </c>
      <c r="C95" s="56">
        <f t="array" ref="C95">H95+I95</f>
        <v>295334</v>
      </c>
      <c r="D95" s="57">
        <f t="array" ref="D95">D207</f>
        <v>154497</v>
      </c>
      <c r="E95" s="57">
        <f t="array" ref="E95">E207</f>
        <v>92742</v>
      </c>
      <c r="F95" s="57">
        <f t="array" ref="F95">F207</f>
        <v>26382</v>
      </c>
      <c r="G95" s="57">
        <f t="array" ref="G95">G207</f>
        <v>21713</v>
      </c>
      <c r="H95" s="56">
        <f t="array" ref="H95">E95+D95</f>
        <v>247239</v>
      </c>
      <c r="I95" s="56">
        <f t="array" ref="I95">G95+F95</f>
        <v>48095</v>
      </c>
      <c r="J95" s="56">
        <f t="array" ref="J95">D95+F95</f>
        <v>180879</v>
      </c>
      <c r="K95" s="56">
        <f t="array" ref="K95">E95+G95</f>
        <v>114455</v>
      </c>
      <c r="L95" s="58"/>
      <c r="M95" s="1"/>
      <c r="N95" s="1"/>
      <c r="O95" s="1"/>
      <c r="P95" s="1"/>
      <c r="Q95" s="1"/>
      <c r="R95" s="1"/>
      <c r="S95" s="1"/>
      <c r="T95" s="1"/>
      <c r="U95" s="1"/>
      <c r="V95" s="1"/>
      <c r="W95" s="1"/>
      <c r="X95" s="1"/>
      <c r="Y95" s="1"/>
      <c r="Z95" s="1"/>
    </row>
    <row r="96" spans="1:26" ht="19.5" customHeight="1">
      <c r="A96" s="3" t="s">
        <v>273</v>
      </c>
      <c r="B96" s="22" t="s">
        <v>274</v>
      </c>
      <c r="C96" s="56">
        <f t="array" ref="C96">H96+I96</f>
        <v>272687</v>
      </c>
      <c r="D96" s="57">
        <f t="array" ref="D96">D208</f>
        <v>145399</v>
      </c>
      <c r="E96" s="57">
        <f t="array" ref="E96">E208</f>
        <v>82920</v>
      </c>
      <c r="F96" s="57">
        <f t="array" ref="F96">F208</f>
        <v>24638</v>
      </c>
      <c r="G96" s="57">
        <f t="array" ref="G96">G208</f>
        <v>19730</v>
      </c>
      <c r="H96" s="56">
        <f t="array" ref="H96">E96+D96</f>
        <v>228319</v>
      </c>
      <c r="I96" s="56">
        <f t="array" ref="I96">G96+F96</f>
        <v>44368</v>
      </c>
      <c r="J96" s="56">
        <f t="array" ref="J96">D96+F96</f>
        <v>170037</v>
      </c>
      <c r="K96" s="56">
        <f t="array" ref="K96">E96+G96</f>
        <v>102650</v>
      </c>
      <c r="L96" s="58"/>
      <c r="M96" s="1"/>
      <c r="N96" s="1"/>
      <c r="O96" s="1"/>
      <c r="P96" s="1"/>
      <c r="Q96" s="1"/>
      <c r="R96" s="1"/>
      <c r="S96" s="1"/>
      <c r="T96" s="1"/>
      <c r="U96" s="1"/>
      <c r="V96" s="1"/>
      <c r="W96" s="1"/>
      <c r="X96" s="1"/>
      <c r="Y96" s="1"/>
      <c r="Z96" s="1"/>
    </row>
    <row r="97" spans="1:26" ht="19.5" customHeight="1">
      <c r="A97" s="3" t="s">
        <v>275</v>
      </c>
      <c r="B97" s="22" t="s">
        <v>276</v>
      </c>
      <c r="C97" s="56">
        <f t="array" ref="C97">H97+I97</f>
        <v>254399</v>
      </c>
      <c r="D97" s="57">
        <f t="array" ref="D97">D209</f>
        <v>138821</v>
      </c>
      <c r="E97" s="57">
        <f t="array" ref="E97">E209</f>
        <v>74230</v>
      </c>
      <c r="F97" s="57">
        <f t="array" ref="F97">F209</f>
        <v>23309</v>
      </c>
      <c r="G97" s="57">
        <f t="array" ref="G97">G209</f>
        <v>18039</v>
      </c>
      <c r="H97" s="56">
        <f t="array" ref="H97">E97+D97</f>
        <v>213051</v>
      </c>
      <c r="I97" s="56">
        <f t="array" ref="I97">G97+F97</f>
        <v>41348</v>
      </c>
      <c r="J97" s="56">
        <f t="array" ref="J97">D97+F97</f>
        <v>162130</v>
      </c>
      <c r="K97" s="56">
        <f t="array" ref="K97">E97+G97</f>
        <v>92269</v>
      </c>
      <c r="L97" s="58"/>
      <c r="M97" s="1"/>
      <c r="N97" s="1"/>
      <c r="O97" s="1"/>
      <c r="P97" s="1"/>
      <c r="Q97" s="1"/>
      <c r="R97" s="1"/>
      <c r="S97" s="1"/>
      <c r="T97" s="1"/>
      <c r="U97" s="1"/>
      <c r="V97" s="1"/>
      <c r="W97" s="1"/>
      <c r="X97" s="1"/>
      <c r="Y97" s="1"/>
      <c r="Z97" s="1"/>
    </row>
    <row r="98" spans="1:26" ht="19.5" customHeight="1">
      <c r="A98" s="3" t="s">
        <v>277</v>
      </c>
      <c r="B98" s="22" t="s">
        <v>278</v>
      </c>
      <c r="C98" s="56">
        <f t="array" ref="C98">H98+I98</f>
        <v>224993</v>
      </c>
      <c r="D98" s="57">
        <f t="array" ref="D98">D210</f>
        <v>126069</v>
      </c>
      <c r="E98" s="57">
        <f t="array" ref="E98">E210</f>
        <v>62402</v>
      </c>
      <c r="F98" s="57">
        <f t="array" ref="F98">F210</f>
        <v>20950</v>
      </c>
      <c r="G98" s="57">
        <f t="array" ref="G98">G210</f>
        <v>15572</v>
      </c>
      <c r="H98" s="56">
        <f t="array" ref="H98">E98+D98</f>
        <v>188471</v>
      </c>
      <c r="I98" s="56">
        <f t="array" ref="I98">G98+F98</f>
        <v>36522</v>
      </c>
      <c r="J98" s="56">
        <f t="array" ref="J98">D98+F98</f>
        <v>147019</v>
      </c>
      <c r="K98" s="56">
        <f t="array" ref="K98">E98+G98</f>
        <v>77974</v>
      </c>
      <c r="L98" s="58"/>
      <c r="M98" s="1"/>
      <c r="N98" s="1"/>
      <c r="O98" s="1"/>
      <c r="P98" s="1"/>
      <c r="Q98" s="1"/>
      <c r="R98" s="1"/>
      <c r="S98" s="1"/>
      <c r="T98" s="1"/>
      <c r="U98" s="1"/>
      <c r="V98" s="1"/>
      <c r="W98" s="1"/>
      <c r="X98" s="1"/>
      <c r="Y98" s="1"/>
      <c r="Z98" s="1"/>
    </row>
    <row r="99" spans="1:26" ht="19.5" customHeight="1">
      <c r="A99" s="3" t="s">
        <v>279</v>
      </c>
      <c r="B99" s="22" t="s">
        <v>280</v>
      </c>
      <c r="C99" s="56">
        <f t="array" ref="C99">H99+I99</f>
        <v>204366</v>
      </c>
      <c r="D99" s="57">
        <f t="array" ref="D99">D211</f>
        <v>116727</v>
      </c>
      <c r="E99" s="57">
        <f t="array" ref="E99">E211</f>
        <v>54497</v>
      </c>
      <c r="F99" s="57">
        <f t="array" ref="F99">F211</f>
        <v>19255</v>
      </c>
      <c r="G99" s="57">
        <f t="array" ref="G99">G211</f>
        <v>13887</v>
      </c>
      <c r="H99" s="56">
        <f t="array" ref="H99">E99+D99</f>
        <v>171224</v>
      </c>
      <c r="I99" s="56">
        <f t="array" ref="I99">G99+F99</f>
        <v>33142</v>
      </c>
      <c r="J99" s="56">
        <f t="array" ref="J99">D99+F99</f>
        <v>135982</v>
      </c>
      <c r="K99" s="56">
        <f t="array" ref="K99">E99+G99</f>
        <v>68384</v>
      </c>
      <c r="L99" s="58"/>
      <c r="M99" s="1"/>
      <c r="N99" s="1"/>
      <c r="O99" s="1"/>
      <c r="P99" s="1"/>
      <c r="Q99" s="1"/>
      <c r="R99" s="1"/>
      <c r="S99" s="1"/>
      <c r="T99" s="1"/>
      <c r="U99" s="1"/>
      <c r="V99" s="1"/>
      <c r="W99" s="1"/>
      <c r="X99" s="1"/>
      <c r="Y99" s="1"/>
      <c r="Z99" s="1"/>
    </row>
    <row r="100" spans="1:26" ht="19.5" customHeight="1">
      <c r="A100" s="3" t="s">
        <v>281</v>
      </c>
      <c r="B100" s="22" t="s">
        <v>282</v>
      </c>
      <c r="C100" s="56">
        <f t="array" ref="C100">H100+I100</f>
        <v>172634</v>
      </c>
      <c r="D100" s="57">
        <f t="array" ref="D100">D212</f>
        <v>101687</v>
      </c>
      <c r="E100" s="57">
        <f t="array" ref="E100">E212</f>
        <v>42994</v>
      </c>
      <c r="F100" s="57">
        <f t="array" ref="F100">F212</f>
        <v>16579</v>
      </c>
      <c r="G100" s="57">
        <f t="array" ref="G100">G212</f>
        <v>11374</v>
      </c>
      <c r="H100" s="56">
        <f t="array" ref="H100">E100+D100</f>
        <v>144681</v>
      </c>
      <c r="I100" s="56">
        <f t="array" ref="I100">G100+F100</f>
        <v>27953</v>
      </c>
      <c r="J100" s="56">
        <f t="array" ref="J100">D100+F100</f>
        <v>118266</v>
      </c>
      <c r="K100" s="56">
        <f t="array" ref="K100">E100+G100</f>
        <v>54368</v>
      </c>
      <c r="L100" s="58"/>
      <c r="M100" s="1"/>
      <c r="N100" s="1"/>
      <c r="O100" s="1"/>
      <c r="P100" s="1"/>
      <c r="Q100" s="1"/>
      <c r="R100" s="1"/>
      <c r="S100" s="1"/>
      <c r="T100" s="1"/>
      <c r="U100" s="1"/>
      <c r="V100" s="1"/>
      <c r="W100" s="1"/>
      <c r="X100" s="1"/>
      <c r="Y100" s="1"/>
      <c r="Z100" s="1"/>
    </row>
    <row r="101" spans="1:26" ht="19.5" customHeight="1">
      <c r="A101" s="3" t="s">
        <v>283</v>
      </c>
      <c r="B101" s="22" t="s">
        <v>284</v>
      </c>
      <c r="C101" s="56">
        <f t="array" ref="C101">H101+I101</f>
        <v>153448</v>
      </c>
      <c r="D101" s="57">
        <f t="array" ref="D101">D213</f>
        <v>92372</v>
      </c>
      <c r="E101" s="57">
        <f t="array" ref="E101">E213</f>
        <v>36258</v>
      </c>
      <c r="F101" s="57">
        <f t="array" ref="F101">F213</f>
        <v>14939</v>
      </c>
      <c r="G101" s="57">
        <f t="array" ref="G101">G213</f>
        <v>9879</v>
      </c>
      <c r="H101" s="56">
        <f t="array" ref="H101">E101+D101</f>
        <v>128630</v>
      </c>
      <c r="I101" s="56">
        <f t="array" ref="I101">G101+F101</f>
        <v>24818</v>
      </c>
      <c r="J101" s="56">
        <f t="array" ref="J101">D101+F101</f>
        <v>107311</v>
      </c>
      <c r="K101" s="56">
        <f t="array" ref="K101">E101+G101</f>
        <v>46137</v>
      </c>
      <c r="L101" s="58"/>
      <c r="M101" s="1"/>
      <c r="N101" s="1"/>
      <c r="O101" s="1"/>
      <c r="P101" s="1"/>
      <c r="Q101" s="1"/>
      <c r="R101" s="1"/>
      <c r="S101" s="1"/>
      <c r="T101" s="1"/>
      <c r="U101" s="1"/>
      <c r="V101" s="1"/>
      <c r="W101" s="1"/>
      <c r="X101" s="1"/>
      <c r="Y101" s="1"/>
      <c r="Z101" s="1"/>
    </row>
    <row r="102" spans="1:26" ht="19.5" customHeight="1">
      <c r="A102" s="3" t="s">
        <v>285</v>
      </c>
      <c r="B102" s="22" t="s">
        <v>286</v>
      </c>
      <c r="C102" s="56">
        <f t="array" ref="C102">H102+I102</f>
        <v>126235</v>
      </c>
      <c r="D102" s="57">
        <f t="array" ref="D102">D214</f>
        <v>77669</v>
      </c>
      <c r="E102" s="57">
        <f t="array" ref="E102">E214</f>
        <v>28173</v>
      </c>
      <c r="F102" s="57">
        <f t="array" ref="F102">F214</f>
        <v>12460</v>
      </c>
      <c r="G102" s="57">
        <f t="array" ref="G102">G214</f>
        <v>7933</v>
      </c>
      <c r="H102" s="56">
        <f t="array" ref="H102">E102+D102</f>
        <v>105842</v>
      </c>
      <c r="I102" s="56">
        <f t="array" ref="I102">G102+F102</f>
        <v>20393</v>
      </c>
      <c r="J102" s="56">
        <f t="array" ref="J102">D102+F102</f>
        <v>90129</v>
      </c>
      <c r="K102" s="56">
        <f t="array" ref="K102">E102+G102</f>
        <v>36106</v>
      </c>
      <c r="L102" s="58"/>
      <c r="M102" s="1"/>
      <c r="N102" s="1"/>
      <c r="O102" s="1"/>
      <c r="P102" s="1"/>
      <c r="Q102" s="1"/>
      <c r="R102" s="1"/>
      <c r="S102" s="1"/>
      <c r="T102" s="1"/>
      <c r="U102" s="1"/>
      <c r="V102" s="1"/>
      <c r="W102" s="1"/>
      <c r="X102" s="1"/>
      <c r="Y102" s="1"/>
      <c r="Z102" s="1"/>
    </row>
    <row r="103" spans="1:26" ht="19.5" customHeight="1">
      <c r="A103" s="3" t="s">
        <v>287</v>
      </c>
      <c r="B103" s="22" t="s">
        <v>288</v>
      </c>
      <c r="C103" s="56">
        <f t="array" ref="C103">H103+I103</f>
        <v>100123</v>
      </c>
      <c r="D103" s="57">
        <f t="array" ref="D103">D215</f>
        <v>63426</v>
      </c>
      <c r="E103" s="57">
        <f t="array" ref="E103">E215</f>
        <v>20548</v>
      </c>
      <c r="F103" s="57">
        <f t="array" ref="F103">F215</f>
        <v>10068</v>
      </c>
      <c r="G103" s="57">
        <f t="array" ref="G103">G215</f>
        <v>6081</v>
      </c>
      <c r="H103" s="56">
        <f t="array" ref="H103">E103+D103</f>
        <v>83974</v>
      </c>
      <c r="I103" s="56">
        <f t="array" ref="I103">G103+F103</f>
        <v>16149</v>
      </c>
      <c r="J103" s="56">
        <f t="array" ref="J103">D103+F103</f>
        <v>73494</v>
      </c>
      <c r="K103" s="56">
        <f t="array" ref="K103">E103+G103</f>
        <v>26629</v>
      </c>
      <c r="L103" s="58"/>
      <c r="M103" s="1"/>
      <c r="N103" s="1"/>
      <c r="O103" s="1"/>
      <c r="P103" s="1"/>
      <c r="Q103" s="1"/>
      <c r="R103" s="1"/>
      <c r="S103" s="1"/>
      <c r="T103" s="1"/>
      <c r="U103" s="1"/>
      <c r="V103" s="1"/>
      <c r="W103" s="1"/>
      <c r="X103" s="1"/>
      <c r="Y103" s="1"/>
      <c r="Z103" s="1"/>
    </row>
    <row r="104" spans="1:26" ht="19.5" customHeight="1">
      <c r="A104" s="3" t="s">
        <v>289</v>
      </c>
      <c r="B104" s="22" t="s">
        <v>290</v>
      </c>
      <c r="C104" s="56">
        <f t="array" ref="C104">H104+I104</f>
        <v>74040</v>
      </c>
      <c r="D104" s="57">
        <f t="array" ref="D104">D216</f>
        <v>47954</v>
      </c>
      <c r="E104" s="57">
        <f t="array" ref="E104">E216</f>
        <v>14159</v>
      </c>
      <c r="F104" s="57">
        <f t="array" ref="F104">F216</f>
        <v>7552</v>
      </c>
      <c r="G104" s="57">
        <f t="array" ref="G104">G216</f>
        <v>4375</v>
      </c>
      <c r="H104" s="56">
        <f t="array" ref="H104">E104+D104</f>
        <v>62113</v>
      </c>
      <c r="I104" s="56">
        <f t="array" ref="I104">G104+F104</f>
        <v>11927</v>
      </c>
      <c r="J104" s="56">
        <f t="array" ref="J104">D104+F104</f>
        <v>55506</v>
      </c>
      <c r="K104" s="56">
        <f t="array" ref="K104">E104+G104</f>
        <v>18534</v>
      </c>
      <c r="L104" s="58"/>
      <c r="M104" s="1"/>
      <c r="N104" s="1"/>
      <c r="O104" s="1"/>
      <c r="P104" s="1"/>
      <c r="Q104" s="1"/>
      <c r="R104" s="1"/>
      <c r="S104" s="1"/>
      <c r="T104" s="1"/>
      <c r="U104" s="1"/>
      <c r="V104" s="1"/>
      <c r="W104" s="1"/>
      <c r="X104" s="1"/>
      <c r="Y104" s="1"/>
      <c r="Z104" s="1"/>
    </row>
    <row r="105" spans="1:26" ht="19.5" customHeight="1">
      <c r="A105" s="3" t="s">
        <v>291</v>
      </c>
      <c r="B105" s="22" t="s">
        <v>292</v>
      </c>
      <c r="C105" s="56">
        <f t="array" ref="C105">H105+I105</f>
        <v>56730</v>
      </c>
      <c r="D105" s="57">
        <f t="array" ref="D105">D217</f>
        <v>37891</v>
      </c>
      <c r="E105" s="57">
        <f t="array" ref="E105">E217</f>
        <v>9717</v>
      </c>
      <c r="F105" s="57">
        <f t="array" ref="F105">F217</f>
        <v>5903</v>
      </c>
      <c r="G105" s="57">
        <f t="array" ref="G105">G217</f>
        <v>3219</v>
      </c>
      <c r="H105" s="56">
        <f t="array" ref="H105">E105+D105</f>
        <v>47608</v>
      </c>
      <c r="I105" s="56">
        <f t="array" ref="I105">G105+F105</f>
        <v>9122</v>
      </c>
      <c r="J105" s="56">
        <f t="array" ref="J105">D105+F105</f>
        <v>43794</v>
      </c>
      <c r="K105" s="56">
        <f t="array" ref="K105">E105+G105</f>
        <v>12936</v>
      </c>
      <c r="L105" s="58"/>
      <c r="M105" s="1"/>
      <c r="N105" s="1"/>
      <c r="O105" s="1"/>
      <c r="P105" s="1"/>
      <c r="Q105" s="1"/>
      <c r="R105" s="1"/>
      <c r="S105" s="1"/>
      <c r="T105" s="1"/>
      <c r="U105" s="1"/>
      <c r="V105" s="1"/>
      <c r="W105" s="1"/>
      <c r="X105" s="1"/>
      <c r="Y105" s="1"/>
      <c r="Z105" s="1"/>
    </row>
    <row r="106" spans="1:26" ht="19.5" customHeight="1">
      <c r="A106" s="3" t="s">
        <v>293</v>
      </c>
      <c r="B106" s="22" t="s">
        <v>294</v>
      </c>
      <c r="C106" s="56">
        <f t="array" ref="C106">H106+I106</f>
        <v>40724</v>
      </c>
      <c r="D106" s="57">
        <f t="array" ref="D106">D218</f>
        <v>27994</v>
      </c>
      <c r="E106" s="57">
        <f t="array" ref="E106">E218</f>
        <v>6192</v>
      </c>
      <c r="F106" s="57">
        <f t="array" ref="F106">F218</f>
        <v>4319</v>
      </c>
      <c r="G106" s="57">
        <f t="array" ref="G106">G218</f>
        <v>2219</v>
      </c>
      <c r="H106" s="56">
        <f t="array" ref="H106">E106+D106</f>
        <v>34186</v>
      </c>
      <c r="I106" s="56">
        <f t="array" ref="I106">G106+F106</f>
        <v>6538</v>
      </c>
      <c r="J106" s="56">
        <f t="array" ref="J106">D106+F106</f>
        <v>32313</v>
      </c>
      <c r="K106" s="56">
        <f t="array" ref="K106">E106+G106</f>
        <v>8411</v>
      </c>
      <c r="L106" s="58"/>
      <c r="M106" s="1"/>
      <c r="N106" s="1"/>
      <c r="O106" s="1"/>
      <c r="P106" s="1"/>
      <c r="Q106" s="1"/>
      <c r="R106" s="1"/>
      <c r="S106" s="1"/>
      <c r="T106" s="1"/>
      <c r="U106" s="1"/>
      <c r="V106" s="1"/>
      <c r="W106" s="1"/>
      <c r="X106" s="1"/>
      <c r="Y106" s="1"/>
      <c r="Z106" s="1"/>
    </row>
    <row r="107" spans="1:26" ht="19.5" customHeight="1">
      <c r="A107" s="3" t="s">
        <v>295</v>
      </c>
      <c r="B107" s="22" t="s">
        <v>296</v>
      </c>
      <c r="C107" s="56">
        <f t="array" ref="C107">H107+I107</f>
        <v>29573</v>
      </c>
      <c r="D107" s="57">
        <f t="array" ref="D107">D219</f>
        <v>20626</v>
      </c>
      <c r="E107" s="57">
        <f t="array" ref="E107">E219</f>
        <v>4204</v>
      </c>
      <c r="F107" s="57">
        <f t="array" ref="F107">F219</f>
        <v>3166</v>
      </c>
      <c r="G107" s="57">
        <f t="array" ref="G107">G219</f>
        <v>1577</v>
      </c>
      <c r="H107" s="56">
        <f t="array" ref="H107">E107+D107</f>
        <v>24830</v>
      </c>
      <c r="I107" s="56">
        <f t="array" ref="I107">G107+F107</f>
        <v>4743</v>
      </c>
      <c r="J107" s="56">
        <f t="array" ref="J107">D107+F107</f>
        <v>23792</v>
      </c>
      <c r="K107" s="56">
        <f t="array" ref="K107">E107+G107</f>
        <v>5781</v>
      </c>
      <c r="L107" s="58"/>
      <c r="M107" s="1"/>
      <c r="N107" s="1"/>
      <c r="O107" s="1"/>
      <c r="P107" s="1"/>
      <c r="Q107" s="1"/>
      <c r="R107" s="1"/>
      <c r="S107" s="1"/>
      <c r="T107" s="1"/>
      <c r="U107" s="1"/>
      <c r="V107" s="1"/>
      <c r="W107" s="1"/>
      <c r="X107" s="1"/>
      <c r="Y107" s="1"/>
      <c r="Z107" s="1"/>
    </row>
    <row r="108" spans="1:26" ht="19.5" customHeight="1">
      <c r="A108" s="3" t="s">
        <v>297</v>
      </c>
      <c r="B108" s="22" t="s">
        <v>298</v>
      </c>
      <c r="C108" s="56">
        <f t="array" ref="C108">H108+I108</f>
        <v>55321</v>
      </c>
      <c r="D108" s="57">
        <f t="array" ref="D108">D220</f>
        <v>40488</v>
      </c>
      <c r="E108" s="57">
        <f t="array" ref="E108">E220</f>
        <v>5987</v>
      </c>
      <c r="F108" s="57">
        <f t="array" ref="F108">F220</f>
        <v>6117</v>
      </c>
      <c r="G108" s="57">
        <f t="array" ref="G108">G220</f>
        <v>2729</v>
      </c>
      <c r="H108" s="56">
        <f t="array" ref="H108">E108+D108</f>
        <v>46475</v>
      </c>
      <c r="I108" s="56">
        <f t="array" ref="I108">G108+F108</f>
        <v>8846</v>
      </c>
      <c r="J108" s="56">
        <f t="array" ref="J108">D108+F108</f>
        <v>46605</v>
      </c>
      <c r="K108" s="56">
        <f t="array" ref="K108">E108+G108</f>
        <v>8716</v>
      </c>
      <c r="L108" s="58"/>
      <c r="M108" s="1"/>
      <c r="N108" s="1"/>
      <c r="O108" s="1"/>
      <c r="P108" s="1"/>
      <c r="Q108" s="1"/>
      <c r="R108" s="1"/>
      <c r="S108" s="1"/>
      <c r="T108" s="1"/>
      <c r="U108" s="1"/>
      <c r="V108" s="1"/>
      <c r="W108" s="1"/>
      <c r="X108" s="1"/>
      <c r="Y108" s="1"/>
      <c r="Z108" s="1"/>
    </row>
    <row r="109" spans="1:26" ht="19.5" customHeight="1">
      <c r="A109" s="3" t="s">
        <v>299</v>
      </c>
      <c r="B109" s="22" t="s">
        <v>300</v>
      </c>
      <c r="C109" s="56">
        <f t="array" ref="C109">SUM(C9:C108)</f>
        <v>68882600</v>
      </c>
      <c r="D109" s="56">
        <f t="array" ref="D109">SUM(D9:D108)</f>
        <v>27844155</v>
      </c>
      <c r="E109" s="56">
        <f t="array" ref="E109">SUM(E9:E108)</f>
        <v>26027855</v>
      </c>
      <c r="F109" s="56">
        <f t="array" ref="F109">SUM(F9:F108)</f>
        <v>7604375</v>
      </c>
      <c r="G109" s="56">
        <f t="array" ref="G109">SUM(G9:G108)</f>
        <v>7406215</v>
      </c>
      <c r="H109" s="56">
        <f t="array" ref="H109">SUM(H9:H108)</f>
        <v>53872010</v>
      </c>
      <c r="I109" s="56">
        <f t="array" ref="I109">SUM(I9:I108)</f>
        <v>15010590</v>
      </c>
      <c r="J109" s="56">
        <f t="array" ref="J109">D109+F109</f>
        <v>35448530</v>
      </c>
      <c r="K109" s="56">
        <f t="array" ref="K109">E109+G109</f>
        <v>33434070</v>
      </c>
      <c r="L109" s="58"/>
      <c r="M109" s="1"/>
      <c r="N109" s="1"/>
      <c r="O109" s="1"/>
      <c r="P109" s="1"/>
      <c r="Q109" s="1"/>
      <c r="R109" s="1"/>
      <c r="S109" s="1"/>
      <c r="T109" s="1"/>
      <c r="U109" s="1"/>
      <c r="V109" s="1"/>
      <c r="W109" s="1"/>
      <c r="X109" s="1"/>
      <c r="Y109" s="1"/>
      <c r="Z109" s="1"/>
    </row>
    <row r="110" spans="1:26" ht="19.5" customHeight="1">
      <c r="A110" s="2"/>
      <c r="B110" s="17"/>
      <c r="C110" s="13"/>
      <c r="D110" s="13"/>
      <c r="E110" s="13"/>
      <c r="F110" s="13"/>
      <c r="G110" s="13"/>
      <c r="H110" s="13"/>
      <c r="I110" s="13"/>
      <c r="J110" s="13"/>
      <c r="K110" s="13"/>
      <c r="L110" s="13"/>
      <c r="M110" s="1"/>
      <c r="N110" s="1"/>
      <c r="O110" s="1"/>
      <c r="P110" s="1"/>
      <c r="Q110" s="1"/>
      <c r="R110" s="1"/>
      <c r="S110" s="1"/>
      <c r="T110" s="1"/>
      <c r="U110" s="1"/>
      <c r="V110" s="1"/>
      <c r="W110" s="1"/>
      <c r="X110" s="1"/>
      <c r="Y110" s="1"/>
      <c r="Z110" s="1"/>
    </row>
    <row r="111" spans="1:26" ht="30" customHeight="1">
      <c r="A111" s="3" t="s">
        <v>301</v>
      </c>
      <c r="B111" s="22" t="s">
        <v>76</v>
      </c>
      <c r="C111" s="163" t="str">
        <f t="array" ref="C111">IF(C112="","?",C112)&amp;IF(C113="","","; downloaded "&amp;C113)&amp;IF(C114="","","; "&amp;C114)</f>
        <v>https://ec.europa.eu/eurostat/databrowser/view/demo_pjan, https://www.insee.fr/fr/statistiques/8582067, https://www.insee.fr/fr/statistiques/4187125; downloaded 2026-05-22</v>
      </c>
      <c r="D111" s="164"/>
      <c r="E111" s="164"/>
      <c r="F111" s="164"/>
      <c r="G111" s="164"/>
      <c r="H111" s="164"/>
      <c r="I111" s="164"/>
      <c r="J111" s="164"/>
      <c r="K111" s="165"/>
      <c r="L111" s="13"/>
      <c r="M111" s="1"/>
      <c r="N111" s="1"/>
      <c r="O111" s="1"/>
      <c r="P111" s="1"/>
      <c r="Q111" s="1"/>
      <c r="R111" s="1"/>
      <c r="S111" s="1"/>
      <c r="T111" s="1"/>
      <c r="U111" s="1"/>
      <c r="V111" s="1"/>
      <c r="W111" s="1"/>
      <c r="X111" s="1"/>
      <c r="Y111" s="1"/>
      <c r="Z111" s="1"/>
    </row>
    <row r="112" spans="1:26" ht="36" customHeight="1">
      <c r="A112" s="2"/>
      <c r="B112" s="22" t="s">
        <v>77</v>
      </c>
      <c r="C112" s="166" t="s">
        <v>302</v>
      </c>
      <c r="D112" s="164"/>
      <c r="E112" s="164"/>
      <c r="F112" s="164"/>
      <c r="G112" s="164"/>
      <c r="H112" s="164"/>
      <c r="I112" s="164"/>
      <c r="J112" s="164"/>
      <c r="K112" s="165"/>
      <c r="L112" s="13"/>
      <c r="M112" s="1"/>
      <c r="N112" s="1"/>
      <c r="O112" s="1"/>
      <c r="P112" s="1"/>
      <c r="Q112" s="1"/>
      <c r="R112" s="1"/>
      <c r="S112" s="1"/>
      <c r="T112" s="1"/>
      <c r="U112" s="1"/>
      <c r="V112" s="1"/>
      <c r="W112" s="1"/>
      <c r="X112" s="1"/>
      <c r="Y112" s="1"/>
      <c r="Z112" s="1"/>
    </row>
    <row r="113" spans="1:26" ht="19.5" customHeight="1">
      <c r="A113" s="23"/>
      <c r="B113" s="33" t="s">
        <v>79</v>
      </c>
      <c r="C113" s="166" t="s">
        <v>80</v>
      </c>
      <c r="D113" s="164"/>
      <c r="E113" s="164"/>
      <c r="F113" s="164"/>
      <c r="G113" s="164"/>
      <c r="H113" s="164"/>
      <c r="I113" s="164"/>
      <c r="J113" s="164"/>
      <c r="K113" s="165"/>
      <c r="L113" s="13"/>
      <c r="M113" s="1"/>
      <c r="N113" s="1"/>
      <c r="O113" s="1"/>
      <c r="P113" s="1"/>
      <c r="Q113" s="1"/>
      <c r="R113" s="1"/>
      <c r="S113" s="1"/>
      <c r="T113" s="1"/>
      <c r="U113" s="1"/>
      <c r="V113" s="1"/>
      <c r="W113" s="1"/>
      <c r="X113" s="1"/>
      <c r="Y113" s="1"/>
      <c r="Z113" s="1"/>
    </row>
    <row r="114" spans="1:26" ht="19.5" customHeight="1">
      <c r="A114" s="11"/>
      <c r="B114" s="12" t="s">
        <v>81</v>
      </c>
      <c r="C114" s="171"/>
      <c r="D114" s="164"/>
      <c r="E114" s="164"/>
      <c r="F114" s="164"/>
      <c r="G114" s="164"/>
      <c r="H114" s="164"/>
      <c r="I114" s="164"/>
      <c r="J114" s="164"/>
      <c r="K114" s="165"/>
      <c r="L114" s="13"/>
      <c r="M114" s="1"/>
      <c r="N114" s="1"/>
      <c r="O114" s="1"/>
      <c r="P114" s="1"/>
      <c r="Q114" s="1"/>
      <c r="R114" s="1"/>
      <c r="S114" s="1"/>
      <c r="T114" s="1"/>
      <c r="U114" s="1"/>
      <c r="V114" s="1"/>
      <c r="W114" s="1"/>
      <c r="X114" s="1"/>
      <c r="Y114" s="1"/>
      <c r="Z114" s="1"/>
    </row>
    <row r="115" spans="1:26" ht="128.25" customHeight="1">
      <c r="A115" s="11"/>
      <c r="B115" s="12" t="s">
        <v>82</v>
      </c>
      <c r="C115" s="171" t="s">
        <v>303</v>
      </c>
      <c r="D115" s="164"/>
      <c r="E115" s="164"/>
      <c r="F115" s="164"/>
      <c r="G115" s="164"/>
      <c r="H115" s="164"/>
      <c r="I115" s="164"/>
      <c r="J115" s="164"/>
      <c r="K115" s="165"/>
      <c r="L115" s="13"/>
      <c r="M115" s="1"/>
      <c r="N115" s="1"/>
      <c r="O115" s="1"/>
      <c r="P115" s="1"/>
      <c r="Q115" s="1"/>
      <c r="R115" s="1"/>
      <c r="S115" s="1"/>
      <c r="T115" s="1"/>
      <c r="U115" s="1"/>
      <c r="V115" s="1"/>
      <c r="W115" s="1"/>
      <c r="X115" s="1"/>
      <c r="Y115" s="1"/>
      <c r="Z115" s="1"/>
    </row>
    <row r="116" spans="1:26" ht="19.5" customHeight="1">
      <c r="A116" s="11"/>
      <c r="B116" s="12" t="s">
        <v>84</v>
      </c>
      <c r="C116" s="171"/>
      <c r="D116" s="164"/>
      <c r="E116" s="164"/>
      <c r="F116" s="164"/>
      <c r="G116" s="164"/>
      <c r="H116" s="164"/>
      <c r="I116" s="164"/>
      <c r="J116" s="164"/>
      <c r="K116" s="165"/>
      <c r="L116" s="13"/>
      <c r="M116" s="1"/>
      <c r="N116" s="1"/>
      <c r="O116" s="1"/>
      <c r="P116" s="1"/>
      <c r="Q116" s="1"/>
      <c r="R116" s="1"/>
      <c r="S116" s="1"/>
      <c r="T116" s="1"/>
      <c r="U116" s="1"/>
      <c r="V116" s="1"/>
      <c r="W116" s="1"/>
      <c r="X116" s="1"/>
      <c r="Y116" s="1"/>
      <c r="Z116" s="1"/>
    </row>
    <row r="117" spans="1:26" ht="19.5" customHeight="1">
      <c r="A117" s="11"/>
      <c r="B117" s="14"/>
      <c r="C117" s="25"/>
      <c r="D117" s="25"/>
      <c r="E117" s="25"/>
      <c r="F117" s="25"/>
      <c r="G117" s="25"/>
      <c r="H117" s="25"/>
      <c r="I117" s="25"/>
      <c r="J117" s="25"/>
      <c r="K117" s="25"/>
      <c r="L117" s="13"/>
      <c r="M117" s="1"/>
      <c r="N117" s="1"/>
      <c r="O117" s="1"/>
      <c r="P117" s="1"/>
      <c r="Q117" s="1"/>
      <c r="R117" s="1"/>
      <c r="S117" s="1"/>
      <c r="T117" s="1"/>
      <c r="U117" s="1"/>
      <c r="V117" s="1"/>
      <c r="W117" s="1"/>
      <c r="X117" s="1"/>
      <c r="Y117" s="1"/>
      <c r="Z117" s="1"/>
    </row>
    <row r="118" spans="1:26" ht="33" customHeight="1">
      <c r="A118" s="48"/>
      <c r="B118" s="49" t="s">
        <v>304</v>
      </c>
      <c r="C118" s="157" t="s">
        <v>305</v>
      </c>
      <c r="D118" s="158"/>
      <c r="E118" s="158"/>
      <c r="F118" s="158"/>
      <c r="G118" s="158"/>
      <c r="H118" s="158"/>
      <c r="I118" s="158"/>
      <c r="J118" s="158"/>
      <c r="K118" s="159"/>
      <c r="L118" s="59"/>
      <c r="M118" s="1"/>
      <c r="N118" s="1"/>
      <c r="O118" s="1"/>
      <c r="P118" s="1"/>
      <c r="Q118" s="1"/>
      <c r="R118" s="1"/>
      <c r="S118" s="1"/>
      <c r="T118" s="1"/>
      <c r="U118" s="1"/>
      <c r="V118" s="1"/>
      <c r="W118" s="1"/>
      <c r="X118" s="1"/>
      <c r="Y118" s="1"/>
      <c r="Z118" s="1"/>
    </row>
    <row r="119" spans="1:26" ht="26.25" customHeight="1">
      <c r="A119" s="51"/>
      <c r="B119" s="52" t="s">
        <v>95</v>
      </c>
      <c r="C119" s="160" t="s">
        <v>306</v>
      </c>
      <c r="D119" s="161"/>
      <c r="E119" s="161"/>
      <c r="F119" s="161"/>
      <c r="G119" s="161"/>
      <c r="H119" s="161"/>
      <c r="I119" s="161"/>
      <c r="J119" s="161"/>
      <c r="K119" s="162"/>
      <c r="L119" s="21"/>
      <c r="M119" s="1"/>
      <c r="N119" s="1"/>
      <c r="O119" s="1"/>
      <c r="P119" s="1"/>
      <c r="Q119" s="1"/>
      <c r="R119" s="1"/>
      <c r="S119" s="1"/>
      <c r="T119" s="1"/>
      <c r="U119" s="1"/>
      <c r="V119" s="1"/>
      <c r="W119" s="1"/>
      <c r="X119" s="1"/>
      <c r="Y119" s="1"/>
      <c r="Z119" s="1"/>
    </row>
    <row r="120" spans="1:26" ht="19.5" customHeight="1">
      <c r="A120" s="60"/>
      <c r="B120" s="61"/>
      <c r="C120" s="62"/>
      <c r="D120" s="63"/>
      <c r="E120" s="63"/>
      <c r="F120" s="63"/>
      <c r="G120" s="63"/>
      <c r="H120" s="63"/>
      <c r="I120" s="63"/>
      <c r="J120" s="63"/>
      <c r="K120" s="63"/>
      <c r="L120" s="63"/>
      <c r="M120" s="1"/>
      <c r="N120" s="1"/>
      <c r="O120" s="1"/>
      <c r="P120" s="1"/>
      <c r="Q120" s="1"/>
      <c r="R120" s="1"/>
      <c r="S120" s="1"/>
      <c r="T120" s="1"/>
      <c r="U120" s="1"/>
      <c r="V120" s="1"/>
      <c r="W120" s="1"/>
      <c r="X120" s="1"/>
      <c r="Y120" s="1"/>
      <c r="Z120" s="1"/>
    </row>
    <row r="121" spans="1:26" ht="19.5" customHeight="1">
      <c r="A121" s="60"/>
      <c r="B121" s="64" t="s">
        <v>100</v>
      </c>
      <c r="C121" s="62"/>
      <c r="D121" s="65">
        <v>223160</v>
      </c>
      <c r="E121" s="65">
        <v>236773</v>
      </c>
      <c r="F121" s="65">
        <v>76749</v>
      </c>
      <c r="G121" s="65">
        <v>77248</v>
      </c>
      <c r="H121" s="63"/>
      <c r="I121" s="63"/>
      <c r="J121" s="63"/>
      <c r="K121" s="63"/>
      <c r="L121" s="63"/>
      <c r="M121" s="1"/>
      <c r="N121" s="1"/>
      <c r="O121" s="1"/>
      <c r="P121" s="1"/>
      <c r="Q121" s="1"/>
      <c r="R121" s="1"/>
      <c r="S121" s="1"/>
      <c r="T121" s="1"/>
      <c r="U121" s="1"/>
      <c r="V121" s="1"/>
      <c r="W121" s="1"/>
      <c r="X121" s="1"/>
      <c r="Y121" s="1"/>
      <c r="Z121" s="1"/>
    </row>
    <row r="122" spans="1:26" ht="19.5" customHeight="1">
      <c r="A122" s="60"/>
      <c r="B122" s="64" t="s">
        <v>102</v>
      </c>
      <c r="C122" s="62"/>
      <c r="D122" s="65">
        <v>230533</v>
      </c>
      <c r="E122" s="65">
        <v>243780</v>
      </c>
      <c r="F122" s="65">
        <v>79161</v>
      </c>
      <c r="G122" s="65">
        <v>79650</v>
      </c>
      <c r="H122" s="63"/>
      <c r="I122" s="63"/>
      <c r="J122" s="63"/>
      <c r="K122" s="63"/>
      <c r="L122" s="63"/>
      <c r="M122" s="1"/>
      <c r="N122" s="1"/>
      <c r="O122" s="1"/>
      <c r="P122" s="1"/>
      <c r="Q122" s="1"/>
      <c r="R122" s="1"/>
      <c r="S122" s="1"/>
      <c r="T122" s="1"/>
      <c r="U122" s="1"/>
      <c r="V122" s="1"/>
      <c r="W122" s="1"/>
      <c r="X122" s="1"/>
      <c r="Y122" s="1"/>
      <c r="Z122" s="1"/>
    </row>
    <row r="123" spans="1:26" ht="19.5" customHeight="1">
      <c r="A123" s="60"/>
      <c r="B123" s="64" t="s">
        <v>104</v>
      </c>
      <c r="C123" s="62"/>
      <c r="D123" s="65">
        <v>247647</v>
      </c>
      <c r="E123" s="65">
        <v>262491</v>
      </c>
      <c r="F123" s="65">
        <v>85131</v>
      </c>
      <c r="G123" s="65">
        <v>85676</v>
      </c>
      <c r="H123" s="63"/>
      <c r="I123" s="63"/>
      <c r="J123" s="63"/>
      <c r="K123" s="63"/>
      <c r="L123" s="63"/>
      <c r="M123" s="1"/>
      <c r="N123" s="1"/>
      <c r="O123" s="1"/>
      <c r="P123" s="1"/>
      <c r="Q123" s="1"/>
      <c r="R123" s="1"/>
      <c r="S123" s="1"/>
      <c r="T123" s="1"/>
      <c r="U123" s="1"/>
      <c r="V123" s="1"/>
      <c r="W123" s="1"/>
      <c r="X123" s="1"/>
      <c r="Y123" s="1"/>
      <c r="Z123" s="1"/>
    </row>
    <row r="124" spans="1:26" ht="19.5" customHeight="1">
      <c r="A124" s="60"/>
      <c r="B124" s="64" t="s">
        <v>106</v>
      </c>
      <c r="C124" s="62"/>
      <c r="D124" s="65">
        <v>258010</v>
      </c>
      <c r="E124" s="65">
        <v>271968</v>
      </c>
      <c r="F124" s="65">
        <v>88466</v>
      </c>
      <c r="G124" s="65">
        <v>88983</v>
      </c>
      <c r="H124" s="63"/>
      <c r="I124" s="63"/>
      <c r="J124" s="63"/>
      <c r="K124" s="63"/>
      <c r="L124" s="63"/>
      <c r="M124" s="1"/>
      <c r="N124" s="1"/>
      <c r="O124" s="1"/>
      <c r="P124" s="1"/>
      <c r="Q124" s="1"/>
      <c r="R124" s="1"/>
      <c r="S124" s="1"/>
      <c r="T124" s="1"/>
      <c r="U124" s="1"/>
      <c r="V124" s="1"/>
      <c r="W124" s="1"/>
      <c r="X124" s="1"/>
      <c r="Y124" s="1"/>
      <c r="Z124" s="1"/>
    </row>
    <row r="125" spans="1:26" ht="19.5" customHeight="1">
      <c r="A125" s="60"/>
      <c r="B125" s="64" t="s">
        <v>108</v>
      </c>
      <c r="C125" s="62"/>
      <c r="D125" s="65">
        <v>259140</v>
      </c>
      <c r="E125" s="65">
        <v>274142</v>
      </c>
      <c r="F125" s="65">
        <v>89001</v>
      </c>
      <c r="G125" s="65">
        <v>89554</v>
      </c>
      <c r="H125" s="63"/>
      <c r="I125" s="63"/>
      <c r="J125" s="63"/>
      <c r="K125" s="63"/>
      <c r="L125" s="63"/>
      <c r="M125" s="1"/>
      <c r="N125" s="1"/>
      <c r="O125" s="1"/>
      <c r="P125" s="1"/>
      <c r="Q125" s="1"/>
      <c r="R125" s="1"/>
      <c r="S125" s="1"/>
      <c r="T125" s="1"/>
      <c r="U125" s="1"/>
      <c r="V125" s="1"/>
      <c r="W125" s="1"/>
      <c r="X125" s="1"/>
      <c r="Y125" s="1"/>
      <c r="Z125" s="1"/>
    </row>
    <row r="126" spans="1:26" ht="19.5" customHeight="1">
      <c r="A126" s="60"/>
      <c r="B126" s="64" t="s">
        <v>110</v>
      </c>
      <c r="C126" s="62"/>
      <c r="D126" s="65">
        <v>267392</v>
      </c>
      <c r="E126" s="65">
        <v>285777</v>
      </c>
      <c r="F126" s="65">
        <v>92274</v>
      </c>
      <c r="G126" s="65">
        <v>92941</v>
      </c>
      <c r="H126" s="63"/>
      <c r="I126" s="63"/>
      <c r="J126" s="63"/>
      <c r="K126" s="63"/>
      <c r="L126" s="63"/>
      <c r="M126" s="1"/>
      <c r="N126" s="1"/>
      <c r="O126" s="1"/>
      <c r="P126" s="1"/>
      <c r="Q126" s="1"/>
      <c r="R126" s="1"/>
      <c r="S126" s="1"/>
      <c r="T126" s="1"/>
      <c r="U126" s="1"/>
      <c r="V126" s="1"/>
      <c r="W126" s="1"/>
      <c r="X126" s="1"/>
      <c r="Y126" s="1"/>
      <c r="Z126" s="1"/>
    </row>
    <row r="127" spans="1:26" ht="19.5" customHeight="1">
      <c r="A127" s="60"/>
      <c r="B127" s="64" t="s">
        <v>112</v>
      </c>
      <c r="C127" s="62"/>
      <c r="D127" s="65">
        <v>271396</v>
      </c>
      <c r="E127" s="65">
        <v>288465</v>
      </c>
      <c r="F127" s="65">
        <v>93415</v>
      </c>
      <c r="G127" s="65">
        <v>94039</v>
      </c>
      <c r="H127" s="63"/>
      <c r="I127" s="63"/>
      <c r="J127" s="63"/>
      <c r="K127" s="63"/>
      <c r="L127" s="63"/>
      <c r="M127" s="1"/>
      <c r="N127" s="1"/>
      <c r="O127" s="1"/>
      <c r="P127" s="1"/>
      <c r="Q127" s="1"/>
      <c r="R127" s="1"/>
      <c r="S127" s="1"/>
      <c r="T127" s="1"/>
      <c r="U127" s="1"/>
      <c r="V127" s="1"/>
      <c r="W127" s="1"/>
      <c r="X127" s="1"/>
      <c r="Y127" s="1"/>
      <c r="Z127" s="1"/>
    </row>
    <row r="128" spans="1:26" ht="19.5" customHeight="1">
      <c r="A128" s="60"/>
      <c r="B128" s="64" t="s">
        <v>114</v>
      </c>
      <c r="C128" s="62"/>
      <c r="D128" s="65">
        <v>274735</v>
      </c>
      <c r="E128" s="65">
        <v>296232</v>
      </c>
      <c r="F128" s="65">
        <v>95201</v>
      </c>
      <c r="G128" s="65">
        <v>95973</v>
      </c>
      <c r="H128" s="63"/>
      <c r="I128" s="63"/>
      <c r="J128" s="63"/>
      <c r="K128" s="63"/>
      <c r="L128" s="63"/>
      <c r="M128" s="1"/>
      <c r="N128" s="1"/>
      <c r="O128" s="1"/>
      <c r="P128" s="1"/>
      <c r="Q128" s="1"/>
      <c r="R128" s="1"/>
      <c r="S128" s="1"/>
      <c r="T128" s="1"/>
      <c r="U128" s="1"/>
      <c r="V128" s="1"/>
      <c r="W128" s="1"/>
      <c r="X128" s="1"/>
      <c r="Y128" s="1"/>
      <c r="Z128" s="1"/>
    </row>
    <row r="129" spans="1:26" ht="19.5" customHeight="1">
      <c r="A129" s="60"/>
      <c r="B129" s="64" t="s">
        <v>116</v>
      </c>
      <c r="C129" s="62"/>
      <c r="D129" s="65">
        <v>283507</v>
      </c>
      <c r="E129" s="65">
        <v>303454</v>
      </c>
      <c r="F129" s="65">
        <v>97903</v>
      </c>
      <c r="G129" s="65">
        <v>98626</v>
      </c>
      <c r="H129" s="63"/>
      <c r="I129" s="63"/>
      <c r="J129" s="63"/>
      <c r="K129" s="63"/>
      <c r="L129" s="63"/>
      <c r="M129" s="1"/>
      <c r="N129" s="1"/>
      <c r="O129" s="1"/>
      <c r="P129" s="1"/>
      <c r="Q129" s="1"/>
      <c r="R129" s="1"/>
      <c r="S129" s="1"/>
      <c r="T129" s="1"/>
      <c r="U129" s="1"/>
      <c r="V129" s="1"/>
      <c r="W129" s="1"/>
      <c r="X129" s="1"/>
      <c r="Y129" s="1"/>
      <c r="Z129" s="1"/>
    </row>
    <row r="130" spans="1:26" ht="19.5" customHeight="1">
      <c r="A130" s="60"/>
      <c r="B130" s="64" t="s">
        <v>118</v>
      </c>
      <c r="C130" s="62"/>
      <c r="D130" s="65">
        <v>292809</v>
      </c>
      <c r="E130" s="65">
        <v>310845</v>
      </c>
      <c r="F130" s="65">
        <v>100729</v>
      </c>
      <c r="G130" s="65">
        <v>101389</v>
      </c>
      <c r="H130" s="63"/>
      <c r="I130" s="63"/>
      <c r="J130" s="63"/>
      <c r="K130" s="63"/>
      <c r="L130" s="63"/>
      <c r="M130" s="1"/>
      <c r="N130" s="1"/>
      <c r="O130" s="1"/>
      <c r="P130" s="1"/>
      <c r="Q130" s="1"/>
      <c r="R130" s="1"/>
      <c r="S130" s="1"/>
      <c r="T130" s="1"/>
      <c r="U130" s="1"/>
      <c r="V130" s="1"/>
      <c r="W130" s="1"/>
      <c r="X130" s="1"/>
      <c r="Y130" s="1"/>
      <c r="Z130" s="1"/>
    </row>
    <row r="131" spans="1:26" ht="19.5" customHeight="1">
      <c r="A131" s="60"/>
      <c r="B131" s="64" t="s">
        <v>120</v>
      </c>
      <c r="C131" s="62"/>
      <c r="D131" s="65">
        <v>301901</v>
      </c>
      <c r="E131" s="65">
        <v>318639</v>
      </c>
      <c r="F131" s="65">
        <v>103576</v>
      </c>
      <c r="G131" s="65">
        <v>104195</v>
      </c>
      <c r="H131" s="63"/>
      <c r="I131" s="63"/>
      <c r="J131" s="63"/>
      <c r="K131" s="63"/>
      <c r="L131" s="63"/>
      <c r="M131" s="1"/>
      <c r="N131" s="1"/>
      <c r="O131" s="1"/>
      <c r="P131" s="1"/>
      <c r="Q131" s="1"/>
      <c r="R131" s="1"/>
      <c r="S131" s="1"/>
      <c r="T131" s="1"/>
      <c r="U131" s="1"/>
      <c r="V131" s="1"/>
      <c r="W131" s="1"/>
      <c r="X131" s="1"/>
      <c r="Y131" s="1"/>
      <c r="Z131" s="1"/>
    </row>
    <row r="132" spans="1:26" ht="19.5" customHeight="1">
      <c r="A132" s="60"/>
      <c r="B132" s="64" t="s">
        <v>122</v>
      </c>
      <c r="C132" s="62"/>
      <c r="D132" s="65">
        <v>303966</v>
      </c>
      <c r="E132" s="65">
        <v>321519</v>
      </c>
      <c r="F132" s="65">
        <v>104390</v>
      </c>
      <c r="G132" s="65">
        <v>105037</v>
      </c>
      <c r="H132" s="63"/>
      <c r="I132" s="63"/>
      <c r="J132" s="63"/>
      <c r="K132" s="63"/>
      <c r="L132" s="63"/>
      <c r="M132" s="1"/>
      <c r="N132" s="1"/>
      <c r="O132" s="1"/>
      <c r="P132" s="1"/>
      <c r="Q132" s="1"/>
      <c r="R132" s="1"/>
      <c r="S132" s="1"/>
      <c r="T132" s="1"/>
      <c r="U132" s="1"/>
      <c r="V132" s="1"/>
      <c r="W132" s="1"/>
      <c r="X132" s="1"/>
      <c r="Y132" s="1"/>
      <c r="Z132" s="1"/>
    </row>
    <row r="133" spans="1:26" ht="19.5" customHeight="1">
      <c r="A133" s="60"/>
      <c r="B133" s="64" t="s">
        <v>124</v>
      </c>
      <c r="C133" s="62"/>
      <c r="D133" s="65">
        <v>309240</v>
      </c>
      <c r="E133" s="65">
        <v>328141</v>
      </c>
      <c r="F133" s="65">
        <v>106359</v>
      </c>
      <c r="G133" s="65">
        <v>107051</v>
      </c>
      <c r="H133" s="63"/>
      <c r="I133" s="63"/>
      <c r="J133" s="63"/>
      <c r="K133" s="63"/>
      <c r="L133" s="63"/>
      <c r="M133" s="1"/>
      <c r="N133" s="1"/>
      <c r="O133" s="1"/>
      <c r="P133" s="1"/>
      <c r="Q133" s="1"/>
      <c r="R133" s="1"/>
      <c r="S133" s="1"/>
      <c r="T133" s="1"/>
      <c r="U133" s="1"/>
      <c r="V133" s="1"/>
      <c r="W133" s="1"/>
      <c r="X133" s="1"/>
      <c r="Y133" s="1"/>
      <c r="Z133" s="1"/>
    </row>
    <row r="134" spans="1:26" ht="19.5" customHeight="1">
      <c r="A134" s="60"/>
      <c r="B134" s="64" t="s">
        <v>126</v>
      </c>
      <c r="C134" s="62"/>
      <c r="D134" s="65">
        <v>310334</v>
      </c>
      <c r="E134" s="65">
        <v>329001</v>
      </c>
      <c r="F134" s="65">
        <v>106690</v>
      </c>
      <c r="G134" s="65">
        <v>107375</v>
      </c>
      <c r="H134" s="63"/>
      <c r="I134" s="63"/>
      <c r="J134" s="63"/>
      <c r="K134" s="63"/>
      <c r="L134" s="63"/>
      <c r="M134" s="1"/>
      <c r="N134" s="1"/>
      <c r="O134" s="1"/>
      <c r="P134" s="1"/>
      <c r="Q134" s="1"/>
      <c r="R134" s="1"/>
      <c r="S134" s="1"/>
      <c r="T134" s="1"/>
      <c r="U134" s="1"/>
      <c r="V134" s="1"/>
      <c r="W134" s="1"/>
      <c r="X134" s="1"/>
      <c r="Y134" s="1"/>
      <c r="Z134" s="1"/>
    </row>
    <row r="135" spans="1:26" ht="19.5" customHeight="1">
      <c r="A135" s="60"/>
      <c r="B135" s="64" t="s">
        <v>128</v>
      </c>
      <c r="C135" s="62"/>
      <c r="D135" s="65">
        <v>317206</v>
      </c>
      <c r="E135" s="65">
        <v>340203</v>
      </c>
      <c r="F135" s="65">
        <v>109643</v>
      </c>
      <c r="G135" s="65">
        <v>110474</v>
      </c>
      <c r="H135" s="63"/>
      <c r="I135" s="63"/>
      <c r="J135" s="63"/>
      <c r="K135" s="63"/>
      <c r="L135" s="63"/>
      <c r="M135" s="1"/>
      <c r="N135" s="1"/>
      <c r="O135" s="1"/>
      <c r="P135" s="1"/>
      <c r="Q135" s="1"/>
      <c r="R135" s="1"/>
      <c r="S135" s="1"/>
      <c r="T135" s="1"/>
      <c r="U135" s="1"/>
      <c r="V135" s="1"/>
      <c r="W135" s="1"/>
      <c r="X135" s="1"/>
      <c r="Y135" s="1"/>
      <c r="Z135" s="1"/>
    </row>
    <row r="136" spans="1:26" ht="19.5" customHeight="1">
      <c r="A136" s="60"/>
      <c r="B136" s="64" t="s">
        <v>130</v>
      </c>
      <c r="C136" s="62"/>
      <c r="D136" s="65">
        <v>315710</v>
      </c>
      <c r="E136" s="65">
        <v>337100</v>
      </c>
      <c r="F136" s="65">
        <v>107667</v>
      </c>
      <c r="G136" s="65">
        <v>110573</v>
      </c>
      <c r="H136" s="63"/>
      <c r="I136" s="63"/>
      <c r="J136" s="63"/>
      <c r="K136" s="63"/>
      <c r="L136" s="63"/>
      <c r="M136" s="1"/>
      <c r="N136" s="1"/>
      <c r="O136" s="1"/>
      <c r="P136" s="1"/>
      <c r="Q136" s="1"/>
      <c r="R136" s="1"/>
      <c r="S136" s="1"/>
      <c r="T136" s="1"/>
      <c r="U136" s="1"/>
      <c r="V136" s="1"/>
      <c r="W136" s="1"/>
      <c r="X136" s="1"/>
      <c r="Y136" s="1"/>
      <c r="Z136" s="1"/>
    </row>
    <row r="137" spans="1:26" ht="19.5" customHeight="1">
      <c r="A137" s="60"/>
      <c r="B137" s="64" t="s">
        <v>132</v>
      </c>
      <c r="C137" s="62"/>
      <c r="D137" s="65">
        <v>314551</v>
      </c>
      <c r="E137" s="65">
        <v>339772</v>
      </c>
      <c r="F137" s="65">
        <v>107764</v>
      </c>
      <c r="G137" s="65">
        <v>110988</v>
      </c>
      <c r="H137" s="63"/>
      <c r="I137" s="63"/>
      <c r="J137" s="63"/>
      <c r="K137" s="63"/>
      <c r="L137" s="63"/>
      <c r="M137" s="1"/>
      <c r="N137" s="1"/>
      <c r="O137" s="1"/>
      <c r="P137" s="1"/>
      <c r="Q137" s="1"/>
      <c r="R137" s="1"/>
      <c r="S137" s="1"/>
      <c r="T137" s="1"/>
      <c r="U137" s="1"/>
      <c r="V137" s="1"/>
      <c r="W137" s="1"/>
      <c r="X137" s="1"/>
      <c r="Y137" s="1"/>
      <c r="Z137" s="1"/>
    </row>
    <row r="138" spans="1:26" ht="19.5" customHeight="1">
      <c r="A138" s="60"/>
      <c r="B138" s="64" t="s">
        <v>134</v>
      </c>
      <c r="C138" s="62"/>
      <c r="D138" s="65">
        <v>307781</v>
      </c>
      <c r="E138" s="65">
        <v>332336</v>
      </c>
      <c r="F138" s="65">
        <v>105429</v>
      </c>
      <c r="G138" s="65">
        <v>108574</v>
      </c>
      <c r="H138" s="63"/>
      <c r="I138" s="63"/>
      <c r="J138" s="63"/>
      <c r="K138" s="63"/>
      <c r="L138" s="63"/>
      <c r="M138" s="1"/>
      <c r="N138" s="1"/>
      <c r="O138" s="1"/>
      <c r="P138" s="1"/>
      <c r="Q138" s="1"/>
      <c r="R138" s="1"/>
      <c r="S138" s="1"/>
      <c r="T138" s="1"/>
      <c r="U138" s="1"/>
      <c r="V138" s="1"/>
      <c r="W138" s="1"/>
      <c r="X138" s="1"/>
      <c r="Y138" s="1"/>
      <c r="Z138" s="1"/>
    </row>
    <row r="139" spans="1:26" ht="19.5" customHeight="1">
      <c r="A139" s="60"/>
      <c r="B139" s="64" t="s">
        <v>136</v>
      </c>
      <c r="C139" s="62"/>
      <c r="D139" s="65">
        <v>303657</v>
      </c>
      <c r="E139" s="65">
        <v>332341</v>
      </c>
      <c r="F139" s="65">
        <v>104579</v>
      </c>
      <c r="G139" s="65">
        <v>108055</v>
      </c>
      <c r="H139" s="63"/>
      <c r="I139" s="63"/>
      <c r="J139" s="63"/>
      <c r="K139" s="63"/>
      <c r="L139" s="63"/>
      <c r="M139" s="1"/>
      <c r="N139" s="1"/>
      <c r="O139" s="1"/>
      <c r="P139" s="1"/>
      <c r="Q139" s="1"/>
      <c r="R139" s="1"/>
      <c r="S139" s="1"/>
      <c r="T139" s="1"/>
      <c r="U139" s="1"/>
      <c r="V139" s="1"/>
      <c r="W139" s="1"/>
      <c r="X139" s="1"/>
      <c r="Y139" s="1"/>
      <c r="Z139" s="1"/>
    </row>
    <row r="140" spans="1:26" ht="19.5" customHeight="1">
      <c r="A140" s="60"/>
      <c r="B140" s="64" t="s">
        <v>138</v>
      </c>
      <c r="C140" s="62"/>
      <c r="D140" s="65">
        <v>292298</v>
      </c>
      <c r="E140" s="65">
        <v>316949</v>
      </c>
      <c r="F140" s="65">
        <v>100294</v>
      </c>
      <c r="G140" s="65">
        <v>103391</v>
      </c>
      <c r="H140" s="63"/>
      <c r="I140" s="63"/>
      <c r="J140" s="63"/>
      <c r="K140" s="63"/>
      <c r="L140" s="63"/>
      <c r="M140" s="1"/>
      <c r="N140" s="1"/>
      <c r="O140" s="1"/>
      <c r="P140" s="1"/>
      <c r="Q140" s="1"/>
      <c r="R140" s="1"/>
      <c r="S140" s="1"/>
      <c r="T140" s="1"/>
      <c r="U140" s="1"/>
      <c r="V140" s="1"/>
      <c r="W140" s="1"/>
      <c r="X140" s="1"/>
      <c r="Y140" s="1"/>
      <c r="Z140" s="1"/>
    </row>
    <row r="141" spans="1:26" ht="19.5" customHeight="1">
      <c r="A141" s="60"/>
      <c r="B141" s="64" t="s">
        <v>140</v>
      </c>
      <c r="C141" s="62"/>
      <c r="D141" s="65">
        <v>285763</v>
      </c>
      <c r="E141" s="65">
        <v>309375</v>
      </c>
      <c r="F141" s="65">
        <v>97990</v>
      </c>
      <c r="G141" s="65">
        <v>100977</v>
      </c>
      <c r="H141" s="63"/>
      <c r="I141" s="63"/>
      <c r="J141" s="63"/>
      <c r="K141" s="63"/>
      <c r="L141" s="63"/>
      <c r="M141" s="1"/>
      <c r="N141" s="1"/>
      <c r="O141" s="1"/>
      <c r="P141" s="1"/>
      <c r="Q141" s="1"/>
      <c r="R141" s="1"/>
      <c r="S141" s="1"/>
      <c r="T141" s="1"/>
      <c r="U141" s="1"/>
      <c r="V141" s="1"/>
      <c r="W141" s="1"/>
      <c r="X141" s="1"/>
      <c r="Y141" s="1"/>
      <c r="Z141" s="1"/>
    </row>
    <row r="142" spans="1:26" ht="19.5" customHeight="1">
      <c r="A142" s="60"/>
      <c r="B142" s="64" t="s">
        <v>142</v>
      </c>
      <c r="C142" s="62"/>
      <c r="D142" s="65">
        <v>281933</v>
      </c>
      <c r="E142" s="65">
        <v>301111</v>
      </c>
      <c r="F142" s="65">
        <v>96157</v>
      </c>
      <c r="G142" s="65">
        <v>98759</v>
      </c>
      <c r="H142" s="63"/>
      <c r="I142" s="63"/>
      <c r="J142" s="63"/>
      <c r="K142" s="63"/>
      <c r="L142" s="63"/>
      <c r="M142" s="1"/>
      <c r="N142" s="1"/>
      <c r="O142" s="1"/>
      <c r="P142" s="1"/>
      <c r="Q142" s="1"/>
      <c r="R142" s="1"/>
      <c r="S142" s="1"/>
      <c r="T142" s="1"/>
      <c r="U142" s="1"/>
      <c r="V142" s="1"/>
      <c r="W142" s="1"/>
      <c r="X142" s="1"/>
      <c r="Y142" s="1"/>
      <c r="Z142" s="1"/>
    </row>
    <row r="143" spans="1:26" ht="19.5" customHeight="1">
      <c r="A143" s="60"/>
      <c r="B143" s="64" t="s">
        <v>144</v>
      </c>
      <c r="C143" s="62"/>
      <c r="D143" s="65">
        <v>285699</v>
      </c>
      <c r="E143" s="65">
        <v>300698</v>
      </c>
      <c r="F143" s="65">
        <v>96883</v>
      </c>
      <c r="G143" s="65">
        <v>99148</v>
      </c>
      <c r="H143" s="63"/>
      <c r="I143" s="63"/>
      <c r="J143" s="63"/>
      <c r="K143" s="63"/>
      <c r="L143" s="63"/>
      <c r="M143" s="1"/>
      <c r="N143" s="1"/>
      <c r="O143" s="1"/>
      <c r="P143" s="1"/>
      <c r="Q143" s="1"/>
      <c r="R143" s="1"/>
      <c r="S143" s="1"/>
      <c r="T143" s="1"/>
      <c r="U143" s="1"/>
      <c r="V143" s="1"/>
      <c r="W143" s="1"/>
      <c r="X143" s="1"/>
      <c r="Y143" s="1"/>
      <c r="Z143" s="1"/>
    </row>
    <row r="144" spans="1:26" ht="19.5" customHeight="1">
      <c r="A144" s="60"/>
      <c r="B144" s="64" t="s">
        <v>146</v>
      </c>
      <c r="C144" s="62"/>
      <c r="D144" s="65">
        <v>292506</v>
      </c>
      <c r="E144" s="65">
        <v>304434</v>
      </c>
      <c r="F144" s="65">
        <v>98759</v>
      </c>
      <c r="G144" s="65">
        <v>100790</v>
      </c>
      <c r="H144" s="63"/>
      <c r="I144" s="63"/>
      <c r="J144" s="63"/>
      <c r="K144" s="63"/>
      <c r="L144" s="63"/>
      <c r="M144" s="1"/>
      <c r="N144" s="1"/>
      <c r="O144" s="1"/>
      <c r="P144" s="1"/>
      <c r="Q144" s="1"/>
      <c r="R144" s="1"/>
      <c r="S144" s="1"/>
      <c r="T144" s="1"/>
      <c r="U144" s="1"/>
      <c r="V144" s="1"/>
      <c r="W144" s="1"/>
      <c r="X144" s="1"/>
      <c r="Y144" s="1"/>
      <c r="Z144" s="1"/>
    </row>
    <row r="145" spans="1:26" ht="19.5" customHeight="1">
      <c r="A145" s="60"/>
      <c r="B145" s="64" t="s">
        <v>148</v>
      </c>
      <c r="C145" s="62"/>
      <c r="D145" s="65">
        <v>302126</v>
      </c>
      <c r="E145" s="65">
        <v>309541</v>
      </c>
      <c r="F145" s="65">
        <v>101388</v>
      </c>
      <c r="G145" s="65">
        <v>103076</v>
      </c>
      <c r="H145" s="63"/>
      <c r="I145" s="63"/>
      <c r="J145" s="63"/>
      <c r="K145" s="63"/>
      <c r="L145" s="63"/>
      <c r="M145" s="1"/>
      <c r="N145" s="1"/>
      <c r="O145" s="1"/>
      <c r="P145" s="1"/>
      <c r="Q145" s="1"/>
      <c r="R145" s="1"/>
      <c r="S145" s="1"/>
      <c r="T145" s="1"/>
      <c r="U145" s="1"/>
      <c r="V145" s="1"/>
      <c r="W145" s="1"/>
      <c r="X145" s="1"/>
      <c r="Y145" s="1"/>
      <c r="Z145" s="1"/>
    </row>
    <row r="146" spans="1:26" ht="19.5" customHeight="1">
      <c r="A146" s="60"/>
      <c r="B146" s="64" t="s">
        <v>150</v>
      </c>
      <c r="C146" s="62"/>
      <c r="D146" s="65">
        <v>290928</v>
      </c>
      <c r="E146" s="65">
        <v>302282</v>
      </c>
      <c r="F146" s="65">
        <v>96530</v>
      </c>
      <c r="G146" s="65">
        <v>94060</v>
      </c>
      <c r="H146" s="63"/>
      <c r="I146" s="63"/>
      <c r="J146" s="63"/>
      <c r="K146" s="63"/>
      <c r="L146" s="63"/>
      <c r="M146" s="1"/>
      <c r="N146" s="1"/>
      <c r="O146" s="1"/>
      <c r="P146" s="1"/>
      <c r="Q146" s="1"/>
      <c r="R146" s="1"/>
      <c r="S146" s="1"/>
      <c r="T146" s="1"/>
      <c r="U146" s="1"/>
      <c r="V146" s="1"/>
      <c r="W146" s="1"/>
      <c r="X146" s="1"/>
      <c r="Y146" s="1"/>
      <c r="Z146" s="1"/>
    </row>
    <row r="147" spans="1:26" ht="19.5" customHeight="1">
      <c r="A147" s="60"/>
      <c r="B147" s="64" t="s">
        <v>152</v>
      </c>
      <c r="C147" s="62"/>
      <c r="D147" s="65">
        <v>295098</v>
      </c>
      <c r="E147" s="65">
        <v>299665</v>
      </c>
      <c r="F147" s="65">
        <v>97387</v>
      </c>
      <c r="G147" s="65">
        <v>93752</v>
      </c>
      <c r="H147" s="63"/>
      <c r="I147" s="63"/>
      <c r="J147" s="63"/>
      <c r="K147" s="63"/>
      <c r="L147" s="63"/>
      <c r="M147" s="1"/>
      <c r="N147" s="1"/>
      <c r="O147" s="1"/>
      <c r="P147" s="1"/>
      <c r="Q147" s="1"/>
      <c r="R147" s="1"/>
      <c r="S147" s="1"/>
      <c r="T147" s="1"/>
      <c r="U147" s="1"/>
      <c r="V147" s="1"/>
      <c r="W147" s="1"/>
      <c r="X147" s="1"/>
      <c r="Y147" s="1"/>
      <c r="Z147" s="1"/>
    </row>
    <row r="148" spans="1:26" ht="19.5" customHeight="1">
      <c r="A148" s="60"/>
      <c r="B148" s="64" t="s">
        <v>154</v>
      </c>
      <c r="C148" s="62"/>
      <c r="D148" s="65">
        <v>292442</v>
      </c>
      <c r="E148" s="65">
        <v>296434</v>
      </c>
      <c r="F148" s="65">
        <v>96470</v>
      </c>
      <c r="G148" s="65">
        <v>92781</v>
      </c>
      <c r="H148" s="63"/>
      <c r="I148" s="63"/>
      <c r="J148" s="63"/>
      <c r="K148" s="63"/>
      <c r="L148" s="63"/>
      <c r="M148" s="1"/>
      <c r="N148" s="1"/>
      <c r="O148" s="1"/>
      <c r="P148" s="1"/>
      <c r="Q148" s="1"/>
      <c r="R148" s="1"/>
      <c r="S148" s="1"/>
      <c r="T148" s="1"/>
      <c r="U148" s="1"/>
      <c r="V148" s="1"/>
      <c r="W148" s="1"/>
      <c r="X148" s="1"/>
      <c r="Y148" s="1"/>
      <c r="Z148" s="1"/>
    </row>
    <row r="149" spans="1:26" ht="19.5" customHeight="1">
      <c r="A149" s="60"/>
      <c r="B149" s="64" t="s">
        <v>156</v>
      </c>
      <c r="C149" s="62"/>
      <c r="D149" s="65">
        <v>297049</v>
      </c>
      <c r="E149" s="65">
        <v>297995</v>
      </c>
      <c r="F149" s="65">
        <v>97754</v>
      </c>
      <c r="G149" s="65">
        <v>93502</v>
      </c>
      <c r="H149" s="63"/>
      <c r="I149" s="63"/>
      <c r="J149" s="63"/>
      <c r="K149" s="63"/>
      <c r="L149" s="63"/>
      <c r="M149" s="1"/>
      <c r="N149" s="1"/>
      <c r="O149" s="1"/>
      <c r="P149" s="1"/>
      <c r="Q149" s="1"/>
      <c r="R149" s="1"/>
      <c r="S149" s="1"/>
      <c r="T149" s="1"/>
      <c r="U149" s="1"/>
      <c r="V149" s="1"/>
      <c r="W149" s="1"/>
      <c r="X149" s="1"/>
      <c r="Y149" s="1"/>
      <c r="Z149" s="1"/>
    </row>
    <row r="150" spans="1:26" ht="19.5" customHeight="1">
      <c r="A150" s="60"/>
      <c r="B150" s="64" t="s">
        <v>158</v>
      </c>
      <c r="C150" s="62"/>
      <c r="D150" s="65">
        <v>299038</v>
      </c>
      <c r="E150" s="65">
        <v>298583</v>
      </c>
      <c r="F150" s="65">
        <v>98303</v>
      </c>
      <c r="G150" s="65">
        <v>93793</v>
      </c>
      <c r="H150" s="63"/>
      <c r="I150" s="63"/>
      <c r="J150" s="63"/>
      <c r="K150" s="63"/>
      <c r="L150" s="63"/>
      <c r="M150" s="1"/>
      <c r="N150" s="1"/>
      <c r="O150" s="1"/>
      <c r="P150" s="1"/>
      <c r="Q150" s="1"/>
      <c r="R150" s="1"/>
      <c r="S150" s="1"/>
      <c r="T150" s="1"/>
      <c r="U150" s="1"/>
      <c r="V150" s="1"/>
      <c r="W150" s="1"/>
      <c r="X150" s="1"/>
      <c r="Y150" s="1"/>
      <c r="Z150" s="1"/>
    </row>
    <row r="151" spans="1:26" ht="19.5" customHeight="1">
      <c r="A151" s="60"/>
      <c r="B151" s="64" t="s">
        <v>160</v>
      </c>
      <c r="C151" s="62"/>
      <c r="D151" s="65">
        <v>297691</v>
      </c>
      <c r="E151" s="65">
        <v>292458</v>
      </c>
      <c r="F151" s="65">
        <v>97497</v>
      </c>
      <c r="G151" s="65">
        <v>92231</v>
      </c>
      <c r="H151" s="63"/>
      <c r="I151" s="63"/>
      <c r="J151" s="63"/>
      <c r="K151" s="63"/>
      <c r="L151" s="63"/>
      <c r="M151" s="1"/>
      <c r="N151" s="1"/>
      <c r="O151" s="1"/>
      <c r="P151" s="1"/>
      <c r="Q151" s="1"/>
      <c r="R151" s="1"/>
      <c r="S151" s="1"/>
      <c r="T151" s="1"/>
      <c r="U151" s="1"/>
      <c r="V151" s="1"/>
      <c r="W151" s="1"/>
      <c r="X151" s="1"/>
      <c r="Y151" s="1"/>
      <c r="Z151" s="1"/>
    </row>
    <row r="152" spans="1:26" ht="19.5" customHeight="1">
      <c r="A152" s="60"/>
      <c r="B152" s="64" t="s">
        <v>162</v>
      </c>
      <c r="C152" s="62"/>
      <c r="D152" s="65">
        <v>299562</v>
      </c>
      <c r="E152" s="65">
        <v>294746</v>
      </c>
      <c r="F152" s="65">
        <v>98144</v>
      </c>
      <c r="G152" s="65">
        <v>92918</v>
      </c>
      <c r="H152" s="63"/>
      <c r="I152" s="63"/>
      <c r="J152" s="63"/>
      <c r="K152" s="63"/>
      <c r="L152" s="63"/>
      <c r="M152" s="1"/>
      <c r="N152" s="1"/>
      <c r="O152" s="1"/>
      <c r="P152" s="1"/>
      <c r="Q152" s="1"/>
      <c r="R152" s="1"/>
      <c r="S152" s="1"/>
      <c r="T152" s="1"/>
      <c r="U152" s="1"/>
      <c r="V152" s="1"/>
      <c r="W152" s="1"/>
      <c r="X152" s="1"/>
      <c r="Y152" s="1"/>
      <c r="Z152" s="1"/>
    </row>
    <row r="153" spans="1:26" ht="19.5" customHeight="1">
      <c r="A153" s="60"/>
      <c r="B153" s="64" t="s">
        <v>164</v>
      </c>
      <c r="C153" s="62"/>
      <c r="D153" s="65">
        <v>314915</v>
      </c>
      <c r="E153" s="65">
        <v>307879</v>
      </c>
      <c r="F153" s="65">
        <v>103025</v>
      </c>
      <c r="G153" s="65">
        <v>97210</v>
      </c>
      <c r="H153" s="63"/>
      <c r="I153" s="63"/>
      <c r="J153" s="63"/>
      <c r="K153" s="63"/>
      <c r="L153" s="63"/>
      <c r="M153" s="1"/>
      <c r="N153" s="1"/>
      <c r="O153" s="1"/>
      <c r="P153" s="1"/>
      <c r="Q153" s="1"/>
      <c r="R153" s="1"/>
      <c r="S153" s="1"/>
      <c r="T153" s="1"/>
      <c r="U153" s="1"/>
      <c r="V153" s="1"/>
      <c r="W153" s="1"/>
      <c r="X153" s="1"/>
      <c r="Y153" s="1"/>
      <c r="Z153" s="1"/>
    </row>
    <row r="154" spans="1:26" ht="19.5" customHeight="1">
      <c r="A154" s="60"/>
      <c r="B154" s="64" t="s">
        <v>166</v>
      </c>
      <c r="C154" s="62"/>
      <c r="D154" s="65">
        <v>318592</v>
      </c>
      <c r="E154" s="65">
        <v>311162</v>
      </c>
      <c r="F154" s="65">
        <v>104204</v>
      </c>
      <c r="G154" s="65">
        <v>98271</v>
      </c>
      <c r="H154" s="63"/>
      <c r="I154" s="63"/>
      <c r="J154" s="63"/>
      <c r="K154" s="63"/>
      <c r="L154" s="63"/>
      <c r="M154" s="1"/>
      <c r="N154" s="1"/>
      <c r="O154" s="1"/>
      <c r="P154" s="1"/>
      <c r="Q154" s="1"/>
      <c r="R154" s="1"/>
      <c r="S154" s="1"/>
      <c r="T154" s="1"/>
      <c r="U154" s="1"/>
      <c r="V154" s="1"/>
      <c r="W154" s="1"/>
      <c r="X154" s="1"/>
      <c r="Y154" s="1"/>
      <c r="Z154" s="1"/>
    </row>
    <row r="155" spans="1:26" ht="19.5" customHeight="1">
      <c r="A155" s="60"/>
      <c r="B155" s="64" t="s">
        <v>168</v>
      </c>
      <c r="C155" s="62"/>
      <c r="D155" s="65">
        <v>327516</v>
      </c>
      <c r="E155" s="65">
        <v>320556</v>
      </c>
      <c r="F155" s="65">
        <v>107174</v>
      </c>
      <c r="G155" s="65">
        <v>101186</v>
      </c>
      <c r="H155" s="63"/>
      <c r="I155" s="63"/>
      <c r="J155" s="63"/>
      <c r="K155" s="63"/>
      <c r="L155" s="63"/>
      <c r="M155" s="1"/>
      <c r="N155" s="1"/>
      <c r="O155" s="1"/>
      <c r="P155" s="1"/>
      <c r="Q155" s="1"/>
      <c r="R155" s="1"/>
      <c r="S155" s="1"/>
      <c r="T155" s="1"/>
      <c r="U155" s="1"/>
      <c r="V155" s="1"/>
      <c r="W155" s="1"/>
      <c r="X155" s="1"/>
      <c r="Y155" s="1"/>
      <c r="Z155" s="1"/>
    </row>
    <row r="156" spans="1:26" ht="19.5" customHeight="1">
      <c r="A156" s="60"/>
      <c r="B156" s="64" t="s">
        <v>170</v>
      </c>
      <c r="C156" s="62"/>
      <c r="D156" s="65">
        <v>328643</v>
      </c>
      <c r="E156" s="65">
        <v>319492</v>
      </c>
      <c r="F156" s="65">
        <v>107379</v>
      </c>
      <c r="G156" s="65">
        <v>101017</v>
      </c>
      <c r="H156" s="63"/>
      <c r="I156" s="63"/>
      <c r="J156" s="63"/>
      <c r="K156" s="63"/>
      <c r="L156" s="63"/>
      <c r="M156" s="1"/>
      <c r="N156" s="1"/>
      <c r="O156" s="1"/>
      <c r="P156" s="1"/>
      <c r="Q156" s="1"/>
      <c r="R156" s="1"/>
      <c r="S156" s="1"/>
      <c r="T156" s="1"/>
      <c r="U156" s="1"/>
      <c r="V156" s="1"/>
      <c r="W156" s="1"/>
      <c r="X156" s="1"/>
      <c r="Y156" s="1"/>
      <c r="Z156" s="1"/>
    </row>
    <row r="157" spans="1:26" ht="19.5" customHeight="1">
      <c r="A157" s="60"/>
      <c r="B157" s="64" t="s">
        <v>172</v>
      </c>
      <c r="C157" s="62"/>
      <c r="D157" s="65">
        <v>332723</v>
      </c>
      <c r="E157" s="65">
        <v>322124</v>
      </c>
      <c r="F157" s="65">
        <v>108611</v>
      </c>
      <c r="G157" s="65">
        <v>101953</v>
      </c>
      <c r="H157" s="63"/>
      <c r="I157" s="63"/>
      <c r="J157" s="63"/>
      <c r="K157" s="63"/>
      <c r="L157" s="63"/>
      <c r="M157" s="1"/>
      <c r="N157" s="1"/>
      <c r="O157" s="1"/>
      <c r="P157" s="1"/>
      <c r="Q157" s="1"/>
      <c r="R157" s="1"/>
      <c r="S157" s="1"/>
      <c r="T157" s="1"/>
      <c r="U157" s="1"/>
      <c r="V157" s="1"/>
      <c r="W157" s="1"/>
      <c r="X157" s="1"/>
      <c r="Y157" s="1"/>
      <c r="Z157" s="1"/>
    </row>
    <row r="158" spans="1:26" ht="19.5" customHeight="1">
      <c r="A158" s="60"/>
      <c r="B158" s="64" t="s">
        <v>174</v>
      </c>
      <c r="C158" s="62"/>
      <c r="D158" s="65">
        <v>335031</v>
      </c>
      <c r="E158" s="65">
        <v>321270</v>
      </c>
      <c r="F158" s="65">
        <v>109130</v>
      </c>
      <c r="G158" s="65">
        <v>101925</v>
      </c>
      <c r="H158" s="63"/>
      <c r="I158" s="63"/>
      <c r="J158" s="63"/>
      <c r="K158" s="63"/>
      <c r="L158" s="63"/>
      <c r="M158" s="1"/>
      <c r="N158" s="1"/>
      <c r="O158" s="1"/>
      <c r="P158" s="1"/>
      <c r="Q158" s="1"/>
      <c r="R158" s="1"/>
      <c r="S158" s="1"/>
      <c r="T158" s="1"/>
      <c r="U158" s="1"/>
      <c r="V158" s="1"/>
      <c r="W158" s="1"/>
      <c r="X158" s="1"/>
      <c r="Y158" s="1"/>
      <c r="Z158" s="1"/>
    </row>
    <row r="159" spans="1:26" ht="19.5" customHeight="1">
      <c r="A159" s="60"/>
      <c r="B159" s="64" t="s">
        <v>176</v>
      </c>
      <c r="C159" s="62"/>
      <c r="D159" s="65">
        <v>337894</v>
      </c>
      <c r="E159" s="65">
        <v>323334</v>
      </c>
      <c r="F159" s="65">
        <v>110012</v>
      </c>
      <c r="G159" s="65">
        <v>102634</v>
      </c>
      <c r="H159" s="63"/>
      <c r="I159" s="63"/>
      <c r="J159" s="63"/>
      <c r="K159" s="63"/>
      <c r="L159" s="63"/>
      <c r="M159" s="1"/>
      <c r="N159" s="1"/>
      <c r="O159" s="1"/>
      <c r="P159" s="1"/>
      <c r="Q159" s="1"/>
      <c r="R159" s="1"/>
      <c r="S159" s="1"/>
      <c r="T159" s="1"/>
      <c r="U159" s="1"/>
      <c r="V159" s="1"/>
      <c r="W159" s="1"/>
      <c r="X159" s="1"/>
      <c r="Y159" s="1"/>
      <c r="Z159" s="1"/>
    </row>
    <row r="160" spans="1:26" ht="19.5" customHeight="1">
      <c r="A160" s="60"/>
      <c r="B160" s="64" t="s">
        <v>178</v>
      </c>
      <c r="C160" s="62"/>
      <c r="D160" s="65">
        <v>336806</v>
      </c>
      <c r="E160" s="65">
        <v>322081</v>
      </c>
      <c r="F160" s="65">
        <v>109641</v>
      </c>
      <c r="G160" s="65">
        <v>102253</v>
      </c>
      <c r="H160" s="63"/>
      <c r="I160" s="63"/>
      <c r="J160" s="63"/>
      <c r="K160" s="63"/>
      <c r="L160" s="63"/>
      <c r="M160" s="1"/>
      <c r="N160" s="1"/>
      <c r="O160" s="1"/>
      <c r="P160" s="1"/>
      <c r="Q160" s="1"/>
      <c r="R160" s="1"/>
      <c r="S160" s="1"/>
      <c r="T160" s="1"/>
      <c r="U160" s="1"/>
      <c r="V160" s="1"/>
      <c r="W160" s="1"/>
      <c r="X160" s="1"/>
      <c r="Y160" s="1"/>
      <c r="Z160" s="1"/>
    </row>
    <row r="161" spans="1:26" ht="19.5" customHeight="1">
      <c r="A161" s="60"/>
      <c r="B161" s="64" t="s">
        <v>180</v>
      </c>
      <c r="C161" s="62"/>
      <c r="D161" s="65">
        <v>333571</v>
      </c>
      <c r="E161" s="65">
        <v>315756</v>
      </c>
      <c r="F161" s="65">
        <v>108343</v>
      </c>
      <c r="G161" s="65">
        <v>100501</v>
      </c>
      <c r="H161" s="63"/>
      <c r="I161" s="63"/>
      <c r="J161" s="63"/>
      <c r="K161" s="63"/>
      <c r="L161" s="63"/>
      <c r="M161" s="1"/>
      <c r="N161" s="1"/>
      <c r="O161" s="1"/>
      <c r="P161" s="1"/>
      <c r="Q161" s="1"/>
      <c r="R161" s="1"/>
      <c r="S161" s="1"/>
      <c r="T161" s="1"/>
      <c r="U161" s="1"/>
      <c r="V161" s="1"/>
      <c r="W161" s="1"/>
      <c r="X161" s="1"/>
      <c r="Y161" s="1"/>
      <c r="Z161" s="1"/>
    </row>
    <row r="162" spans="1:26" ht="19.5" customHeight="1">
      <c r="A162" s="60"/>
      <c r="B162" s="64" t="s">
        <v>182</v>
      </c>
      <c r="C162" s="62"/>
      <c r="D162" s="65">
        <v>329041</v>
      </c>
      <c r="E162" s="65">
        <v>311608</v>
      </c>
      <c r="F162" s="65">
        <v>106883</v>
      </c>
      <c r="G162" s="65">
        <v>99169</v>
      </c>
      <c r="H162" s="63"/>
      <c r="I162" s="63"/>
      <c r="J162" s="63"/>
      <c r="K162" s="63"/>
      <c r="L162" s="63"/>
      <c r="M162" s="1"/>
      <c r="N162" s="1"/>
      <c r="O162" s="1"/>
      <c r="P162" s="1"/>
      <c r="Q162" s="1"/>
      <c r="R162" s="1"/>
      <c r="S162" s="1"/>
      <c r="T162" s="1"/>
      <c r="U162" s="1"/>
      <c r="V162" s="1"/>
      <c r="W162" s="1"/>
      <c r="X162" s="1"/>
      <c r="Y162" s="1"/>
      <c r="Z162" s="1"/>
    </row>
    <row r="163" spans="1:26" ht="19.5" customHeight="1">
      <c r="A163" s="60"/>
      <c r="B163" s="64" t="s">
        <v>184</v>
      </c>
      <c r="C163" s="62"/>
      <c r="D163" s="65">
        <v>343127</v>
      </c>
      <c r="E163" s="65">
        <v>330241</v>
      </c>
      <c r="F163" s="65">
        <v>111859</v>
      </c>
      <c r="G163" s="65">
        <v>104675</v>
      </c>
      <c r="H163" s="63"/>
      <c r="I163" s="63"/>
      <c r="J163" s="63"/>
      <c r="K163" s="63"/>
      <c r="L163" s="63"/>
      <c r="M163" s="1"/>
      <c r="N163" s="1"/>
      <c r="O163" s="1"/>
      <c r="P163" s="1"/>
      <c r="Q163" s="1"/>
      <c r="R163" s="1"/>
      <c r="S163" s="1"/>
      <c r="T163" s="1"/>
      <c r="U163" s="1"/>
      <c r="V163" s="1"/>
      <c r="W163" s="1"/>
      <c r="X163" s="1"/>
      <c r="Y163" s="1"/>
      <c r="Z163" s="1"/>
    </row>
    <row r="164" spans="1:26" ht="19.5" customHeight="1">
      <c r="A164" s="60"/>
      <c r="B164" s="64" t="s">
        <v>186</v>
      </c>
      <c r="C164" s="62"/>
      <c r="D164" s="65">
        <v>343116</v>
      </c>
      <c r="E164" s="65">
        <v>330890</v>
      </c>
      <c r="F164" s="65">
        <v>111905</v>
      </c>
      <c r="G164" s="65">
        <v>104829</v>
      </c>
      <c r="H164" s="63"/>
      <c r="I164" s="63"/>
      <c r="J164" s="63"/>
      <c r="K164" s="63"/>
      <c r="L164" s="63"/>
      <c r="M164" s="1"/>
      <c r="N164" s="1"/>
      <c r="O164" s="1"/>
      <c r="P164" s="1"/>
      <c r="Q164" s="1"/>
      <c r="R164" s="1"/>
      <c r="S164" s="1"/>
      <c r="T164" s="1"/>
      <c r="U164" s="1"/>
      <c r="V164" s="1"/>
      <c r="W164" s="1"/>
      <c r="X164" s="1"/>
      <c r="Y164" s="1"/>
      <c r="Z164" s="1"/>
    </row>
    <row r="165" spans="1:26" ht="19.5" customHeight="1">
      <c r="A165" s="60"/>
      <c r="B165" s="64" t="s">
        <v>188</v>
      </c>
      <c r="C165" s="62"/>
      <c r="D165" s="65">
        <v>349801</v>
      </c>
      <c r="E165" s="65">
        <v>337343</v>
      </c>
      <c r="F165" s="65">
        <v>114086</v>
      </c>
      <c r="G165" s="65">
        <v>106873</v>
      </c>
      <c r="H165" s="63"/>
      <c r="I165" s="63"/>
      <c r="J165" s="63"/>
      <c r="K165" s="63"/>
      <c r="L165" s="63"/>
      <c r="M165" s="1"/>
      <c r="N165" s="1"/>
      <c r="O165" s="1"/>
      <c r="P165" s="1"/>
      <c r="Q165" s="1"/>
      <c r="R165" s="1"/>
      <c r="S165" s="1"/>
      <c r="T165" s="1"/>
      <c r="U165" s="1"/>
      <c r="V165" s="1"/>
      <c r="W165" s="1"/>
      <c r="X165" s="1"/>
      <c r="Y165" s="1"/>
      <c r="Z165" s="1"/>
    </row>
    <row r="166" spans="1:26" ht="19.5" customHeight="1">
      <c r="A166" s="60"/>
      <c r="B166" s="64" t="s">
        <v>190</v>
      </c>
      <c r="C166" s="62"/>
      <c r="D166" s="65">
        <v>327983</v>
      </c>
      <c r="E166" s="65">
        <v>317570</v>
      </c>
      <c r="F166" s="65">
        <v>107067</v>
      </c>
      <c r="G166" s="65">
        <v>100510</v>
      </c>
      <c r="H166" s="63"/>
      <c r="I166" s="63"/>
      <c r="J166" s="63"/>
      <c r="K166" s="63"/>
      <c r="L166" s="63"/>
      <c r="M166" s="1"/>
      <c r="N166" s="1"/>
      <c r="O166" s="1"/>
      <c r="P166" s="1"/>
      <c r="Q166" s="1"/>
      <c r="R166" s="1"/>
      <c r="S166" s="1"/>
      <c r="T166" s="1"/>
      <c r="U166" s="1"/>
      <c r="V166" s="1"/>
      <c r="W166" s="1"/>
      <c r="X166" s="1"/>
      <c r="Y166" s="1"/>
      <c r="Z166" s="1"/>
    </row>
    <row r="167" spans="1:26" ht="19.5" customHeight="1">
      <c r="A167" s="60"/>
      <c r="B167" s="64" t="s">
        <v>192</v>
      </c>
      <c r="C167" s="62"/>
      <c r="D167" s="65">
        <v>319398</v>
      </c>
      <c r="E167" s="65">
        <v>312061</v>
      </c>
      <c r="F167" s="65">
        <v>104476</v>
      </c>
      <c r="G167" s="65">
        <v>98546</v>
      </c>
      <c r="H167" s="63"/>
      <c r="I167" s="63"/>
      <c r="J167" s="63"/>
      <c r="K167" s="63"/>
      <c r="L167" s="63"/>
      <c r="M167" s="1"/>
      <c r="N167" s="1"/>
      <c r="O167" s="1"/>
      <c r="P167" s="1"/>
      <c r="Q167" s="1"/>
      <c r="R167" s="1"/>
      <c r="S167" s="1"/>
      <c r="T167" s="1"/>
      <c r="U167" s="1"/>
      <c r="V167" s="1"/>
      <c r="W167" s="1"/>
      <c r="X167" s="1"/>
      <c r="Y167" s="1"/>
      <c r="Z167" s="1"/>
    </row>
    <row r="168" spans="1:26" ht="19.5" customHeight="1">
      <c r="A168" s="60"/>
      <c r="B168" s="64" t="s">
        <v>194</v>
      </c>
      <c r="C168" s="62"/>
      <c r="D168" s="65">
        <v>318312</v>
      </c>
      <c r="E168" s="65">
        <v>313702</v>
      </c>
      <c r="F168" s="65">
        <v>104326</v>
      </c>
      <c r="G168" s="65">
        <v>98855</v>
      </c>
      <c r="H168" s="63"/>
      <c r="I168" s="63"/>
      <c r="J168" s="63"/>
      <c r="K168" s="63"/>
      <c r="L168" s="63"/>
      <c r="M168" s="1"/>
      <c r="N168" s="1"/>
      <c r="O168" s="1"/>
      <c r="P168" s="1"/>
      <c r="Q168" s="1"/>
      <c r="R168" s="1"/>
      <c r="S168" s="1"/>
      <c r="T168" s="1"/>
      <c r="U168" s="1"/>
      <c r="V168" s="1"/>
      <c r="W168" s="1"/>
      <c r="X168" s="1"/>
      <c r="Y168" s="1"/>
      <c r="Z168" s="1"/>
    </row>
    <row r="169" spans="1:26" ht="19.5" customHeight="1">
      <c r="A169" s="60"/>
      <c r="B169" s="64" t="s">
        <v>196</v>
      </c>
      <c r="C169" s="62"/>
      <c r="D169" s="65">
        <v>307557</v>
      </c>
      <c r="E169" s="65">
        <v>304227</v>
      </c>
      <c r="F169" s="65">
        <v>100886</v>
      </c>
      <c r="G169" s="65">
        <v>95783</v>
      </c>
      <c r="H169" s="63"/>
      <c r="I169" s="63"/>
      <c r="J169" s="63"/>
      <c r="K169" s="63"/>
      <c r="L169" s="63"/>
      <c r="M169" s="1"/>
      <c r="N169" s="1"/>
      <c r="O169" s="1"/>
      <c r="P169" s="1"/>
      <c r="Q169" s="1"/>
      <c r="R169" s="1"/>
      <c r="S169" s="1"/>
      <c r="T169" s="1"/>
      <c r="U169" s="1"/>
      <c r="V169" s="1"/>
      <c r="W169" s="1"/>
      <c r="X169" s="1"/>
      <c r="Y169" s="1"/>
      <c r="Z169" s="1"/>
    </row>
    <row r="170" spans="1:26" ht="19.5" customHeight="1">
      <c r="A170" s="60"/>
      <c r="B170" s="64" t="s">
        <v>198</v>
      </c>
      <c r="C170" s="62"/>
      <c r="D170" s="65">
        <v>316349</v>
      </c>
      <c r="E170" s="65">
        <v>312476</v>
      </c>
      <c r="F170" s="65">
        <v>103736</v>
      </c>
      <c r="G170" s="65">
        <v>98414</v>
      </c>
      <c r="H170" s="63"/>
      <c r="I170" s="63"/>
      <c r="J170" s="63"/>
      <c r="K170" s="63"/>
      <c r="L170" s="63"/>
      <c r="M170" s="1"/>
      <c r="N170" s="1"/>
      <c r="O170" s="1"/>
      <c r="P170" s="1"/>
      <c r="Q170" s="1"/>
      <c r="R170" s="1"/>
      <c r="S170" s="1"/>
      <c r="T170" s="1"/>
      <c r="U170" s="1"/>
      <c r="V170" s="1"/>
      <c r="W170" s="1"/>
      <c r="X170" s="1"/>
      <c r="Y170" s="1"/>
      <c r="Z170" s="1"/>
    </row>
    <row r="171" spans="1:26" ht="19.5" customHeight="1">
      <c r="A171" s="60"/>
      <c r="B171" s="64" t="s">
        <v>200</v>
      </c>
      <c r="C171" s="62"/>
      <c r="D171" s="65">
        <v>330925</v>
      </c>
      <c r="E171" s="65">
        <v>327981</v>
      </c>
      <c r="F171" s="65">
        <v>108600</v>
      </c>
      <c r="G171" s="65">
        <v>103213</v>
      </c>
      <c r="H171" s="63"/>
      <c r="I171" s="63"/>
      <c r="J171" s="63"/>
      <c r="K171" s="63"/>
      <c r="L171" s="63"/>
      <c r="M171" s="1"/>
      <c r="N171" s="1"/>
      <c r="O171" s="1"/>
      <c r="P171" s="1"/>
      <c r="Q171" s="1"/>
      <c r="R171" s="1"/>
      <c r="S171" s="1"/>
      <c r="T171" s="1"/>
      <c r="U171" s="1"/>
      <c r="V171" s="1"/>
      <c r="W171" s="1"/>
      <c r="X171" s="1"/>
      <c r="Y171" s="1"/>
      <c r="Z171" s="1"/>
    </row>
    <row r="172" spans="1:26" ht="19.5" customHeight="1">
      <c r="A172" s="60"/>
      <c r="B172" s="64" t="s">
        <v>202</v>
      </c>
      <c r="C172" s="62"/>
      <c r="D172" s="65">
        <v>347307</v>
      </c>
      <c r="E172" s="65">
        <v>341961</v>
      </c>
      <c r="F172" s="65">
        <v>113805</v>
      </c>
      <c r="G172" s="65">
        <v>107785</v>
      </c>
      <c r="H172" s="63"/>
      <c r="I172" s="63"/>
      <c r="J172" s="63"/>
      <c r="K172" s="63"/>
      <c r="L172" s="63"/>
      <c r="M172" s="1"/>
      <c r="N172" s="1"/>
      <c r="O172" s="1"/>
      <c r="P172" s="1"/>
      <c r="Q172" s="1"/>
      <c r="R172" s="1"/>
      <c r="S172" s="1"/>
      <c r="T172" s="1"/>
      <c r="U172" s="1"/>
      <c r="V172" s="1"/>
      <c r="W172" s="1"/>
      <c r="X172" s="1"/>
      <c r="Y172" s="1"/>
      <c r="Z172" s="1"/>
    </row>
    <row r="173" spans="1:26" ht="19.5" customHeight="1">
      <c r="A173" s="60"/>
      <c r="B173" s="64" t="s">
        <v>204</v>
      </c>
      <c r="C173" s="62"/>
      <c r="D173" s="65">
        <v>352762</v>
      </c>
      <c r="E173" s="65">
        <v>350424</v>
      </c>
      <c r="F173" s="65">
        <v>115826</v>
      </c>
      <c r="G173" s="65">
        <v>110214</v>
      </c>
      <c r="H173" s="63"/>
      <c r="I173" s="63"/>
      <c r="J173" s="63"/>
      <c r="K173" s="63"/>
      <c r="L173" s="63"/>
      <c r="M173" s="1"/>
      <c r="N173" s="1"/>
      <c r="O173" s="1"/>
      <c r="P173" s="1"/>
      <c r="Q173" s="1"/>
      <c r="R173" s="1"/>
      <c r="S173" s="1"/>
      <c r="T173" s="1"/>
      <c r="U173" s="1"/>
      <c r="V173" s="1"/>
      <c r="W173" s="1"/>
      <c r="X173" s="1"/>
      <c r="Y173" s="1"/>
      <c r="Z173" s="1"/>
    </row>
    <row r="174" spans="1:26" ht="19.5" customHeight="1">
      <c r="A174" s="60"/>
      <c r="B174" s="64" t="s">
        <v>206</v>
      </c>
      <c r="C174" s="62"/>
      <c r="D174" s="65">
        <v>351752</v>
      </c>
      <c r="E174" s="65">
        <v>346009</v>
      </c>
      <c r="F174" s="65">
        <v>115237</v>
      </c>
      <c r="G174" s="65">
        <v>109086</v>
      </c>
      <c r="H174" s="63"/>
      <c r="I174" s="63"/>
      <c r="J174" s="63"/>
      <c r="K174" s="63"/>
      <c r="L174" s="63"/>
      <c r="M174" s="1"/>
      <c r="N174" s="1"/>
      <c r="O174" s="1"/>
      <c r="P174" s="1"/>
      <c r="Q174" s="1"/>
      <c r="R174" s="1"/>
      <c r="S174" s="1"/>
      <c r="T174" s="1"/>
      <c r="U174" s="1"/>
      <c r="V174" s="1"/>
      <c r="W174" s="1"/>
      <c r="X174" s="1"/>
      <c r="Y174" s="1"/>
      <c r="Z174" s="1"/>
    </row>
    <row r="175" spans="1:26" ht="19.5" customHeight="1">
      <c r="A175" s="60"/>
      <c r="B175" s="64" t="s">
        <v>208</v>
      </c>
      <c r="C175" s="62"/>
      <c r="D175" s="65">
        <v>345019</v>
      </c>
      <c r="E175" s="65">
        <v>339886</v>
      </c>
      <c r="F175" s="65">
        <v>113069</v>
      </c>
      <c r="G175" s="65">
        <v>107117</v>
      </c>
      <c r="H175" s="63"/>
      <c r="I175" s="63"/>
      <c r="J175" s="63"/>
      <c r="K175" s="63"/>
      <c r="L175" s="63"/>
      <c r="M175" s="1"/>
      <c r="N175" s="1"/>
      <c r="O175" s="1"/>
      <c r="P175" s="1"/>
      <c r="Q175" s="1"/>
      <c r="R175" s="1"/>
      <c r="S175" s="1"/>
      <c r="T175" s="1"/>
      <c r="U175" s="1"/>
      <c r="V175" s="1"/>
      <c r="W175" s="1"/>
      <c r="X175" s="1"/>
      <c r="Y175" s="1"/>
      <c r="Z175" s="1"/>
    </row>
    <row r="176" spans="1:26" ht="19.5" customHeight="1">
      <c r="A176" s="60"/>
      <c r="B176" s="64" t="s">
        <v>210</v>
      </c>
      <c r="C176" s="62"/>
      <c r="D176" s="65">
        <v>380003</v>
      </c>
      <c r="E176" s="65">
        <v>361993</v>
      </c>
      <c r="F176" s="65">
        <v>70711</v>
      </c>
      <c r="G176" s="65">
        <v>75051</v>
      </c>
      <c r="H176" s="63"/>
      <c r="I176" s="63"/>
      <c r="J176" s="63"/>
      <c r="K176" s="63"/>
      <c r="L176" s="63"/>
      <c r="M176" s="1"/>
      <c r="N176" s="1"/>
      <c r="O176" s="1"/>
      <c r="P176" s="1"/>
      <c r="Q176" s="1"/>
      <c r="R176" s="1"/>
      <c r="S176" s="1"/>
      <c r="T176" s="1"/>
      <c r="U176" s="1"/>
      <c r="V176" s="1"/>
      <c r="W176" s="1"/>
      <c r="X176" s="1"/>
      <c r="Y176" s="1"/>
      <c r="Z176" s="1"/>
    </row>
    <row r="177" spans="1:26" ht="19.5" customHeight="1">
      <c r="A177" s="60"/>
      <c r="B177" s="64" t="s">
        <v>212</v>
      </c>
      <c r="C177" s="62"/>
      <c r="D177" s="65">
        <v>377056</v>
      </c>
      <c r="E177" s="65">
        <v>356075</v>
      </c>
      <c r="F177" s="65">
        <v>70027</v>
      </c>
      <c r="G177" s="65">
        <v>73966</v>
      </c>
      <c r="H177" s="63"/>
      <c r="I177" s="63"/>
      <c r="J177" s="63"/>
      <c r="K177" s="63"/>
      <c r="L177" s="63"/>
      <c r="M177" s="1"/>
      <c r="N177" s="1"/>
      <c r="O177" s="1"/>
      <c r="P177" s="1"/>
      <c r="Q177" s="1"/>
      <c r="R177" s="1"/>
      <c r="S177" s="1"/>
      <c r="T177" s="1"/>
      <c r="U177" s="1"/>
      <c r="V177" s="1"/>
      <c r="W177" s="1"/>
      <c r="X177" s="1"/>
      <c r="Y177" s="1"/>
      <c r="Z177" s="1"/>
    </row>
    <row r="178" spans="1:26" ht="19.5" customHeight="1">
      <c r="A178" s="60"/>
      <c r="B178" s="64" t="s">
        <v>214</v>
      </c>
      <c r="C178" s="62"/>
      <c r="D178" s="65">
        <v>375807</v>
      </c>
      <c r="E178" s="65">
        <v>356117</v>
      </c>
      <c r="F178" s="65">
        <v>69849</v>
      </c>
      <c r="G178" s="65">
        <v>73918</v>
      </c>
      <c r="H178" s="63"/>
      <c r="I178" s="63"/>
      <c r="J178" s="63"/>
      <c r="K178" s="63"/>
      <c r="L178" s="63"/>
      <c r="M178" s="1"/>
      <c r="N178" s="1"/>
      <c r="O178" s="1"/>
      <c r="P178" s="1"/>
      <c r="Q178" s="1"/>
      <c r="R178" s="1"/>
      <c r="S178" s="1"/>
      <c r="T178" s="1"/>
      <c r="U178" s="1"/>
      <c r="V178" s="1"/>
      <c r="W178" s="1"/>
      <c r="X178" s="1"/>
      <c r="Y178" s="1"/>
      <c r="Z178" s="1"/>
    </row>
    <row r="179" spans="1:26" ht="19.5" customHeight="1">
      <c r="A179" s="60"/>
      <c r="B179" s="64" t="s">
        <v>216</v>
      </c>
      <c r="C179" s="62"/>
      <c r="D179" s="65">
        <v>383925</v>
      </c>
      <c r="E179" s="65">
        <v>361983</v>
      </c>
      <c r="F179" s="65">
        <v>71278</v>
      </c>
      <c r="G179" s="65">
        <v>75220</v>
      </c>
      <c r="H179" s="63"/>
      <c r="I179" s="63"/>
      <c r="J179" s="63"/>
      <c r="K179" s="63"/>
      <c r="L179" s="63"/>
      <c r="M179" s="1"/>
      <c r="N179" s="1"/>
      <c r="O179" s="1"/>
      <c r="P179" s="1"/>
      <c r="Q179" s="1"/>
      <c r="R179" s="1"/>
      <c r="S179" s="1"/>
      <c r="T179" s="1"/>
      <c r="U179" s="1"/>
      <c r="V179" s="1"/>
      <c r="W179" s="1"/>
      <c r="X179" s="1"/>
      <c r="Y179" s="1"/>
      <c r="Z179" s="1"/>
    </row>
    <row r="180" spans="1:26" ht="19.5" customHeight="1">
      <c r="A180" s="60"/>
      <c r="B180" s="64" t="s">
        <v>218</v>
      </c>
      <c r="C180" s="62"/>
      <c r="D180" s="65">
        <v>385339</v>
      </c>
      <c r="E180" s="65">
        <v>361325</v>
      </c>
      <c r="F180" s="65">
        <v>71454</v>
      </c>
      <c r="G180" s="65">
        <v>75175</v>
      </c>
      <c r="H180" s="63"/>
      <c r="I180" s="63"/>
      <c r="J180" s="63"/>
      <c r="K180" s="63"/>
      <c r="L180" s="63"/>
      <c r="M180" s="1"/>
      <c r="N180" s="1"/>
      <c r="O180" s="1"/>
      <c r="P180" s="1"/>
      <c r="Q180" s="1"/>
      <c r="R180" s="1"/>
      <c r="S180" s="1"/>
      <c r="T180" s="1"/>
      <c r="U180" s="1"/>
      <c r="V180" s="1"/>
      <c r="W180" s="1"/>
      <c r="X180" s="1"/>
      <c r="Y180" s="1"/>
      <c r="Z180" s="1"/>
    </row>
    <row r="181" spans="1:26" ht="19.5" customHeight="1">
      <c r="A181" s="60"/>
      <c r="B181" s="64" t="s">
        <v>220</v>
      </c>
      <c r="C181" s="62"/>
      <c r="D181" s="65">
        <v>389020</v>
      </c>
      <c r="E181" s="65">
        <v>362837</v>
      </c>
      <c r="F181" s="65">
        <v>72052</v>
      </c>
      <c r="G181" s="65">
        <v>75580</v>
      </c>
      <c r="H181" s="63"/>
      <c r="I181" s="63"/>
      <c r="J181" s="63"/>
      <c r="K181" s="63"/>
      <c r="L181" s="63"/>
      <c r="M181" s="1"/>
      <c r="N181" s="1"/>
      <c r="O181" s="1"/>
      <c r="P181" s="1"/>
      <c r="Q181" s="1"/>
      <c r="R181" s="1"/>
      <c r="S181" s="1"/>
      <c r="T181" s="1"/>
      <c r="U181" s="1"/>
      <c r="V181" s="1"/>
      <c r="W181" s="1"/>
      <c r="X181" s="1"/>
      <c r="Y181" s="1"/>
      <c r="Z181" s="1"/>
    </row>
    <row r="182" spans="1:26" ht="19.5" customHeight="1">
      <c r="A182" s="60"/>
      <c r="B182" s="64" t="s">
        <v>222</v>
      </c>
      <c r="C182" s="62"/>
      <c r="D182" s="65">
        <v>385242</v>
      </c>
      <c r="E182" s="65">
        <v>354042</v>
      </c>
      <c r="F182" s="65">
        <v>71123</v>
      </c>
      <c r="G182" s="65">
        <v>73993</v>
      </c>
      <c r="H182" s="63"/>
      <c r="I182" s="63"/>
      <c r="J182" s="63"/>
      <c r="K182" s="63"/>
      <c r="L182" s="63"/>
      <c r="M182" s="1"/>
      <c r="N182" s="1"/>
      <c r="O182" s="1"/>
      <c r="P182" s="1"/>
      <c r="Q182" s="1"/>
      <c r="R182" s="1"/>
      <c r="S182" s="1"/>
      <c r="T182" s="1"/>
      <c r="U182" s="1"/>
      <c r="V182" s="1"/>
      <c r="W182" s="1"/>
      <c r="X182" s="1"/>
      <c r="Y182" s="1"/>
      <c r="Z182" s="1"/>
    </row>
    <row r="183" spans="1:26" ht="19.5" customHeight="1">
      <c r="A183" s="60"/>
      <c r="B183" s="64" t="s">
        <v>224</v>
      </c>
      <c r="C183" s="62"/>
      <c r="D183" s="65">
        <v>369927</v>
      </c>
      <c r="E183" s="65">
        <v>339711</v>
      </c>
      <c r="F183" s="65">
        <v>68284</v>
      </c>
      <c r="G183" s="65">
        <v>71010</v>
      </c>
      <c r="H183" s="63"/>
      <c r="I183" s="63"/>
      <c r="J183" s="63"/>
      <c r="K183" s="63"/>
      <c r="L183" s="63"/>
      <c r="M183" s="1"/>
      <c r="N183" s="1"/>
      <c r="O183" s="1"/>
      <c r="P183" s="1"/>
      <c r="Q183" s="1"/>
      <c r="R183" s="1"/>
      <c r="S183" s="1"/>
      <c r="T183" s="1"/>
      <c r="U183" s="1"/>
      <c r="V183" s="1"/>
      <c r="W183" s="1"/>
      <c r="X183" s="1"/>
      <c r="Y183" s="1"/>
      <c r="Z183" s="1"/>
    </row>
    <row r="184" spans="1:26" ht="19.5" customHeight="1">
      <c r="A184" s="60"/>
      <c r="B184" s="64" t="s">
        <v>226</v>
      </c>
      <c r="C184" s="62"/>
      <c r="D184" s="65">
        <v>368162</v>
      </c>
      <c r="E184" s="65">
        <v>337094</v>
      </c>
      <c r="F184" s="65">
        <v>67915</v>
      </c>
      <c r="G184" s="65">
        <v>70510</v>
      </c>
      <c r="H184" s="63"/>
      <c r="I184" s="63"/>
      <c r="J184" s="63"/>
      <c r="K184" s="63"/>
      <c r="L184" s="63"/>
      <c r="M184" s="1"/>
      <c r="N184" s="1"/>
      <c r="O184" s="1"/>
      <c r="P184" s="1"/>
      <c r="Q184" s="1"/>
      <c r="R184" s="1"/>
      <c r="S184" s="1"/>
      <c r="T184" s="1"/>
      <c r="U184" s="1"/>
      <c r="V184" s="1"/>
      <c r="W184" s="1"/>
      <c r="X184" s="1"/>
      <c r="Y184" s="1"/>
      <c r="Z184" s="1"/>
    </row>
    <row r="185" spans="1:26" ht="19.5" customHeight="1">
      <c r="A185" s="60"/>
      <c r="B185" s="64" t="s">
        <v>228</v>
      </c>
      <c r="C185" s="62"/>
      <c r="D185" s="65">
        <v>366985</v>
      </c>
      <c r="E185" s="65">
        <v>331469</v>
      </c>
      <c r="F185" s="65">
        <v>67500</v>
      </c>
      <c r="G185" s="65">
        <v>69550</v>
      </c>
      <c r="H185" s="63"/>
      <c r="I185" s="63"/>
      <c r="J185" s="63"/>
      <c r="K185" s="63"/>
      <c r="L185" s="63"/>
      <c r="M185" s="1"/>
      <c r="N185" s="1"/>
      <c r="O185" s="1"/>
      <c r="P185" s="1"/>
      <c r="Q185" s="1"/>
      <c r="R185" s="1"/>
      <c r="S185" s="1"/>
      <c r="T185" s="1"/>
      <c r="U185" s="1"/>
      <c r="V185" s="1"/>
      <c r="W185" s="1"/>
      <c r="X185" s="1"/>
      <c r="Y185" s="1"/>
      <c r="Z185" s="1"/>
    </row>
    <row r="186" spans="1:26" ht="19.5" customHeight="1">
      <c r="A186" s="60"/>
      <c r="B186" s="64" t="s">
        <v>230</v>
      </c>
      <c r="C186" s="62"/>
      <c r="D186" s="65">
        <v>363681</v>
      </c>
      <c r="E186" s="65">
        <v>325786</v>
      </c>
      <c r="F186" s="65">
        <v>66775</v>
      </c>
      <c r="G186" s="65">
        <v>68488</v>
      </c>
      <c r="H186" s="63"/>
      <c r="I186" s="63"/>
      <c r="J186" s="63"/>
      <c r="K186" s="63"/>
      <c r="L186" s="63"/>
      <c r="M186" s="1"/>
      <c r="N186" s="1"/>
      <c r="O186" s="1"/>
      <c r="P186" s="1"/>
      <c r="Q186" s="1"/>
      <c r="R186" s="1"/>
      <c r="S186" s="1"/>
      <c r="T186" s="1"/>
      <c r="U186" s="1"/>
      <c r="V186" s="1"/>
      <c r="W186" s="1"/>
      <c r="X186" s="1"/>
      <c r="Y186" s="1"/>
      <c r="Z186" s="1"/>
    </row>
    <row r="187" spans="1:26" ht="19.5" customHeight="1">
      <c r="A187" s="60"/>
      <c r="B187" s="64" t="s">
        <v>232</v>
      </c>
      <c r="C187" s="62"/>
      <c r="D187" s="65">
        <v>356077</v>
      </c>
      <c r="E187" s="65">
        <v>312882</v>
      </c>
      <c r="F187" s="65">
        <v>65114</v>
      </c>
      <c r="G187" s="65">
        <v>66071</v>
      </c>
      <c r="H187" s="63"/>
      <c r="I187" s="63"/>
      <c r="J187" s="63"/>
      <c r="K187" s="63"/>
      <c r="L187" s="63"/>
      <c r="M187" s="1"/>
      <c r="N187" s="1"/>
      <c r="O187" s="1"/>
      <c r="P187" s="1"/>
      <c r="Q187" s="1"/>
      <c r="R187" s="1"/>
      <c r="S187" s="1"/>
      <c r="T187" s="1"/>
      <c r="U187" s="1"/>
      <c r="V187" s="1"/>
      <c r="W187" s="1"/>
      <c r="X187" s="1"/>
      <c r="Y187" s="1"/>
      <c r="Z187" s="1"/>
    </row>
    <row r="188" spans="1:26" ht="19.5" customHeight="1">
      <c r="A188" s="60"/>
      <c r="B188" s="64" t="s">
        <v>234</v>
      </c>
      <c r="C188" s="62"/>
      <c r="D188" s="65">
        <v>353876</v>
      </c>
      <c r="E188" s="65">
        <v>307839</v>
      </c>
      <c r="F188" s="65">
        <v>64577</v>
      </c>
      <c r="G188" s="65">
        <v>65159</v>
      </c>
      <c r="H188" s="63"/>
      <c r="I188" s="63"/>
      <c r="J188" s="63"/>
      <c r="K188" s="63"/>
      <c r="L188" s="63"/>
      <c r="M188" s="1"/>
      <c r="N188" s="1"/>
      <c r="O188" s="1"/>
      <c r="P188" s="1"/>
      <c r="Q188" s="1"/>
      <c r="R188" s="1"/>
      <c r="S188" s="1"/>
      <c r="T188" s="1"/>
      <c r="U188" s="1"/>
      <c r="V188" s="1"/>
      <c r="W188" s="1"/>
      <c r="X188" s="1"/>
      <c r="Y188" s="1"/>
      <c r="Z188" s="1"/>
    </row>
    <row r="189" spans="1:26" ht="19.5" customHeight="1">
      <c r="A189" s="60"/>
      <c r="B189" s="64" t="s">
        <v>236</v>
      </c>
      <c r="C189" s="62"/>
      <c r="D189" s="65">
        <v>351088</v>
      </c>
      <c r="E189" s="65">
        <v>299994</v>
      </c>
      <c r="F189" s="65">
        <v>63832</v>
      </c>
      <c r="G189" s="65">
        <v>63770</v>
      </c>
      <c r="H189" s="63"/>
      <c r="I189" s="63"/>
      <c r="J189" s="63"/>
      <c r="K189" s="63"/>
      <c r="L189" s="63"/>
      <c r="M189" s="1"/>
      <c r="N189" s="1"/>
      <c r="O189" s="1"/>
      <c r="P189" s="1"/>
      <c r="Q189" s="1"/>
      <c r="R189" s="1"/>
      <c r="S189" s="1"/>
      <c r="T189" s="1"/>
      <c r="U189" s="1"/>
      <c r="V189" s="1"/>
      <c r="W189" s="1"/>
      <c r="X189" s="1"/>
      <c r="Y189" s="1"/>
      <c r="Z189" s="1"/>
    </row>
    <row r="190" spans="1:26" ht="19.5" customHeight="1">
      <c r="A190" s="60"/>
      <c r="B190" s="64" t="s">
        <v>238</v>
      </c>
      <c r="C190" s="62"/>
      <c r="D190" s="65">
        <v>346244</v>
      </c>
      <c r="E190" s="65">
        <v>293237</v>
      </c>
      <c r="F190" s="65">
        <v>62838</v>
      </c>
      <c r="G190" s="65">
        <v>62467</v>
      </c>
      <c r="H190" s="63"/>
      <c r="I190" s="63"/>
      <c r="J190" s="63"/>
      <c r="K190" s="63"/>
      <c r="L190" s="63"/>
      <c r="M190" s="1"/>
      <c r="N190" s="1"/>
      <c r="O190" s="1"/>
      <c r="P190" s="1"/>
      <c r="Q190" s="1"/>
      <c r="R190" s="1"/>
      <c r="S190" s="1"/>
      <c r="T190" s="1"/>
      <c r="U190" s="1"/>
      <c r="V190" s="1"/>
      <c r="W190" s="1"/>
      <c r="X190" s="1"/>
      <c r="Y190" s="1"/>
      <c r="Z190" s="1"/>
    </row>
    <row r="191" spans="1:26" ht="19.5" customHeight="1">
      <c r="A191" s="60"/>
      <c r="B191" s="64" t="s">
        <v>240</v>
      </c>
      <c r="C191" s="62"/>
      <c r="D191" s="65">
        <v>342664</v>
      </c>
      <c r="E191" s="65">
        <v>289763</v>
      </c>
      <c r="F191" s="65">
        <v>62169</v>
      </c>
      <c r="G191" s="65">
        <v>61749</v>
      </c>
      <c r="H191" s="63"/>
      <c r="I191" s="63"/>
      <c r="J191" s="63"/>
      <c r="K191" s="63"/>
      <c r="L191" s="63"/>
      <c r="M191" s="1"/>
      <c r="N191" s="1"/>
      <c r="O191" s="1"/>
      <c r="P191" s="1"/>
      <c r="Q191" s="1"/>
      <c r="R191" s="1"/>
      <c r="S191" s="1"/>
      <c r="T191" s="1"/>
      <c r="U191" s="1"/>
      <c r="V191" s="1"/>
      <c r="W191" s="1"/>
      <c r="X191" s="1"/>
      <c r="Y191" s="1"/>
      <c r="Z191" s="1"/>
    </row>
    <row r="192" spans="1:26" ht="19.5" customHeight="1">
      <c r="A192" s="60"/>
      <c r="B192" s="64" t="s">
        <v>242</v>
      </c>
      <c r="C192" s="62"/>
      <c r="D192" s="65">
        <v>335859</v>
      </c>
      <c r="E192" s="65">
        <v>279130</v>
      </c>
      <c r="F192" s="65">
        <v>60722</v>
      </c>
      <c r="G192" s="65">
        <v>59734</v>
      </c>
      <c r="H192" s="63"/>
      <c r="I192" s="63"/>
      <c r="J192" s="63"/>
      <c r="K192" s="63"/>
      <c r="L192" s="63"/>
      <c r="M192" s="1"/>
      <c r="N192" s="1"/>
      <c r="O192" s="1"/>
      <c r="P192" s="1"/>
      <c r="Q192" s="1"/>
      <c r="R192" s="1"/>
      <c r="S192" s="1"/>
      <c r="T192" s="1"/>
      <c r="U192" s="1"/>
      <c r="V192" s="1"/>
      <c r="W192" s="1"/>
      <c r="X192" s="1"/>
      <c r="Y192" s="1"/>
      <c r="Z192" s="1"/>
    </row>
    <row r="193" spans="1:26" ht="19.5" customHeight="1">
      <c r="A193" s="60"/>
      <c r="B193" s="64" t="s">
        <v>244</v>
      </c>
      <c r="C193" s="62"/>
      <c r="D193" s="65">
        <v>340286</v>
      </c>
      <c r="E193" s="65">
        <v>279410</v>
      </c>
      <c r="F193" s="65">
        <v>61374</v>
      </c>
      <c r="G193" s="65">
        <v>59972</v>
      </c>
      <c r="H193" s="63"/>
      <c r="I193" s="63"/>
      <c r="J193" s="63"/>
      <c r="K193" s="63"/>
      <c r="L193" s="63"/>
      <c r="M193" s="1"/>
      <c r="N193" s="1"/>
      <c r="O193" s="1"/>
      <c r="P193" s="1"/>
      <c r="Q193" s="1"/>
      <c r="R193" s="1"/>
      <c r="S193" s="1"/>
      <c r="T193" s="1"/>
      <c r="U193" s="1"/>
      <c r="V193" s="1"/>
      <c r="W193" s="1"/>
      <c r="X193" s="1"/>
      <c r="Y193" s="1"/>
      <c r="Z193" s="1"/>
    </row>
    <row r="194" spans="1:26" ht="19.5" customHeight="1">
      <c r="A194" s="60"/>
      <c r="B194" s="64" t="s">
        <v>246</v>
      </c>
      <c r="C194" s="62"/>
      <c r="D194" s="65">
        <v>328517</v>
      </c>
      <c r="E194" s="65">
        <v>268777</v>
      </c>
      <c r="F194" s="65">
        <v>59210</v>
      </c>
      <c r="G194" s="65">
        <v>57742</v>
      </c>
      <c r="H194" s="63"/>
      <c r="I194" s="63"/>
      <c r="J194" s="63"/>
      <c r="K194" s="63"/>
      <c r="L194" s="63"/>
      <c r="M194" s="1"/>
      <c r="N194" s="1"/>
      <c r="O194" s="1"/>
      <c r="P194" s="1"/>
      <c r="Q194" s="1"/>
      <c r="R194" s="1"/>
      <c r="S194" s="1"/>
      <c r="T194" s="1"/>
      <c r="U194" s="1"/>
      <c r="V194" s="1"/>
      <c r="W194" s="1"/>
      <c r="X194" s="1"/>
      <c r="Y194" s="1"/>
      <c r="Z194" s="1"/>
    </row>
    <row r="195" spans="1:26" ht="19.5" customHeight="1">
      <c r="A195" s="60"/>
      <c r="B195" s="64" t="s">
        <v>248</v>
      </c>
      <c r="C195" s="62"/>
      <c r="D195" s="65">
        <v>336168</v>
      </c>
      <c r="E195" s="65">
        <v>275366</v>
      </c>
      <c r="F195" s="65">
        <v>60603</v>
      </c>
      <c r="G195" s="65">
        <v>59139</v>
      </c>
      <c r="H195" s="63"/>
      <c r="I195" s="63"/>
      <c r="J195" s="63"/>
      <c r="K195" s="63"/>
      <c r="L195" s="63"/>
      <c r="M195" s="1"/>
      <c r="N195" s="1"/>
      <c r="O195" s="1"/>
      <c r="P195" s="1"/>
      <c r="Q195" s="1"/>
      <c r="R195" s="1"/>
      <c r="S195" s="1"/>
      <c r="T195" s="1"/>
      <c r="U195" s="1"/>
      <c r="V195" s="1"/>
      <c r="W195" s="1"/>
      <c r="X195" s="1"/>
      <c r="Y195" s="1"/>
      <c r="Z195" s="1"/>
    </row>
    <row r="196" spans="1:26" ht="19.5" customHeight="1">
      <c r="A196" s="60"/>
      <c r="B196" s="64" t="s">
        <v>250</v>
      </c>
      <c r="C196" s="62"/>
      <c r="D196" s="65">
        <v>333587</v>
      </c>
      <c r="E196" s="65">
        <v>266294</v>
      </c>
      <c r="F196" s="65">
        <v>59835</v>
      </c>
      <c r="G196" s="65">
        <v>57561</v>
      </c>
      <c r="H196" s="63"/>
      <c r="I196" s="63"/>
      <c r="J196" s="63"/>
      <c r="K196" s="63"/>
      <c r="L196" s="63"/>
      <c r="M196" s="1"/>
      <c r="N196" s="1"/>
      <c r="O196" s="1"/>
      <c r="P196" s="1"/>
      <c r="Q196" s="1"/>
      <c r="R196" s="1"/>
      <c r="S196" s="1"/>
      <c r="T196" s="1"/>
      <c r="U196" s="1"/>
      <c r="V196" s="1"/>
      <c r="W196" s="1"/>
      <c r="X196" s="1"/>
      <c r="Y196" s="1"/>
      <c r="Z196" s="1"/>
    </row>
    <row r="197" spans="1:26" ht="19.5" customHeight="1">
      <c r="A197" s="60"/>
      <c r="B197" s="64" t="s">
        <v>252</v>
      </c>
      <c r="C197" s="62"/>
      <c r="D197" s="65">
        <v>323100</v>
      </c>
      <c r="E197" s="65">
        <v>260105</v>
      </c>
      <c r="F197" s="65">
        <v>58049</v>
      </c>
      <c r="G197" s="65">
        <v>56104</v>
      </c>
      <c r="H197" s="63"/>
      <c r="I197" s="63"/>
      <c r="J197" s="63"/>
      <c r="K197" s="63"/>
      <c r="L197" s="63"/>
      <c r="M197" s="1"/>
      <c r="N197" s="1"/>
      <c r="O197" s="1"/>
      <c r="P197" s="1"/>
      <c r="Q197" s="1"/>
      <c r="R197" s="1"/>
      <c r="S197" s="1"/>
      <c r="T197" s="1"/>
      <c r="U197" s="1"/>
      <c r="V197" s="1"/>
      <c r="W197" s="1"/>
      <c r="X197" s="1"/>
      <c r="Y197" s="1"/>
      <c r="Z197" s="1"/>
    </row>
    <row r="198" spans="1:26" ht="19.5" customHeight="1">
      <c r="A198" s="60"/>
      <c r="B198" s="64" t="s">
        <v>254</v>
      </c>
      <c r="C198" s="62"/>
      <c r="D198" s="65">
        <v>314899</v>
      </c>
      <c r="E198" s="65">
        <v>247483</v>
      </c>
      <c r="F198" s="65">
        <v>56314</v>
      </c>
      <c r="G198" s="65">
        <v>53706</v>
      </c>
      <c r="H198" s="63"/>
      <c r="I198" s="63"/>
      <c r="J198" s="63"/>
      <c r="K198" s="63"/>
      <c r="L198" s="63"/>
      <c r="M198" s="1"/>
      <c r="N198" s="1"/>
      <c r="O198" s="1"/>
      <c r="P198" s="1"/>
      <c r="Q198" s="1"/>
      <c r="R198" s="1"/>
      <c r="S198" s="1"/>
      <c r="T198" s="1"/>
      <c r="U198" s="1"/>
      <c r="V198" s="1"/>
      <c r="W198" s="1"/>
      <c r="X198" s="1"/>
      <c r="Y198" s="1"/>
      <c r="Z198" s="1"/>
    </row>
    <row r="199" spans="1:26" ht="19.5" customHeight="1">
      <c r="A199" s="60"/>
      <c r="B199" s="64" t="s">
        <v>256</v>
      </c>
      <c r="C199" s="62"/>
      <c r="D199" s="65">
        <v>292933</v>
      </c>
      <c r="E199" s="65">
        <v>228137</v>
      </c>
      <c r="F199" s="65">
        <v>52295</v>
      </c>
      <c r="G199" s="65">
        <v>49623</v>
      </c>
      <c r="H199" s="63"/>
      <c r="I199" s="63"/>
      <c r="J199" s="63"/>
      <c r="K199" s="63"/>
      <c r="L199" s="63"/>
      <c r="M199" s="1"/>
      <c r="N199" s="1"/>
      <c r="O199" s="1"/>
      <c r="P199" s="1"/>
      <c r="Q199" s="1"/>
      <c r="R199" s="1"/>
      <c r="S199" s="1"/>
      <c r="T199" s="1"/>
      <c r="U199" s="1"/>
      <c r="V199" s="1"/>
      <c r="W199" s="1"/>
      <c r="X199" s="1"/>
      <c r="Y199" s="1"/>
      <c r="Z199" s="1"/>
    </row>
    <row r="200" spans="1:26" ht="19.5" customHeight="1">
      <c r="A200" s="60"/>
      <c r="B200" s="64" t="s">
        <v>258</v>
      </c>
      <c r="C200" s="62"/>
      <c r="D200" s="65">
        <v>219770</v>
      </c>
      <c r="E200" s="65">
        <v>166613</v>
      </c>
      <c r="F200" s="65">
        <v>39036</v>
      </c>
      <c r="G200" s="65">
        <v>36495</v>
      </c>
      <c r="H200" s="63"/>
      <c r="I200" s="63"/>
      <c r="J200" s="63"/>
      <c r="K200" s="63"/>
      <c r="L200" s="63"/>
      <c r="M200" s="1"/>
      <c r="N200" s="1"/>
      <c r="O200" s="1"/>
      <c r="P200" s="1"/>
      <c r="Q200" s="1"/>
      <c r="R200" s="1"/>
      <c r="S200" s="1"/>
      <c r="T200" s="1"/>
      <c r="U200" s="1"/>
      <c r="V200" s="1"/>
      <c r="W200" s="1"/>
      <c r="X200" s="1"/>
      <c r="Y200" s="1"/>
      <c r="Z200" s="1"/>
    </row>
    <row r="201" spans="1:26" ht="19.5" customHeight="1">
      <c r="A201" s="60"/>
      <c r="B201" s="64" t="s">
        <v>260</v>
      </c>
      <c r="C201" s="62"/>
      <c r="D201" s="65">
        <v>210253</v>
      </c>
      <c r="E201" s="65">
        <v>156543</v>
      </c>
      <c r="F201" s="65">
        <v>37221</v>
      </c>
      <c r="G201" s="65">
        <v>34453</v>
      </c>
      <c r="H201" s="63"/>
      <c r="I201" s="63"/>
      <c r="J201" s="63"/>
      <c r="K201" s="63"/>
      <c r="L201" s="63"/>
      <c r="M201" s="1"/>
      <c r="N201" s="1"/>
      <c r="O201" s="1"/>
      <c r="P201" s="1"/>
      <c r="Q201" s="1"/>
      <c r="R201" s="1"/>
      <c r="S201" s="1"/>
      <c r="T201" s="1"/>
      <c r="U201" s="1"/>
      <c r="V201" s="1"/>
      <c r="W201" s="1"/>
      <c r="X201" s="1"/>
      <c r="Y201" s="1"/>
      <c r="Z201" s="1"/>
    </row>
    <row r="202" spans="1:26" ht="19.5" customHeight="1">
      <c r="A202" s="60"/>
      <c r="B202" s="64" t="s">
        <v>262</v>
      </c>
      <c r="C202" s="62"/>
      <c r="D202" s="65">
        <v>200896</v>
      </c>
      <c r="E202" s="65">
        <v>147071</v>
      </c>
      <c r="F202" s="65">
        <v>35456</v>
      </c>
      <c r="G202" s="65">
        <v>32515</v>
      </c>
      <c r="H202" s="63"/>
      <c r="I202" s="63"/>
      <c r="J202" s="63"/>
      <c r="K202" s="63"/>
      <c r="L202" s="63"/>
      <c r="M202" s="1"/>
      <c r="N202" s="1"/>
      <c r="O202" s="1"/>
      <c r="P202" s="1"/>
      <c r="Q202" s="1"/>
      <c r="R202" s="1"/>
      <c r="S202" s="1"/>
      <c r="T202" s="1"/>
      <c r="U202" s="1"/>
      <c r="V202" s="1"/>
      <c r="W202" s="1"/>
      <c r="X202" s="1"/>
      <c r="Y202" s="1"/>
      <c r="Z202" s="1"/>
    </row>
    <row r="203" spans="1:26" ht="19.5" customHeight="1">
      <c r="A203" s="60"/>
      <c r="B203" s="64" t="s">
        <v>264</v>
      </c>
      <c r="C203" s="62"/>
      <c r="D203" s="65">
        <v>183170</v>
      </c>
      <c r="E203" s="65">
        <v>129747</v>
      </c>
      <c r="F203" s="65">
        <v>32138</v>
      </c>
      <c r="G203" s="65">
        <v>28943</v>
      </c>
      <c r="H203" s="63"/>
      <c r="I203" s="63"/>
      <c r="J203" s="63"/>
      <c r="K203" s="63"/>
      <c r="L203" s="63"/>
      <c r="M203" s="1"/>
      <c r="N203" s="1"/>
      <c r="O203" s="1"/>
      <c r="P203" s="1"/>
      <c r="Q203" s="1"/>
      <c r="R203" s="1"/>
      <c r="S203" s="1"/>
      <c r="T203" s="1"/>
      <c r="U203" s="1"/>
      <c r="V203" s="1"/>
      <c r="W203" s="1"/>
      <c r="X203" s="1"/>
      <c r="Y203" s="1"/>
      <c r="Z203" s="1"/>
    </row>
    <row r="204" spans="1:26" ht="19.5" customHeight="1">
      <c r="A204" s="60"/>
      <c r="B204" s="64" t="s">
        <v>266</v>
      </c>
      <c r="C204" s="62"/>
      <c r="D204" s="65">
        <v>159887</v>
      </c>
      <c r="E204" s="65">
        <v>109529</v>
      </c>
      <c r="F204" s="65">
        <v>27891</v>
      </c>
      <c r="G204" s="65">
        <v>24662</v>
      </c>
      <c r="H204" s="63"/>
      <c r="I204" s="63"/>
      <c r="J204" s="63"/>
      <c r="K204" s="63"/>
      <c r="L204" s="63"/>
      <c r="M204" s="1"/>
      <c r="N204" s="1"/>
      <c r="O204" s="1"/>
      <c r="P204" s="1"/>
      <c r="Q204" s="1"/>
      <c r="R204" s="1"/>
      <c r="S204" s="1"/>
      <c r="T204" s="1"/>
      <c r="U204" s="1"/>
      <c r="V204" s="1"/>
      <c r="W204" s="1"/>
      <c r="X204" s="1"/>
      <c r="Y204" s="1"/>
      <c r="Z204" s="1"/>
    </row>
    <row r="205" spans="1:26" ht="19.5" customHeight="1">
      <c r="A205" s="60"/>
      <c r="B205" s="64" t="s">
        <v>268</v>
      </c>
      <c r="C205" s="62"/>
      <c r="D205" s="65">
        <v>161157</v>
      </c>
      <c r="E205" s="65">
        <v>106802</v>
      </c>
      <c r="F205" s="65">
        <v>27956</v>
      </c>
      <c r="G205" s="65">
        <v>24276</v>
      </c>
      <c r="H205" s="63"/>
      <c r="I205" s="63"/>
      <c r="J205" s="63"/>
      <c r="K205" s="63"/>
      <c r="L205" s="63"/>
      <c r="M205" s="1"/>
      <c r="N205" s="1"/>
      <c r="O205" s="1"/>
      <c r="P205" s="1"/>
      <c r="Q205" s="1"/>
      <c r="R205" s="1"/>
      <c r="S205" s="1"/>
      <c r="T205" s="1"/>
      <c r="U205" s="1"/>
      <c r="V205" s="1"/>
      <c r="W205" s="1"/>
      <c r="X205" s="1"/>
      <c r="Y205" s="1"/>
      <c r="Z205" s="1"/>
    </row>
    <row r="206" spans="1:26" ht="19.5" customHeight="1">
      <c r="A206" s="60"/>
      <c r="B206" s="64" t="s">
        <v>270</v>
      </c>
      <c r="C206" s="62"/>
      <c r="D206" s="65">
        <v>164009</v>
      </c>
      <c r="E206" s="65">
        <v>102395</v>
      </c>
      <c r="F206" s="65">
        <v>28177</v>
      </c>
      <c r="G206" s="65">
        <v>23688</v>
      </c>
      <c r="H206" s="63"/>
      <c r="I206" s="63"/>
      <c r="J206" s="63"/>
      <c r="K206" s="63"/>
      <c r="L206" s="63"/>
      <c r="M206" s="1"/>
      <c r="N206" s="1"/>
      <c r="O206" s="1"/>
      <c r="P206" s="1"/>
      <c r="Q206" s="1"/>
      <c r="R206" s="1"/>
      <c r="S206" s="1"/>
      <c r="T206" s="1"/>
      <c r="U206" s="1"/>
      <c r="V206" s="1"/>
      <c r="W206" s="1"/>
      <c r="X206" s="1"/>
      <c r="Y206" s="1"/>
      <c r="Z206" s="1"/>
    </row>
    <row r="207" spans="1:26" ht="19.5" customHeight="1">
      <c r="A207" s="60"/>
      <c r="B207" s="64" t="s">
        <v>272</v>
      </c>
      <c r="C207" s="62"/>
      <c r="D207" s="65">
        <v>154497</v>
      </c>
      <c r="E207" s="65">
        <v>92742</v>
      </c>
      <c r="F207" s="65">
        <v>26382</v>
      </c>
      <c r="G207" s="65">
        <v>21713</v>
      </c>
      <c r="H207" s="63"/>
      <c r="I207" s="63"/>
      <c r="J207" s="63"/>
      <c r="K207" s="63"/>
      <c r="L207" s="63"/>
      <c r="M207" s="1"/>
      <c r="N207" s="1"/>
      <c r="O207" s="1"/>
      <c r="P207" s="1"/>
      <c r="Q207" s="1"/>
      <c r="R207" s="1"/>
      <c r="S207" s="1"/>
      <c r="T207" s="1"/>
      <c r="U207" s="1"/>
      <c r="V207" s="1"/>
      <c r="W207" s="1"/>
      <c r="X207" s="1"/>
      <c r="Y207" s="1"/>
      <c r="Z207" s="1"/>
    </row>
    <row r="208" spans="1:26" ht="19.5" customHeight="1">
      <c r="A208" s="60"/>
      <c r="B208" s="64" t="s">
        <v>274</v>
      </c>
      <c r="C208" s="62"/>
      <c r="D208" s="65">
        <v>145399</v>
      </c>
      <c r="E208" s="65">
        <v>82920</v>
      </c>
      <c r="F208" s="65">
        <v>24638</v>
      </c>
      <c r="G208" s="65">
        <v>19730</v>
      </c>
      <c r="H208" s="63"/>
      <c r="I208" s="63"/>
      <c r="J208" s="63"/>
      <c r="K208" s="63"/>
      <c r="L208" s="63"/>
      <c r="M208" s="1"/>
      <c r="N208" s="1"/>
      <c r="O208" s="1"/>
      <c r="P208" s="1"/>
      <c r="Q208" s="1"/>
      <c r="R208" s="1"/>
      <c r="S208" s="1"/>
      <c r="T208" s="1"/>
      <c r="U208" s="1"/>
      <c r="V208" s="1"/>
      <c r="W208" s="1"/>
      <c r="X208" s="1"/>
      <c r="Y208" s="1"/>
      <c r="Z208" s="1"/>
    </row>
    <row r="209" spans="1:26" ht="19.5" customHeight="1">
      <c r="A209" s="60"/>
      <c r="B209" s="64" t="s">
        <v>276</v>
      </c>
      <c r="C209" s="62"/>
      <c r="D209" s="65">
        <v>138821</v>
      </c>
      <c r="E209" s="65">
        <v>74230</v>
      </c>
      <c r="F209" s="65">
        <v>23309</v>
      </c>
      <c r="G209" s="65">
        <v>18039</v>
      </c>
      <c r="H209" s="63"/>
      <c r="I209" s="63"/>
      <c r="J209" s="63"/>
      <c r="K209" s="63"/>
      <c r="L209" s="63"/>
      <c r="M209" s="1"/>
      <c r="N209" s="1"/>
      <c r="O209" s="1"/>
      <c r="P209" s="1"/>
      <c r="Q209" s="1"/>
      <c r="R209" s="1"/>
      <c r="S209" s="1"/>
      <c r="T209" s="1"/>
      <c r="U209" s="1"/>
      <c r="V209" s="1"/>
      <c r="W209" s="1"/>
      <c r="X209" s="1"/>
      <c r="Y209" s="1"/>
      <c r="Z209" s="1"/>
    </row>
    <row r="210" spans="1:26" ht="19.5" customHeight="1">
      <c r="A210" s="60"/>
      <c r="B210" s="64" t="s">
        <v>278</v>
      </c>
      <c r="C210" s="62"/>
      <c r="D210" s="65">
        <v>126069</v>
      </c>
      <c r="E210" s="65">
        <v>62402</v>
      </c>
      <c r="F210" s="65">
        <v>20950</v>
      </c>
      <c r="G210" s="65">
        <v>15572</v>
      </c>
      <c r="H210" s="63"/>
      <c r="I210" s="63"/>
      <c r="J210" s="63"/>
      <c r="K210" s="63"/>
      <c r="L210" s="63"/>
      <c r="M210" s="1"/>
      <c r="N210" s="1"/>
      <c r="O210" s="1"/>
      <c r="P210" s="1"/>
      <c r="Q210" s="1"/>
      <c r="R210" s="1"/>
      <c r="S210" s="1"/>
      <c r="T210" s="1"/>
      <c r="U210" s="1"/>
      <c r="V210" s="1"/>
      <c r="W210" s="1"/>
      <c r="X210" s="1"/>
      <c r="Y210" s="1"/>
      <c r="Z210" s="1"/>
    </row>
    <row r="211" spans="1:26" ht="19.5" customHeight="1">
      <c r="A211" s="60"/>
      <c r="B211" s="64" t="s">
        <v>280</v>
      </c>
      <c r="C211" s="62"/>
      <c r="D211" s="65">
        <v>116727</v>
      </c>
      <c r="E211" s="65">
        <v>54497</v>
      </c>
      <c r="F211" s="65">
        <v>19255</v>
      </c>
      <c r="G211" s="65">
        <v>13887</v>
      </c>
      <c r="H211" s="63"/>
      <c r="I211" s="63"/>
      <c r="J211" s="63"/>
      <c r="K211" s="63"/>
      <c r="L211" s="63"/>
      <c r="M211" s="1"/>
      <c r="N211" s="1"/>
      <c r="O211" s="1"/>
      <c r="P211" s="1"/>
      <c r="Q211" s="1"/>
      <c r="R211" s="1"/>
      <c r="S211" s="1"/>
      <c r="T211" s="1"/>
      <c r="U211" s="1"/>
      <c r="V211" s="1"/>
      <c r="W211" s="1"/>
      <c r="X211" s="1"/>
      <c r="Y211" s="1"/>
      <c r="Z211" s="1"/>
    </row>
    <row r="212" spans="1:26" ht="19.5" customHeight="1">
      <c r="A212" s="60"/>
      <c r="B212" s="64" t="s">
        <v>282</v>
      </c>
      <c r="C212" s="62"/>
      <c r="D212" s="65">
        <v>101687</v>
      </c>
      <c r="E212" s="65">
        <v>42994</v>
      </c>
      <c r="F212" s="65">
        <v>16579</v>
      </c>
      <c r="G212" s="65">
        <v>11374</v>
      </c>
      <c r="H212" s="63"/>
      <c r="I212" s="63"/>
      <c r="J212" s="63"/>
      <c r="K212" s="63"/>
      <c r="L212" s="63"/>
      <c r="M212" s="1"/>
      <c r="N212" s="1"/>
      <c r="O212" s="1"/>
      <c r="P212" s="1"/>
      <c r="Q212" s="1"/>
      <c r="R212" s="1"/>
      <c r="S212" s="1"/>
      <c r="T212" s="1"/>
      <c r="U212" s="1"/>
      <c r="V212" s="1"/>
      <c r="W212" s="1"/>
      <c r="X212" s="1"/>
      <c r="Y212" s="1"/>
      <c r="Z212" s="1"/>
    </row>
    <row r="213" spans="1:26" ht="19.5" customHeight="1">
      <c r="A213" s="60"/>
      <c r="B213" s="64" t="s">
        <v>284</v>
      </c>
      <c r="C213" s="62"/>
      <c r="D213" s="65">
        <v>92372</v>
      </c>
      <c r="E213" s="65">
        <v>36258</v>
      </c>
      <c r="F213" s="65">
        <v>14939</v>
      </c>
      <c r="G213" s="65">
        <v>9879</v>
      </c>
      <c r="H213" s="63"/>
      <c r="I213" s="63"/>
      <c r="J213" s="63"/>
      <c r="K213" s="63"/>
      <c r="L213" s="63"/>
      <c r="M213" s="1"/>
      <c r="N213" s="1"/>
      <c r="O213" s="1"/>
      <c r="P213" s="1"/>
      <c r="Q213" s="1"/>
      <c r="R213" s="1"/>
      <c r="S213" s="1"/>
      <c r="T213" s="1"/>
      <c r="U213" s="1"/>
      <c r="V213" s="1"/>
      <c r="W213" s="1"/>
      <c r="X213" s="1"/>
      <c r="Y213" s="1"/>
      <c r="Z213" s="1"/>
    </row>
    <row r="214" spans="1:26" ht="19.5" customHeight="1">
      <c r="A214" s="60"/>
      <c r="B214" s="64" t="s">
        <v>286</v>
      </c>
      <c r="C214" s="62"/>
      <c r="D214" s="65">
        <v>77669</v>
      </c>
      <c r="E214" s="65">
        <v>28173</v>
      </c>
      <c r="F214" s="65">
        <v>12460</v>
      </c>
      <c r="G214" s="65">
        <v>7933</v>
      </c>
      <c r="H214" s="63"/>
      <c r="I214" s="63"/>
      <c r="J214" s="63"/>
      <c r="K214" s="63"/>
      <c r="L214" s="63"/>
      <c r="M214" s="1"/>
      <c r="N214" s="1"/>
      <c r="O214" s="1"/>
      <c r="P214" s="1"/>
      <c r="Q214" s="1"/>
      <c r="R214" s="1"/>
      <c r="S214" s="1"/>
      <c r="T214" s="1"/>
      <c r="U214" s="1"/>
      <c r="V214" s="1"/>
      <c r="W214" s="1"/>
      <c r="X214" s="1"/>
      <c r="Y214" s="1"/>
      <c r="Z214" s="1"/>
    </row>
    <row r="215" spans="1:26" ht="19.5" customHeight="1">
      <c r="A215" s="60"/>
      <c r="B215" s="64" t="s">
        <v>288</v>
      </c>
      <c r="C215" s="62"/>
      <c r="D215" s="65">
        <v>63426</v>
      </c>
      <c r="E215" s="65">
        <v>20548</v>
      </c>
      <c r="F215" s="65">
        <v>10068</v>
      </c>
      <c r="G215" s="65">
        <v>6081</v>
      </c>
      <c r="H215" s="63"/>
      <c r="I215" s="63"/>
      <c r="J215" s="63"/>
      <c r="K215" s="63"/>
      <c r="L215" s="63"/>
      <c r="M215" s="1"/>
      <c r="N215" s="1"/>
      <c r="O215" s="1"/>
      <c r="P215" s="1"/>
      <c r="Q215" s="1"/>
      <c r="R215" s="1"/>
      <c r="S215" s="1"/>
      <c r="T215" s="1"/>
      <c r="U215" s="1"/>
      <c r="V215" s="1"/>
      <c r="W215" s="1"/>
      <c r="X215" s="1"/>
      <c r="Y215" s="1"/>
      <c r="Z215" s="1"/>
    </row>
    <row r="216" spans="1:26" ht="19.5" customHeight="1">
      <c r="A216" s="60"/>
      <c r="B216" s="64" t="s">
        <v>290</v>
      </c>
      <c r="C216" s="62"/>
      <c r="D216" s="65">
        <v>47954</v>
      </c>
      <c r="E216" s="65">
        <v>14159</v>
      </c>
      <c r="F216" s="65">
        <v>7552</v>
      </c>
      <c r="G216" s="65">
        <v>4375</v>
      </c>
      <c r="H216" s="63"/>
      <c r="I216" s="63"/>
      <c r="J216" s="63"/>
      <c r="K216" s="63"/>
      <c r="L216" s="63"/>
      <c r="M216" s="1"/>
      <c r="N216" s="1"/>
      <c r="O216" s="1"/>
      <c r="P216" s="1"/>
      <c r="Q216" s="1"/>
      <c r="R216" s="1"/>
      <c r="S216" s="1"/>
      <c r="T216" s="1"/>
      <c r="U216" s="1"/>
      <c r="V216" s="1"/>
      <c r="W216" s="1"/>
      <c r="X216" s="1"/>
      <c r="Y216" s="1"/>
      <c r="Z216" s="1"/>
    </row>
    <row r="217" spans="1:26" ht="19.5" customHeight="1">
      <c r="A217" s="60"/>
      <c r="B217" s="64" t="s">
        <v>292</v>
      </c>
      <c r="C217" s="62"/>
      <c r="D217" s="65">
        <v>37891</v>
      </c>
      <c r="E217" s="65">
        <v>9717</v>
      </c>
      <c r="F217" s="65">
        <v>5903</v>
      </c>
      <c r="G217" s="65">
        <v>3219</v>
      </c>
      <c r="H217" s="63"/>
      <c r="I217" s="63"/>
      <c r="J217" s="63"/>
      <c r="K217" s="63"/>
      <c r="L217" s="63"/>
      <c r="M217" s="1"/>
      <c r="N217" s="1"/>
      <c r="O217" s="1"/>
      <c r="P217" s="1"/>
      <c r="Q217" s="1"/>
      <c r="R217" s="1"/>
      <c r="S217" s="1"/>
      <c r="T217" s="1"/>
      <c r="U217" s="1"/>
      <c r="V217" s="1"/>
      <c r="W217" s="1"/>
      <c r="X217" s="1"/>
      <c r="Y217" s="1"/>
      <c r="Z217" s="1"/>
    </row>
    <row r="218" spans="1:26" ht="19.5" customHeight="1">
      <c r="A218" s="60"/>
      <c r="B218" s="64" t="s">
        <v>294</v>
      </c>
      <c r="C218" s="62"/>
      <c r="D218" s="65">
        <v>27994</v>
      </c>
      <c r="E218" s="65">
        <v>6192</v>
      </c>
      <c r="F218" s="65">
        <v>4319</v>
      </c>
      <c r="G218" s="65">
        <v>2219</v>
      </c>
      <c r="H218" s="63"/>
      <c r="I218" s="63"/>
      <c r="J218" s="63"/>
      <c r="K218" s="63"/>
      <c r="L218" s="63"/>
      <c r="M218" s="1"/>
      <c r="N218" s="1"/>
      <c r="O218" s="1"/>
      <c r="P218" s="1"/>
      <c r="Q218" s="1"/>
      <c r="R218" s="1"/>
      <c r="S218" s="1"/>
      <c r="T218" s="1"/>
      <c r="U218" s="1"/>
      <c r="V218" s="1"/>
      <c r="W218" s="1"/>
      <c r="X218" s="1"/>
      <c r="Y218" s="1"/>
      <c r="Z218" s="1"/>
    </row>
    <row r="219" spans="1:26" ht="19.5" customHeight="1">
      <c r="A219" s="60"/>
      <c r="B219" s="64" t="s">
        <v>296</v>
      </c>
      <c r="C219" s="62"/>
      <c r="D219" s="65">
        <v>20626</v>
      </c>
      <c r="E219" s="65">
        <v>4204</v>
      </c>
      <c r="F219" s="65">
        <v>3166</v>
      </c>
      <c r="G219" s="65">
        <v>1577</v>
      </c>
      <c r="H219" s="63"/>
      <c r="I219" s="63"/>
      <c r="J219" s="63"/>
      <c r="K219" s="63"/>
      <c r="L219" s="63"/>
      <c r="M219" s="1"/>
      <c r="N219" s="1"/>
      <c r="O219" s="1"/>
      <c r="P219" s="1"/>
      <c r="Q219" s="1"/>
      <c r="R219" s="1"/>
      <c r="S219" s="1"/>
      <c r="T219" s="1"/>
      <c r="U219" s="1"/>
      <c r="V219" s="1"/>
      <c r="W219" s="1"/>
      <c r="X219" s="1"/>
      <c r="Y219" s="1"/>
      <c r="Z219" s="1"/>
    </row>
    <row r="220" spans="1:26" ht="19.5" customHeight="1">
      <c r="A220" s="60"/>
      <c r="B220" s="64" t="s">
        <v>298</v>
      </c>
      <c r="C220" s="62"/>
      <c r="D220" s="65">
        <v>40488</v>
      </c>
      <c r="E220" s="65">
        <v>5987</v>
      </c>
      <c r="F220" s="65">
        <v>6117</v>
      </c>
      <c r="G220" s="65">
        <v>2729</v>
      </c>
      <c r="H220" s="63"/>
      <c r="I220" s="63"/>
      <c r="J220" s="63"/>
      <c r="K220" s="63"/>
      <c r="L220" s="63"/>
      <c r="M220" s="1"/>
      <c r="N220" s="1"/>
      <c r="O220" s="1"/>
      <c r="P220" s="1"/>
      <c r="Q220" s="1"/>
      <c r="R220" s="1"/>
      <c r="S220" s="1"/>
      <c r="T220" s="1"/>
      <c r="U220" s="1"/>
      <c r="V220" s="1"/>
      <c r="W220" s="1"/>
      <c r="X220" s="1"/>
      <c r="Y220" s="1"/>
      <c r="Z220" s="1"/>
    </row>
    <row r="221" spans="1:26" ht="19.5" customHeight="1">
      <c r="A221" s="60"/>
      <c r="B221" s="61"/>
      <c r="C221" s="62"/>
      <c r="D221" s="63"/>
      <c r="E221" s="63"/>
      <c r="F221" s="63"/>
      <c r="G221" s="63"/>
      <c r="H221" s="63"/>
      <c r="I221" s="63"/>
      <c r="J221" s="63"/>
      <c r="K221" s="63"/>
      <c r="L221" s="63"/>
      <c r="M221" s="1"/>
      <c r="N221" s="1"/>
      <c r="O221" s="1"/>
      <c r="P221" s="1"/>
      <c r="Q221" s="1"/>
      <c r="R221" s="1"/>
      <c r="S221" s="1"/>
      <c r="T221" s="1"/>
      <c r="U221" s="1"/>
      <c r="V221" s="1"/>
      <c r="W221" s="1"/>
      <c r="X221" s="1"/>
      <c r="Y221" s="1"/>
      <c r="Z221" s="1"/>
    </row>
    <row r="222" spans="1:26" ht="19.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9.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9.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9.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9.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9.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9.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9.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9.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9.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9.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9.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9.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9.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9.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9.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9.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9.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9.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9.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9.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9.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9.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9.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9.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9.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9.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9.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9.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9.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9.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9.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9.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9.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9.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9.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9.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9.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9.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9.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9.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9.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9.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9.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9.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9.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9.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9.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9.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9.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9.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9.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9.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9.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9.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9.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9.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9.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9.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9.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9.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9.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9.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9.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9.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9.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9.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9.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9.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9.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9.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9.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9.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9.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9.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9.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9.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9.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9.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9.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9.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9.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9.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9.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9.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9.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9.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9.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9.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9.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9.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9.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9.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9.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9.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9.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9.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9.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9.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9.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9.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9.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9.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9.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9.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9.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9.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9.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9.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9.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9.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9.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9.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9.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9.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9.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9.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9.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9.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9.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9.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9.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9.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9.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9.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9.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9.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9.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9.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9.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9.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9.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9.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9.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9.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9.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9.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9.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9.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9.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9.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9.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9.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9.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9.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9.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9.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9.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9.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9.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9.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9.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9.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9.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9.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9.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9.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9.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9.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9.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9.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9.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9.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9.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9.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9.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9.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9.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9.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9.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9.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9.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9.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9.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9.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9.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9.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9.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9.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9.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9.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9.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9.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9.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9.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9.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9.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9.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9.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9.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9.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9.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9.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9.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9.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9.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9.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9.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9.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9.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9.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9.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9.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9.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9.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9.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9.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9.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9.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9.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9.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9.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9.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9.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9.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9.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9.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9.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9.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9.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9.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9.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9.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9.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9.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9.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9.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9.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9.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9.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9.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9.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9.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9.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9.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9.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9.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9.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9.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9.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9.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9.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9.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9.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9.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9.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9.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9.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9.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9.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9.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9.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9.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9.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9.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9.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9.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9.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9.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9.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9.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9.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9.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9.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9.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9.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9.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9.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9.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9.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9.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9.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9.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9.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9.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9.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9.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9.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9.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9.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9.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9.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9.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9.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9.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9.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9.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9.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9.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9.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9.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9.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9.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9.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9.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9.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9.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9.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9.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9.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9.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9.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9.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9.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9.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9.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9.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9.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9.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9.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9.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9.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9.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9.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9.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9.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9.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9.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9.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9.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9.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9.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9.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9.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9.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9.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9.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9.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9.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9.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9.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9.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9.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9.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9.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9.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9.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9.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9.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9.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9.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9.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9.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9.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9.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9.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9.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9.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9.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9.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9.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9.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9.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9.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9.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9.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9.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9.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9.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9.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9.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9.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9.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9.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9.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9.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9.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9.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9.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9.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9.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9.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9.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9.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9.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9.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9.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9.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9.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9.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9.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9.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9.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9.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9.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9.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9.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9.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9.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9.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9.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9.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9.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9.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9.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9.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9.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9.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9.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9.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9.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9.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9.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9.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9.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9.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9.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9.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9.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9.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9.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9.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9.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9.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9.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9.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9.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9.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9.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9.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9.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9.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9.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9.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9.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9.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9.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9.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9.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9.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9.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9.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9.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9.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9.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9.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9.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9.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9.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9.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9.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9.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9.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9.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9.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9.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9.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9.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9.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9.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9.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9.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9.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9.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9.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9.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9.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9.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9.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9.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9.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9.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9.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9.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9.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9.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9.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9.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9.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9.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9.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9.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9.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9.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9.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9.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9.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9.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9.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9.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9.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9.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9.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9.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9.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9.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9.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9.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9.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9.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9.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9.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9.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9.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9.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9.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9.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9.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9.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9.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9.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9.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9.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9.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9.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9.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9.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9.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9.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9.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9.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9.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9.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9.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9.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9.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9.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9.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9.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9.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9.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9.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9.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9.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9.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9.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9.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9.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9.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9.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9.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9.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9.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9.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9.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9.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9.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9.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9.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9.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9.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9.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9.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9.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9.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9.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9.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9.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9.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9.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9.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9.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9.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9.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9.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9.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9.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9.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9.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9.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9.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9.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9.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9.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9.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9.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9.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9.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9.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9.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9.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9.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9.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9.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9.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9.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9.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9.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9.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9.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9.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9.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9.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9.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9.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9.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9.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9.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9.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9.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9.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9.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9.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9.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9.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9.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9.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9.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9.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9.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9.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9.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9.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9.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9.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9.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9.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9.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9.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9.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9.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9.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9.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9.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9.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9.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9.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9.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9.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9.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9.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9.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9.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9.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9.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9.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9.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9.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9.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9.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9.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9.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9.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9.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9.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9.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9.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9.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9.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9.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9.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9.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9.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9.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9.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9.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9.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9.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9.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9.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9.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9.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9.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9.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9.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9.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9.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9.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9.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9.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9.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9.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9.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9.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9.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9.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9.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9.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9.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9.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9.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9.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9.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9.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9.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9.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9.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9.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9.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9.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9.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9.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9.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9.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9.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9.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9.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9.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9.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9.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9.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9.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9.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9.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9.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9.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9.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9.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9.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9.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9.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9.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9.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9.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9.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9.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9.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9.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9.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9.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9.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9.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9.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9.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9.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9.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9.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9.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9.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9.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9.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9.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9.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9.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9.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9.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9.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9.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9.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9.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9.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9.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9.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9.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9.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9.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9.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9.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9.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9.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9.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9.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9.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9.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9.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9.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9.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9.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9.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9.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9.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9.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9.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9.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9.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9.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9.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9.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9.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9.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9.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9.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9.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9.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9.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9.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9.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9.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9.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9.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9.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9.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9.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9.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9.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9.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9.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9.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9.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1">
    <mergeCell ref="C115:K115"/>
    <mergeCell ref="C116:K116"/>
    <mergeCell ref="C118:K118"/>
    <mergeCell ref="C119:K119"/>
    <mergeCell ref="A1:L1"/>
    <mergeCell ref="C4:K4"/>
    <mergeCell ref="C5:K5"/>
    <mergeCell ref="C111:K111"/>
    <mergeCell ref="C112:K112"/>
    <mergeCell ref="C113:K113"/>
    <mergeCell ref="C114:K114"/>
  </mergeCells>
  <pageMargins left="1" right="1" top="1" bottom="1" header="0" footer="0"/>
  <pageSetup orientation="portrait"/>
  <headerFooter>
    <oddFooter>&amp;C 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Z1000"/>
  <sheetViews>
    <sheetView showGridLines="0" workbookViewId="0">
      <pane xSplit="2" ySplit="3" topLeftCell="C4" activePane="bottomRight" state="frozen"/>
      <selection pane="topRight" activeCell="C1" sqref="C1"/>
      <selection pane="bottomLeft" activeCell="A4" sqref="A4"/>
      <selection pane="bottomRight" activeCell="C4" sqref="C4"/>
    </sheetView>
  </sheetViews>
  <sheetFormatPr baseColWidth="10" defaultColWidth="14.42578125" defaultRowHeight="15" customHeight="1"/>
  <cols>
    <col min="1" max="1" width="6.7109375" customWidth="1"/>
    <col min="2" max="2" width="33.28515625" customWidth="1"/>
    <col min="3" max="12" width="13.28515625" customWidth="1"/>
    <col min="13" max="26" width="16.28515625" customWidth="1"/>
  </cols>
  <sheetData>
    <row r="1" spans="1:26" ht="27" customHeight="1">
      <c r="A1" s="155" t="s">
        <v>307</v>
      </c>
      <c r="B1" s="156"/>
      <c r="C1" s="156"/>
      <c r="D1" s="156"/>
      <c r="E1" s="156"/>
      <c r="F1" s="156"/>
      <c r="G1" s="156"/>
      <c r="H1" s="156"/>
      <c r="I1" s="156"/>
      <c r="J1" s="156"/>
      <c r="K1" s="156"/>
      <c r="L1" s="156"/>
      <c r="M1" s="1"/>
      <c r="N1" s="1"/>
      <c r="O1" s="1"/>
      <c r="P1" s="1"/>
      <c r="Q1" s="1"/>
      <c r="R1" s="1"/>
      <c r="S1" s="1"/>
      <c r="T1" s="1"/>
      <c r="U1" s="1"/>
      <c r="V1" s="1"/>
      <c r="W1" s="1"/>
      <c r="X1" s="1"/>
      <c r="Y1" s="1"/>
      <c r="Z1" s="1"/>
    </row>
    <row r="2" spans="1:26" ht="19.5" customHeight="1">
      <c r="A2" s="2"/>
      <c r="B2" s="2"/>
      <c r="C2" s="3" t="s">
        <v>1</v>
      </c>
      <c r="D2" s="3" t="s">
        <v>2</v>
      </c>
      <c r="E2" s="3" t="s">
        <v>3</v>
      </c>
      <c r="F2" s="3" t="s">
        <v>4</v>
      </c>
      <c r="G2" s="3" t="s">
        <v>5</v>
      </c>
      <c r="H2" s="3" t="s">
        <v>6</v>
      </c>
      <c r="I2" s="3" t="s">
        <v>7</v>
      </c>
      <c r="J2" s="3" t="s">
        <v>8</v>
      </c>
      <c r="K2" s="3" t="s">
        <v>9</v>
      </c>
      <c r="L2" s="2"/>
      <c r="M2" s="1"/>
      <c r="N2" s="1"/>
      <c r="O2" s="1"/>
      <c r="P2" s="1"/>
      <c r="Q2" s="1"/>
      <c r="R2" s="1"/>
      <c r="S2" s="1"/>
      <c r="T2" s="1"/>
      <c r="U2" s="1"/>
      <c r="V2" s="1"/>
      <c r="W2" s="1"/>
      <c r="X2" s="1"/>
      <c r="Y2" s="1"/>
      <c r="Z2" s="1"/>
    </row>
    <row r="3" spans="1:26" ht="32.25" customHeight="1">
      <c r="A3" s="23"/>
      <c r="B3" s="46" t="str">
        <f t="array" ref="B3">overview!C11&amp;" / "&amp;overview!C12</f>
        <v>FR / France</v>
      </c>
      <c r="C3" s="47" t="s">
        <v>10</v>
      </c>
      <c r="D3" s="47" t="s">
        <v>11</v>
      </c>
      <c r="E3" s="47" t="s">
        <v>12</v>
      </c>
      <c r="F3" s="47" t="s">
        <v>13</v>
      </c>
      <c r="G3" s="47" t="s">
        <v>14</v>
      </c>
      <c r="H3" s="47" t="s">
        <v>15</v>
      </c>
      <c r="I3" s="47" t="s">
        <v>16</v>
      </c>
      <c r="J3" s="47" t="s">
        <v>17</v>
      </c>
      <c r="K3" s="47" t="s">
        <v>18</v>
      </c>
      <c r="L3" s="6" t="s">
        <v>19</v>
      </c>
      <c r="M3" s="1"/>
      <c r="N3" s="1"/>
      <c r="O3" s="1"/>
      <c r="P3" s="1"/>
      <c r="Q3" s="1"/>
      <c r="R3" s="1"/>
      <c r="S3" s="1"/>
      <c r="T3" s="1"/>
      <c r="U3" s="1"/>
      <c r="V3" s="1"/>
      <c r="W3" s="1"/>
      <c r="X3" s="1"/>
      <c r="Y3" s="1"/>
      <c r="Z3" s="1"/>
    </row>
    <row r="4" spans="1:26" ht="33" customHeight="1">
      <c r="A4" s="48"/>
      <c r="B4" s="49" t="s">
        <v>93</v>
      </c>
      <c r="C4" s="184" t="s">
        <v>94</v>
      </c>
      <c r="D4" s="158"/>
      <c r="E4" s="158"/>
      <c r="F4" s="158"/>
      <c r="G4" s="158"/>
      <c r="H4" s="158"/>
      <c r="I4" s="158"/>
      <c r="J4" s="158"/>
      <c r="K4" s="159"/>
      <c r="L4" s="50"/>
      <c r="M4" s="1"/>
      <c r="N4" s="1"/>
      <c r="O4" s="1"/>
      <c r="P4" s="1"/>
      <c r="Q4" s="1"/>
      <c r="R4" s="1"/>
      <c r="S4" s="1"/>
      <c r="T4" s="1"/>
      <c r="U4" s="1"/>
      <c r="V4" s="1"/>
      <c r="W4" s="1"/>
      <c r="X4" s="1"/>
      <c r="Y4" s="1"/>
      <c r="Z4" s="1"/>
    </row>
    <row r="5" spans="1:26" ht="26.25" customHeight="1">
      <c r="A5" s="51"/>
      <c r="B5" s="52" t="s">
        <v>308</v>
      </c>
      <c r="C5" s="160" t="s">
        <v>309</v>
      </c>
      <c r="D5" s="161"/>
      <c r="E5" s="161"/>
      <c r="F5" s="161"/>
      <c r="G5" s="161"/>
      <c r="H5" s="161"/>
      <c r="I5" s="161"/>
      <c r="J5" s="161"/>
      <c r="K5" s="162"/>
      <c r="L5" s="21"/>
      <c r="M5" s="1"/>
      <c r="N5" s="1"/>
      <c r="O5" s="1"/>
      <c r="P5" s="1"/>
      <c r="Q5" s="1"/>
      <c r="R5" s="1"/>
      <c r="S5" s="1"/>
      <c r="T5" s="1"/>
      <c r="U5" s="1"/>
      <c r="V5" s="1"/>
      <c r="W5" s="1"/>
      <c r="X5" s="1"/>
      <c r="Y5" s="1"/>
      <c r="Z5" s="1"/>
    </row>
    <row r="6" spans="1:26" ht="19.5" customHeight="1">
      <c r="A6" s="23"/>
      <c r="B6" s="24"/>
      <c r="C6" s="66"/>
      <c r="D6" s="66"/>
      <c r="E6" s="66"/>
      <c r="F6" s="66"/>
      <c r="G6" s="66"/>
      <c r="H6" s="66"/>
      <c r="I6" s="66"/>
      <c r="J6" s="67"/>
      <c r="K6" s="67"/>
      <c r="L6" s="53"/>
      <c r="M6" s="1"/>
      <c r="N6" s="1"/>
      <c r="O6" s="1"/>
      <c r="P6" s="1"/>
      <c r="Q6" s="1"/>
      <c r="R6" s="1"/>
      <c r="S6" s="1"/>
      <c r="T6" s="1"/>
      <c r="U6" s="1"/>
      <c r="V6" s="1"/>
      <c r="W6" s="1"/>
      <c r="X6" s="1"/>
      <c r="Y6" s="1"/>
      <c r="Z6" s="1"/>
    </row>
    <row r="7" spans="1:26" ht="19.5" customHeight="1">
      <c r="A7" s="68" t="s">
        <v>310</v>
      </c>
      <c r="B7" s="29" t="s">
        <v>311</v>
      </c>
      <c r="C7" s="69">
        <v>2024</v>
      </c>
      <c r="D7" s="70">
        <v>1.7</v>
      </c>
      <c r="E7" s="69"/>
      <c r="F7" s="70">
        <v>2.2999999999999998</v>
      </c>
      <c r="G7" s="69"/>
      <c r="H7" s="71"/>
      <c r="I7" s="72"/>
      <c r="J7" s="73"/>
      <c r="K7" s="73"/>
      <c r="L7" s="53"/>
      <c r="M7" s="1"/>
      <c r="N7" s="1"/>
      <c r="O7" s="1"/>
      <c r="P7" s="1"/>
      <c r="Q7" s="1"/>
      <c r="R7" s="1"/>
      <c r="S7" s="1"/>
      <c r="T7" s="1"/>
      <c r="U7" s="1"/>
      <c r="V7" s="1"/>
      <c r="W7" s="1"/>
      <c r="X7" s="1"/>
      <c r="Y7" s="1"/>
      <c r="Z7" s="1"/>
    </row>
    <row r="8" spans="1:26" ht="19.5" customHeight="1">
      <c r="A8" s="2"/>
      <c r="B8" s="22" t="s">
        <v>312</v>
      </c>
      <c r="C8" s="56">
        <f t="array" ref="C8">population!C9</f>
        <v>613930</v>
      </c>
      <c r="D8" s="56">
        <f t="array" ref="D8">population!D9</f>
        <v>223160</v>
      </c>
      <c r="E8" s="56">
        <f t="array" ref="E8">population!E9</f>
        <v>236773</v>
      </c>
      <c r="F8" s="56">
        <f t="array" ref="F8">population!F9</f>
        <v>76749</v>
      </c>
      <c r="G8" s="56">
        <f t="array" ref="G8">population!G9</f>
        <v>77248</v>
      </c>
      <c r="H8" s="56">
        <f t="array" ref="H8">population!H9</f>
        <v>459933</v>
      </c>
      <c r="I8" s="56">
        <f t="array" ref="I8">population!I9</f>
        <v>153997</v>
      </c>
      <c r="J8" s="56">
        <f t="array" ref="J8">population!J9</f>
        <v>299909</v>
      </c>
      <c r="K8" s="56">
        <f t="array" ref="K8">population!K9</f>
        <v>314021</v>
      </c>
      <c r="L8" s="53"/>
      <c r="M8" s="1"/>
      <c r="N8" s="1"/>
      <c r="O8" s="1"/>
      <c r="P8" s="1"/>
      <c r="Q8" s="1"/>
      <c r="R8" s="1"/>
      <c r="S8" s="1"/>
      <c r="T8" s="1"/>
      <c r="U8" s="1"/>
      <c r="V8" s="1"/>
      <c r="W8" s="1"/>
      <c r="X8" s="1"/>
      <c r="Y8" s="1"/>
      <c r="Z8" s="1"/>
    </row>
    <row r="9" spans="1:26" ht="19.5" customHeight="1">
      <c r="A9" s="2"/>
      <c r="B9" s="22" t="s">
        <v>313</v>
      </c>
      <c r="C9" s="73"/>
      <c r="D9" s="56">
        <f t="array" ref="D9">SUM(population!D24:D58)</f>
        <v>10974207</v>
      </c>
      <c r="E9" s="73"/>
      <c r="F9" s="56">
        <f t="array" ref="F9">SUM(population!F24:F58)</f>
        <v>3631738</v>
      </c>
      <c r="G9" s="73"/>
      <c r="H9" s="73"/>
      <c r="I9" s="73"/>
      <c r="J9" s="67"/>
      <c r="K9" s="67"/>
      <c r="L9" s="53"/>
      <c r="M9" s="1"/>
      <c r="N9" s="1"/>
      <c r="O9" s="1"/>
      <c r="P9" s="1"/>
      <c r="Q9" s="1"/>
      <c r="R9" s="1"/>
      <c r="S9" s="1"/>
      <c r="T9" s="1"/>
      <c r="U9" s="1"/>
      <c r="V9" s="1"/>
      <c r="W9" s="1"/>
      <c r="X9" s="1"/>
      <c r="Y9" s="1"/>
      <c r="Z9" s="1"/>
    </row>
    <row r="10" spans="1:26" ht="19.5" customHeight="1">
      <c r="A10" s="2"/>
      <c r="B10" s="22" t="s">
        <v>314</v>
      </c>
      <c r="C10" s="56">
        <f t="array" ref="C10">D10+F10</f>
        <v>27009149.299999997</v>
      </c>
      <c r="D10" s="56">
        <f t="array" ref="D10">D9*D7</f>
        <v>18656151.899999999</v>
      </c>
      <c r="E10" s="73"/>
      <c r="F10" s="56">
        <f t="array" ref="F10">F9*F7</f>
        <v>8352997.3999999994</v>
      </c>
      <c r="G10" s="73"/>
      <c r="H10" s="73"/>
      <c r="I10" s="73"/>
      <c r="J10" s="67"/>
      <c r="K10" s="67"/>
      <c r="L10" s="53"/>
      <c r="M10" s="1"/>
      <c r="N10" s="1"/>
      <c r="O10" s="1"/>
      <c r="P10" s="1"/>
      <c r="Q10" s="1"/>
      <c r="R10" s="1"/>
      <c r="S10" s="1"/>
      <c r="T10" s="1"/>
      <c r="U10" s="1"/>
      <c r="V10" s="1"/>
      <c r="W10" s="1"/>
      <c r="X10" s="1"/>
      <c r="Y10" s="1"/>
      <c r="Z10" s="1"/>
    </row>
    <row r="11" spans="1:26" ht="19.5" customHeight="1">
      <c r="A11" s="3" t="s">
        <v>315</v>
      </c>
      <c r="B11" s="22" t="s">
        <v>316</v>
      </c>
      <c r="C11" s="56">
        <f t="array" ref="C11">H11+I11</f>
        <v>613930</v>
      </c>
      <c r="D11" s="56">
        <f t="array" ref="D11">(D8+F8)*D10/C10</f>
        <v>207157.50052065135</v>
      </c>
      <c r="E11" s="56">
        <f t="array" ref="E11">(E8+G8)*D10/C10</f>
        <v>216905.14613097793</v>
      </c>
      <c r="F11" s="56">
        <f t="array" ref="F11">(D8+F8)*F10/C10</f>
        <v>92751.49947934864</v>
      </c>
      <c r="G11" s="56">
        <f t="array" ref="G11">(E8+G8)*F10/C10</f>
        <v>97115.853869022088</v>
      </c>
      <c r="H11" s="56">
        <f t="array" ref="H11">E11+D11</f>
        <v>424062.64665162924</v>
      </c>
      <c r="I11" s="56">
        <f t="array" ref="I11">G11+F11</f>
        <v>189867.35334837073</v>
      </c>
      <c r="J11" s="56">
        <f t="array" ref="J11">D11+F11</f>
        <v>299909</v>
      </c>
      <c r="K11" s="56">
        <f t="array" ref="K11">E11+G11</f>
        <v>314021</v>
      </c>
      <c r="L11" s="53"/>
      <c r="M11" s="1"/>
      <c r="N11" s="1"/>
      <c r="O11" s="1"/>
      <c r="P11" s="1"/>
      <c r="Q11" s="1"/>
      <c r="R11" s="1"/>
      <c r="S11" s="1"/>
      <c r="T11" s="1"/>
      <c r="U11" s="1"/>
      <c r="V11" s="1"/>
      <c r="W11" s="1"/>
      <c r="X11" s="1"/>
      <c r="Y11" s="1"/>
      <c r="Z11" s="1"/>
    </row>
    <row r="12" spans="1:26" ht="19.5" customHeight="1">
      <c r="A12" s="2"/>
      <c r="B12" s="17"/>
      <c r="C12" s="53"/>
      <c r="D12" s="53"/>
      <c r="E12" s="53"/>
      <c r="F12" s="53"/>
      <c r="G12" s="53"/>
      <c r="H12" s="53"/>
      <c r="I12" s="53"/>
      <c r="J12" s="53"/>
      <c r="K12" s="53"/>
      <c r="L12" s="53"/>
      <c r="M12" s="1"/>
      <c r="N12" s="1"/>
      <c r="O12" s="1"/>
      <c r="P12" s="1"/>
      <c r="Q12" s="1"/>
      <c r="R12" s="1"/>
      <c r="S12" s="1"/>
      <c r="T12" s="1"/>
      <c r="U12" s="1"/>
      <c r="V12" s="1"/>
      <c r="W12" s="1"/>
      <c r="X12" s="1"/>
      <c r="Y12" s="1"/>
      <c r="Z12" s="1"/>
    </row>
    <row r="13" spans="1:26" ht="19.5" customHeight="1">
      <c r="A13" s="3" t="s">
        <v>317</v>
      </c>
      <c r="B13" s="22" t="s">
        <v>76</v>
      </c>
      <c r="C13" s="163" t="str">
        <f t="array" ref="C13">IF(C14="","?",C14)&amp;IF(C15="","","; downloaded "&amp;C15)&amp;IF(C16="","","; "&amp;C16)</f>
        <v>https://www.insee.fr/fr/statistiques/6801884, https://www.insee.fr/fr/statistiques/6793238; downloaded 2026-05-22</v>
      </c>
      <c r="D13" s="164"/>
      <c r="E13" s="164"/>
      <c r="F13" s="164"/>
      <c r="G13" s="164"/>
      <c r="H13" s="164"/>
      <c r="I13" s="164"/>
      <c r="J13" s="164"/>
      <c r="K13" s="165"/>
      <c r="L13" s="13"/>
      <c r="M13" s="1"/>
      <c r="N13" s="1"/>
      <c r="O13" s="1"/>
      <c r="P13" s="1"/>
      <c r="Q13" s="1"/>
      <c r="R13" s="1"/>
      <c r="S13" s="1"/>
      <c r="T13" s="1"/>
      <c r="U13" s="1"/>
      <c r="V13" s="1"/>
      <c r="W13" s="1"/>
      <c r="X13" s="1"/>
      <c r="Y13" s="1"/>
      <c r="Z13" s="1"/>
    </row>
    <row r="14" spans="1:26" ht="19.5" customHeight="1">
      <c r="A14" s="2"/>
      <c r="B14" s="22" t="s">
        <v>77</v>
      </c>
      <c r="C14" s="166" t="s">
        <v>318</v>
      </c>
      <c r="D14" s="164"/>
      <c r="E14" s="164"/>
      <c r="F14" s="164"/>
      <c r="G14" s="164"/>
      <c r="H14" s="164"/>
      <c r="I14" s="164"/>
      <c r="J14" s="164"/>
      <c r="K14" s="165"/>
      <c r="L14" s="13"/>
      <c r="M14" s="1"/>
      <c r="N14" s="1"/>
      <c r="O14" s="1"/>
      <c r="P14" s="1"/>
      <c r="Q14" s="1"/>
      <c r="R14" s="1"/>
      <c r="S14" s="1"/>
      <c r="T14" s="1"/>
      <c r="U14" s="1"/>
      <c r="V14" s="1"/>
      <c r="W14" s="1"/>
      <c r="X14" s="1"/>
      <c r="Y14" s="1"/>
      <c r="Z14" s="1"/>
    </row>
    <row r="15" spans="1:26" ht="19.5" customHeight="1">
      <c r="A15" s="23"/>
      <c r="B15" s="33" t="s">
        <v>79</v>
      </c>
      <c r="C15" s="166" t="s">
        <v>80</v>
      </c>
      <c r="D15" s="164"/>
      <c r="E15" s="164"/>
      <c r="F15" s="164"/>
      <c r="G15" s="164"/>
      <c r="H15" s="164"/>
      <c r="I15" s="164"/>
      <c r="J15" s="164"/>
      <c r="K15" s="165"/>
      <c r="L15" s="13"/>
      <c r="M15" s="1"/>
      <c r="N15" s="1"/>
      <c r="O15" s="1"/>
      <c r="P15" s="1"/>
      <c r="Q15" s="1"/>
      <c r="R15" s="1"/>
      <c r="S15" s="1"/>
      <c r="T15" s="1"/>
      <c r="U15" s="1"/>
      <c r="V15" s="1"/>
      <c r="W15" s="1"/>
      <c r="X15" s="1"/>
      <c r="Y15" s="1"/>
      <c r="Z15" s="1"/>
    </row>
    <row r="16" spans="1:26" ht="19.5" customHeight="1">
      <c r="A16" s="11"/>
      <c r="B16" s="12" t="s">
        <v>81</v>
      </c>
      <c r="C16" s="171"/>
      <c r="D16" s="164"/>
      <c r="E16" s="164"/>
      <c r="F16" s="164"/>
      <c r="G16" s="164"/>
      <c r="H16" s="164"/>
      <c r="I16" s="164"/>
      <c r="J16" s="164"/>
      <c r="K16" s="165"/>
      <c r="L16" s="13"/>
      <c r="M16" s="1"/>
      <c r="N16" s="1"/>
      <c r="O16" s="1"/>
      <c r="P16" s="1"/>
      <c r="Q16" s="1"/>
      <c r="R16" s="1"/>
      <c r="S16" s="1"/>
      <c r="T16" s="1"/>
      <c r="U16" s="1"/>
      <c r="V16" s="1"/>
      <c r="W16" s="1"/>
      <c r="X16" s="1"/>
      <c r="Y16" s="1"/>
      <c r="Z16" s="1"/>
    </row>
    <row r="17" spans="1:26" ht="19.5" customHeight="1">
      <c r="A17" s="11"/>
      <c r="B17" s="12" t="s">
        <v>82</v>
      </c>
      <c r="C17" s="171" t="s">
        <v>319</v>
      </c>
      <c r="D17" s="164"/>
      <c r="E17" s="164"/>
      <c r="F17" s="164"/>
      <c r="G17" s="164"/>
      <c r="H17" s="164"/>
      <c r="I17" s="164"/>
      <c r="J17" s="164"/>
      <c r="K17" s="165"/>
      <c r="L17" s="13"/>
      <c r="M17" s="1"/>
      <c r="N17" s="1"/>
      <c r="O17" s="1"/>
      <c r="P17" s="1"/>
      <c r="Q17" s="1"/>
      <c r="R17" s="1"/>
      <c r="S17" s="1"/>
      <c r="T17" s="1"/>
      <c r="U17" s="1"/>
      <c r="V17" s="1"/>
      <c r="W17" s="1"/>
      <c r="X17" s="1"/>
      <c r="Y17" s="1"/>
      <c r="Z17" s="1"/>
    </row>
    <row r="18" spans="1:26" ht="19.5" customHeight="1">
      <c r="A18" s="11"/>
      <c r="B18" s="12" t="s">
        <v>84</v>
      </c>
      <c r="C18" s="171"/>
      <c r="D18" s="164"/>
      <c r="E18" s="164"/>
      <c r="F18" s="164"/>
      <c r="G18" s="164"/>
      <c r="H18" s="164"/>
      <c r="I18" s="164"/>
      <c r="J18" s="164"/>
      <c r="K18" s="165"/>
      <c r="L18" s="13"/>
      <c r="M18" s="1"/>
      <c r="N18" s="1"/>
      <c r="O18" s="1"/>
      <c r="P18" s="1"/>
      <c r="Q18" s="1"/>
      <c r="R18" s="1"/>
      <c r="S18" s="1"/>
      <c r="T18" s="1"/>
      <c r="U18" s="1"/>
      <c r="V18" s="1"/>
      <c r="W18" s="1"/>
      <c r="X18" s="1"/>
      <c r="Y18" s="1"/>
      <c r="Z18" s="1"/>
    </row>
    <row r="19" spans="1:26" ht="19.5" customHeight="1">
      <c r="A19" s="15"/>
      <c r="B19" s="16"/>
      <c r="C19" s="13"/>
      <c r="D19" s="13"/>
      <c r="E19" s="13"/>
      <c r="F19" s="13"/>
      <c r="G19" s="13"/>
      <c r="H19" s="13"/>
      <c r="I19" s="13"/>
      <c r="J19" s="13"/>
      <c r="K19" s="13"/>
      <c r="L19" s="13"/>
      <c r="M19" s="1"/>
      <c r="N19" s="1"/>
      <c r="O19" s="1"/>
      <c r="P19" s="1"/>
      <c r="Q19" s="1"/>
      <c r="R19" s="1"/>
      <c r="S19" s="1"/>
      <c r="T19" s="1"/>
      <c r="U19" s="1"/>
      <c r="V19" s="1"/>
      <c r="W19" s="1"/>
      <c r="X19" s="1"/>
      <c r="Y19" s="1"/>
      <c r="Z19" s="1"/>
    </row>
    <row r="20" spans="1:26" ht="26.25" customHeight="1">
      <c r="A20" s="19"/>
      <c r="B20" s="20" t="s">
        <v>320</v>
      </c>
      <c r="C20" s="185" t="s">
        <v>321</v>
      </c>
      <c r="D20" s="164"/>
      <c r="E20" s="164"/>
      <c r="F20" s="164"/>
      <c r="G20" s="164"/>
      <c r="H20" s="164"/>
      <c r="I20" s="164"/>
      <c r="J20" s="164"/>
      <c r="K20" s="165"/>
      <c r="L20" s="21"/>
      <c r="M20" s="1"/>
      <c r="N20" s="1"/>
      <c r="O20" s="1"/>
      <c r="P20" s="1"/>
      <c r="Q20" s="1"/>
      <c r="R20" s="1"/>
      <c r="S20" s="1"/>
      <c r="T20" s="1"/>
      <c r="U20" s="1"/>
      <c r="V20" s="1"/>
      <c r="W20" s="1"/>
      <c r="X20" s="1"/>
      <c r="Y20" s="1"/>
      <c r="Z20" s="1"/>
    </row>
    <row r="21" spans="1:26" ht="19.5" customHeight="1">
      <c r="A21" s="2"/>
      <c r="B21" s="17"/>
      <c r="C21" s="53"/>
      <c r="D21" s="53"/>
      <c r="E21" s="53"/>
      <c r="F21" s="53"/>
      <c r="G21" s="53"/>
      <c r="H21" s="53"/>
      <c r="I21" s="53"/>
      <c r="J21" s="53"/>
      <c r="K21" s="53"/>
      <c r="L21" s="53"/>
      <c r="M21" s="1"/>
      <c r="N21" s="1"/>
      <c r="O21" s="1"/>
      <c r="P21" s="1"/>
      <c r="Q21" s="1"/>
      <c r="R21" s="1"/>
      <c r="S21" s="1"/>
      <c r="T21" s="1"/>
      <c r="U21" s="1"/>
      <c r="V21" s="1"/>
      <c r="W21" s="1"/>
      <c r="X21" s="1"/>
      <c r="Y21" s="1"/>
      <c r="Z21" s="1"/>
    </row>
    <row r="22" spans="1:26" ht="19.5" customHeight="1">
      <c r="A22" s="3" t="s">
        <v>322</v>
      </c>
      <c r="B22" s="22" t="s">
        <v>323</v>
      </c>
      <c r="C22" s="56">
        <f t="array" ref="C22">D22+E22+F22+G22</f>
        <v>362.33305065795645</v>
      </c>
      <c r="D22" s="56">
        <f t="array" ref="D22">D$11*$H22/$H$57</f>
        <v>92.394558486798672</v>
      </c>
      <c r="E22" s="56">
        <f t="array" ref="E22">E$11*$H22/$H$57</f>
        <v>96.742117277517536</v>
      </c>
      <c r="F22" s="56">
        <f t="array" ref="F22">F$11*$I22/$I$57</f>
        <v>84.607612590974114</v>
      </c>
      <c r="G22" s="56">
        <f t="array" ref="G22">G$11*$I22/$I$57</f>
        <v>88.588762302666098</v>
      </c>
      <c r="H22" s="57">
        <f t="array" ref="H22">H74</f>
        <v>218</v>
      </c>
      <c r="I22" s="57">
        <f t="array" ref="I22">I74</f>
        <v>157</v>
      </c>
      <c r="J22" s="56">
        <f t="array" ref="J22">D22+F22</f>
        <v>177.0021710777728</v>
      </c>
      <c r="K22" s="56">
        <f t="array" ref="K22">E22+G22</f>
        <v>185.33087958018365</v>
      </c>
      <c r="L22" s="58"/>
      <c r="M22" s="1"/>
      <c r="N22" s="1"/>
      <c r="O22" s="1"/>
      <c r="P22" s="1"/>
      <c r="Q22" s="1"/>
      <c r="R22" s="1"/>
      <c r="S22" s="1"/>
      <c r="T22" s="1"/>
      <c r="U22" s="1"/>
      <c r="V22" s="1"/>
      <c r="W22" s="1"/>
      <c r="X22" s="1"/>
      <c r="Y22" s="1"/>
      <c r="Z22" s="1"/>
    </row>
    <row r="23" spans="1:26" ht="19.5" customHeight="1">
      <c r="A23" s="3" t="s">
        <v>324</v>
      </c>
      <c r="B23" s="22" t="s">
        <v>325</v>
      </c>
      <c r="C23" s="56">
        <f t="array" ref="C23">D23+E23+F23+G23</f>
        <v>890.84871685404698</v>
      </c>
      <c r="D23" s="56">
        <f t="array" ref="D23">D$11*$H23/$H$57</f>
        <v>264.89265621215213</v>
      </c>
      <c r="E23" s="56">
        <f t="array" ref="E23">E$11*$H23/$H$57</f>
        <v>277.35698760756173</v>
      </c>
      <c r="F23" s="56">
        <f t="array" ref="F23">F$11*$I23/$I$57</f>
        <v>170.29302916399885</v>
      </c>
      <c r="G23" s="56">
        <f t="array" ref="G23">G$11*$I23/$I$57</f>
        <v>178.30604387033432</v>
      </c>
      <c r="H23" s="57">
        <f t="array" ref="H23">H75</f>
        <v>625</v>
      </c>
      <c r="I23" s="57">
        <f t="array" ref="I23">I75</f>
        <v>316</v>
      </c>
      <c r="J23" s="56">
        <f t="array" ref="J23">D23+F23</f>
        <v>435.18568537615101</v>
      </c>
      <c r="K23" s="56">
        <f t="array" ref="K23">E23+G23</f>
        <v>455.66303147789608</v>
      </c>
      <c r="L23" s="58"/>
      <c r="M23" s="1"/>
      <c r="N23" s="1"/>
      <c r="O23" s="1"/>
      <c r="P23" s="1"/>
      <c r="Q23" s="1"/>
      <c r="R23" s="1"/>
      <c r="S23" s="1"/>
      <c r="T23" s="1"/>
      <c r="U23" s="1"/>
      <c r="V23" s="1"/>
      <c r="W23" s="1"/>
      <c r="X23" s="1"/>
      <c r="Y23" s="1"/>
      <c r="Z23" s="1"/>
    </row>
    <row r="24" spans="1:26" ht="19.5" customHeight="1">
      <c r="A24" s="3" t="s">
        <v>326</v>
      </c>
      <c r="B24" s="22" t="s">
        <v>327</v>
      </c>
      <c r="C24" s="56">
        <f t="array" ref="C24">D24+E24+F24+G24</f>
        <v>1557.398955944192</v>
      </c>
      <c r="D24" s="56">
        <f t="array" ref="D24">D$11*$H24/$H$57</f>
        <v>508.59389992733213</v>
      </c>
      <c r="E24" s="56">
        <f t="array" ref="E24">E$11*$H24/$H$57</f>
        <v>532.52541620651857</v>
      </c>
      <c r="F24" s="56">
        <f t="array" ref="F24">F$11*$I24/$I$57</f>
        <v>252.20613179984639</v>
      </c>
      <c r="G24" s="56">
        <f t="array" ref="G24">G$11*$I24/$I$57</f>
        <v>264.07350801049512</v>
      </c>
      <c r="H24" s="57">
        <f t="array" ref="H24">H76</f>
        <v>1200</v>
      </c>
      <c r="I24" s="57">
        <f t="array" ref="I24">I76</f>
        <v>468</v>
      </c>
      <c r="J24" s="56">
        <f t="array" ref="J24">D24+F24</f>
        <v>760.80003172717852</v>
      </c>
      <c r="K24" s="56">
        <f t="array" ref="K24">E24+G24</f>
        <v>796.59892421701375</v>
      </c>
      <c r="L24" s="58"/>
      <c r="M24" s="1"/>
      <c r="N24" s="1"/>
      <c r="O24" s="1"/>
      <c r="P24" s="1"/>
      <c r="Q24" s="1"/>
      <c r="R24" s="1"/>
      <c r="S24" s="1"/>
      <c r="T24" s="1"/>
      <c r="U24" s="1"/>
      <c r="V24" s="1"/>
      <c r="W24" s="1"/>
      <c r="X24" s="1"/>
      <c r="Y24" s="1"/>
      <c r="Z24" s="1"/>
    </row>
    <row r="25" spans="1:26" ht="19.5" customHeight="1">
      <c r="A25" s="3" t="s">
        <v>328</v>
      </c>
      <c r="B25" s="22" t="s">
        <v>329</v>
      </c>
      <c r="C25" s="56">
        <f t="array" ref="C25">D25+E25+F25+G25</f>
        <v>2836.6336201140193</v>
      </c>
      <c r="D25" s="56">
        <f t="array" ref="D25">D$11*$H25/$H$57</f>
        <v>971.83817711114386</v>
      </c>
      <c r="E25" s="56">
        <f t="array" ref="E25">E$11*$H25/$H$57</f>
        <v>1017.5673161346225</v>
      </c>
      <c r="F25" s="56">
        <f t="array" ref="F25">F$11*$I25/$I$57</f>
        <v>413.87672910744021</v>
      </c>
      <c r="G25" s="56">
        <f t="array" ref="G25">G$11*$I25/$I$57</f>
        <v>433.35139776081252</v>
      </c>
      <c r="H25" s="57">
        <f t="array" ref="H25">H77</f>
        <v>2293</v>
      </c>
      <c r="I25" s="57">
        <f t="array" ref="I25">I77</f>
        <v>768</v>
      </c>
      <c r="J25" s="56">
        <f t="array" ref="J25">D25+F25</f>
        <v>1385.714906218584</v>
      </c>
      <c r="K25" s="56">
        <f t="array" ref="K25">E25+G25</f>
        <v>1450.9187138954351</v>
      </c>
      <c r="L25" s="58"/>
      <c r="M25" s="1"/>
      <c r="N25" s="1"/>
      <c r="O25" s="1"/>
      <c r="P25" s="1"/>
      <c r="Q25" s="1"/>
      <c r="R25" s="1"/>
      <c r="S25" s="1"/>
      <c r="T25" s="1"/>
      <c r="U25" s="1"/>
      <c r="V25" s="1"/>
      <c r="W25" s="1"/>
      <c r="X25" s="1"/>
      <c r="Y25" s="1"/>
      <c r="Z25" s="1"/>
    </row>
    <row r="26" spans="1:26" ht="19.5" customHeight="1">
      <c r="A26" s="3" t="s">
        <v>330</v>
      </c>
      <c r="B26" s="22" t="s">
        <v>331</v>
      </c>
      <c r="C26" s="56">
        <f t="array" ref="C26">D26+E26+F26+G26</f>
        <v>5200.0257968359801</v>
      </c>
      <c r="D26" s="56">
        <f t="array" ref="D26">D$11*$H26/$H$57</f>
        <v>1830.5142114884561</v>
      </c>
      <c r="E26" s="56">
        <f t="array" ref="E26">E$11*$H26/$H$57</f>
        <v>1916.6477271632946</v>
      </c>
      <c r="F26" s="56">
        <f t="array" ref="F26">F$11*$I26/$I$57</f>
        <v>709.733922180337</v>
      </c>
      <c r="G26" s="56">
        <f t="array" ref="G26">G$11*$I26/$I$57</f>
        <v>743.12993600389336</v>
      </c>
      <c r="H26" s="57">
        <f t="array" ref="H26">H78</f>
        <v>4319</v>
      </c>
      <c r="I26" s="57">
        <f t="array" ref="I26">I78</f>
        <v>1317</v>
      </c>
      <c r="J26" s="56">
        <f t="array" ref="J26">D26+F26</f>
        <v>2540.2481336687933</v>
      </c>
      <c r="K26" s="56">
        <f t="array" ref="K26">E26+G26</f>
        <v>2659.7776631671877</v>
      </c>
      <c r="L26" s="58"/>
      <c r="M26" s="1"/>
      <c r="N26" s="1"/>
      <c r="O26" s="1"/>
      <c r="P26" s="1"/>
      <c r="Q26" s="1"/>
      <c r="R26" s="1"/>
      <c r="S26" s="1"/>
      <c r="T26" s="1"/>
      <c r="U26" s="1"/>
      <c r="V26" s="1"/>
      <c r="W26" s="1"/>
      <c r="X26" s="1"/>
      <c r="Y26" s="1"/>
      <c r="Z26" s="1"/>
    </row>
    <row r="27" spans="1:26" ht="19.5" customHeight="1">
      <c r="A27" s="3" t="s">
        <v>332</v>
      </c>
      <c r="B27" s="22" t="s">
        <v>333</v>
      </c>
      <c r="C27" s="56">
        <f t="array" ref="C27">D27+E27+F27+G27</f>
        <v>7672.0204799469666</v>
      </c>
      <c r="D27" s="56">
        <f t="array" ref="D27">D$11*$H27/$H$57</f>
        <v>2618.8347563758211</v>
      </c>
      <c r="E27" s="56">
        <f t="array" ref="E27">E$11*$H27/$H$57</f>
        <v>2742.0621222833984</v>
      </c>
      <c r="F27" s="56">
        <f t="array" ref="F27">F$11*$I27/$I$57</f>
        <v>1128.9996711980302</v>
      </c>
      <c r="G27" s="56">
        <f t="array" ref="G27">G$11*$I27/$I$57</f>
        <v>1182.1239300897164</v>
      </c>
      <c r="H27" s="57">
        <f t="array" ref="H27">H79</f>
        <v>6179</v>
      </c>
      <c r="I27" s="57">
        <f t="array" ref="I27">I79</f>
        <v>2095</v>
      </c>
      <c r="J27" s="56">
        <f t="array" ref="J27">D27+F27</f>
        <v>3747.8344275738514</v>
      </c>
      <c r="K27" s="56">
        <f t="array" ref="K27">E27+G27</f>
        <v>3924.1860523731148</v>
      </c>
      <c r="L27" s="58"/>
      <c r="M27" s="1"/>
      <c r="N27" s="1"/>
      <c r="O27" s="1"/>
      <c r="P27" s="1"/>
      <c r="Q27" s="1"/>
      <c r="R27" s="1"/>
      <c r="S27" s="1"/>
      <c r="T27" s="1"/>
      <c r="U27" s="1"/>
      <c r="V27" s="1"/>
      <c r="W27" s="1"/>
      <c r="X27" s="1"/>
      <c r="Y27" s="1"/>
      <c r="Z27" s="1"/>
    </row>
    <row r="28" spans="1:26" ht="19.5" customHeight="1">
      <c r="A28" s="3" t="s">
        <v>334</v>
      </c>
      <c r="B28" s="22" t="s">
        <v>335</v>
      </c>
      <c r="C28" s="56">
        <f t="array" ref="C28">D28+E28+F28+G28</f>
        <v>10299.551023241333</v>
      </c>
      <c r="D28" s="56">
        <f t="array" ref="D28">D$11*$H28/$H$57</f>
        <v>3482.5967297524066</v>
      </c>
      <c r="E28" s="56">
        <f t="array" ref="E28">E$11*$H28/$H$57</f>
        <v>3646.467787474136</v>
      </c>
      <c r="F28" s="56">
        <f t="array" ref="F28">F$11*$I28/$I$57</f>
        <v>1548.804322206749</v>
      </c>
      <c r="G28" s="56">
        <f t="array" ref="G28">G$11*$I28/$I$57</f>
        <v>1621.6821838080405</v>
      </c>
      <c r="H28" s="57">
        <f t="array" ref="H28">H80</f>
        <v>8217</v>
      </c>
      <c r="I28" s="57">
        <f t="array" ref="I28">I80</f>
        <v>2874</v>
      </c>
      <c r="J28" s="56">
        <f t="array" ref="J28">D28+F28</f>
        <v>5031.4010519591557</v>
      </c>
      <c r="K28" s="56">
        <f t="array" ref="K28">E28+G28</f>
        <v>5268.1499712821769</v>
      </c>
      <c r="L28" s="58"/>
      <c r="M28" s="1"/>
      <c r="N28" s="1"/>
      <c r="O28" s="1"/>
      <c r="P28" s="1"/>
      <c r="Q28" s="1"/>
      <c r="R28" s="1"/>
      <c r="S28" s="1"/>
      <c r="T28" s="1"/>
      <c r="U28" s="1"/>
      <c r="V28" s="1"/>
      <c r="W28" s="1"/>
      <c r="X28" s="1"/>
      <c r="Y28" s="1"/>
      <c r="Z28" s="1"/>
    </row>
    <row r="29" spans="1:26" ht="19.5" customHeight="1">
      <c r="A29" s="3" t="s">
        <v>336</v>
      </c>
      <c r="B29" s="22" t="s">
        <v>337</v>
      </c>
      <c r="C29" s="56">
        <f t="array" ref="C29">D29+E29+F29+G29</f>
        <v>12999.473901177482</v>
      </c>
      <c r="D29" s="56">
        <f t="array" ref="D29">D$11*$H29/$H$57</f>
        <v>4495.9700753576162</v>
      </c>
      <c r="E29" s="56">
        <f t="array" ref="E29">E$11*$H29/$H$57</f>
        <v>4707.5246792656244</v>
      </c>
      <c r="F29" s="56">
        <f t="array" ref="F29">F$11*$I29/$I$57</f>
        <v>1854.3617511181017</v>
      </c>
      <c r="G29" s="56">
        <f t="array" ref="G29">G$11*$I29/$I$57</f>
        <v>1941.6173954361404</v>
      </c>
      <c r="H29" s="57">
        <f t="array" ref="H29">H81</f>
        <v>10608</v>
      </c>
      <c r="I29" s="57">
        <f t="array" ref="I29">I81</f>
        <v>3441</v>
      </c>
      <c r="J29" s="56">
        <f t="array" ref="J29">D29+F29</f>
        <v>6350.3318264757181</v>
      </c>
      <c r="K29" s="56">
        <f t="array" ref="K29">E29+G29</f>
        <v>6649.1420747017646</v>
      </c>
      <c r="L29" s="58"/>
      <c r="M29" s="1"/>
      <c r="N29" s="1"/>
      <c r="O29" s="1"/>
      <c r="P29" s="1"/>
      <c r="Q29" s="1"/>
      <c r="R29" s="1"/>
      <c r="S29" s="1"/>
      <c r="T29" s="1"/>
      <c r="U29" s="1"/>
      <c r="V29" s="1"/>
      <c r="W29" s="1"/>
      <c r="X29" s="1"/>
      <c r="Y29" s="1"/>
      <c r="Z29" s="1"/>
    </row>
    <row r="30" spans="1:26" ht="19.5" customHeight="1">
      <c r="A30" s="3" t="s">
        <v>338</v>
      </c>
      <c r="B30" s="22" t="s">
        <v>339</v>
      </c>
      <c r="C30" s="56">
        <f t="array" ref="C30">D30+E30+F30+G30</f>
        <v>17040.549457663245</v>
      </c>
      <c r="D30" s="56">
        <f t="array" ref="D30">D$11*$H30/$H$57</f>
        <v>5843.320081915107</v>
      </c>
      <c r="E30" s="56">
        <f t="array" ref="E30">E$11*$H30/$H$57</f>
        <v>6118.2732610327257</v>
      </c>
      <c r="F30" s="56">
        <f t="array" ref="F30">F$11*$I30/$I$57</f>
        <v>2481.1047666805403</v>
      </c>
      <c r="G30" s="56">
        <f t="array" ref="G30">G$11*$I30/$I$57</f>
        <v>2597.8513480348711</v>
      </c>
      <c r="H30" s="57">
        <f t="array" ref="H30">H82</f>
        <v>13787</v>
      </c>
      <c r="I30" s="57">
        <f t="array" ref="I30">I82</f>
        <v>4604</v>
      </c>
      <c r="J30" s="56">
        <f t="array" ref="J30">D30+F30</f>
        <v>8324.4248485956468</v>
      </c>
      <c r="K30" s="56">
        <f t="array" ref="K30">E30+G30</f>
        <v>8716.1246090675959</v>
      </c>
      <c r="L30" s="58"/>
      <c r="M30" s="1"/>
      <c r="N30" s="1"/>
      <c r="O30" s="1"/>
      <c r="P30" s="1"/>
      <c r="Q30" s="1"/>
      <c r="R30" s="1"/>
      <c r="S30" s="1"/>
      <c r="T30" s="1"/>
      <c r="U30" s="1"/>
      <c r="V30" s="1"/>
      <c r="W30" s="1"/>
      <c r="X30" s="1"/>
      <c r="Y30" s="1"/>
      <c r="Z30" s="1"/>
    </row>
    <row r="31" spans="1:26" ht="19.5" customHeight="1">
      <c r="A31" s="3" t="s">
        <v>340</v>
      </c>
      <c r="B31" s="22" t="s">
        <v>341</v>
      </c>
      <c r="C31" s="56">
        <f t="array" ref="C31">D31+E31+F31+G31</f>
        <v>21059.359376544442</v>
      </c>
      <c r="D31" s="56">
        <f t="array" ref="D31">D$11*$H31/$H$57</f>
        <v>7127.5196792316201</v>
      </c>
      <c r="E31" s="56">
        <f t="array" ref="E31">E$11*$H31/$H$57</f>
        <v>7462.8999369541853</v>
      </c>
      <c r="F31" s="56">
        <f t="array" ref="F31">F$11*$I31/$I$57</f>
        <v>3160.121275372434</v>
      </c>
      <c r="G31" s="56">
        <f t="array" ref="G31">G$11*$I31/$I$57</f>
        <v>3308.8184849862041</v>
      </c>
      <c r="H31" s="57">
        <f t="array" ref="H31">H83</f>
        <v>16817</v>
      </c>
      <c r="I31" s="57">
        <f t="array" ref="I31">I83</f>
        <v>5864</v>
      </c>
      <c r="J31" s="56">
        <f t="array" ref="J31">D31+F31</f>
        <v>10287.640954604054</v>
      </c>
      <c r="K31" s="56">
        <f t="array" ref="K31">E31+G31</f>
        <v>10771.71842194039</v>
      </c>
      <c r="L31" s="58"/>
      <c r="M31" s="1"/>
      <c r="N31" s="1"/>
      <c r="O31" s="1"/>
      <c r="P31" s="1"/>
      <c r="Q31" s="1"/>
      <c r="R31" s="1"/>
      <c r="S31" s="1"/>
      <c r="T31" s="1"/>
      <c r="U31" s="1"/>
      <c r="V31" s="1"/>
      <c r="W31" s="1"/>
      <c r="X31" s="1"/>
      <c r="Y31" s="1"/>
      <c r="Z31" s="1"/>
    </row>
    <row r="32" spans="1:26" ht="19.5" customHeight="1">
      <c r="A32" s="3" t="s">
        <v>342</v>
      </c>
      <c r="B32" s="22" t="s">
        <v>343</v>
      </c>
      <c r="C32" s="56">
        <f t="array" ref="C32">D32+E32+F32+G32</f>
        <v>24615.801926276854</v>
      </c>
      <c r="D32" s="56">
        <f t="array" ref="D32">D$11*$H32/$H$57</f>
        <v>8459.6118687912913</v>
      </c>
      <c r="E32" s="56">
        <f t="array" ref="E32">E$11*$H32/$H$57</f>
        <v>8857.6727562350916</v>
      </c>
      <c r="F32" s="56">
        <f t="array" ref="F32">F$11*$I32/$I$57</f>
        <v>3565.3755726234695</v>
      </c>
      <c r="G32" s="56">
        <f t="array" ref="G32">G$11*$I32/$I$57</f>
        <v>3733.1417286269998</v>
      </c>
      <c r="H32" s="57">
        <f t="array" ref="H32">H84</f>
        <v>19960</v>
      </c>
      <c r="I32" s="57">
        <f t="array" ref="I32">I84</f>
        <v>6616</v>
      </c>
      <c r="J32" s="56">
        <f t="array" ref="J32">D32+F32</f>
        <v>12024.98744141476</v>
      </c>
      <c r="K32" s="56">
        <f t="array" ref="K32">E32+G32</f>
        <v>12590.81448486209</v>
      </c>
      <c r="L32" s="58"/>
      <c r="M32" s="1"/>
      <c r="N32" s="1"/>
      <c r="O32" s="1"/>
      <c r="P32" s="1"/>
      <c r="Q32" s="1"/>
      <c r="R32" s="1"/>
      <c r="S32" s="1"/>
      <c r="T32" s="1"/>
      <c r="U32" s="1"/>
      <c r="V32" s="1"/>
      <c r="W32" s="1"/>
      <c r="X32" s="1"/>
      <c r="Y32" s="1"/>
      <c r="Z32" s="1"/>
    </row>
    <row r="33" spans="1:26" ht="19.5" customHeight="1">
      <c r="A33" s="3" t="s">
        <v>344</v>
      </c>
      <c r="B33" s="22" t="s">
        <v>345</v>
      </c>
      <c r="C33" s="56">
        <f t="array" ref="C33">D33+E33+F33+G33</f>
        <v>29103.138765743828</v>
      </c>
      <c r="D33" s="56">
        <f t="array" ref="D33">D$11*$H33/$H$57</f>
        <v>9984.5459120734085</v>
      </c>
      <c r="E33" s="56">
        <f t="array" ref="E33">E$11*$H33/$H$57</f>
        <v>10454.361462494304</v>
      </c>
      <c r="F33" s="56">
        <f t="array" ref="F33">F$11*$I33/$I$57</f>
        <v>4232.536237512807</v>
      </c>
      <c r="G33" s="56">
        <f t="array" ref="G33">G$11*$I33/$I$57</f>
        <v>4431.6951536633096</v>
      </c>
      <c r="H33" s="57">
        <f t="array" ref="H33">H85</f>
        <v>23558</v>
      </c>
      <c r="I33" s="57">
        <f t="array" ref="I33">I85</f>
        <v>7854</v>
      </c>
      <c r="J33" s="56">
        <f t="array" ref="J33">D33+F33</f>
        <v>14217.082149586215</v>
      </c>
      <c r="K33" s="56">
        <f t="array" ref="K33">E33+G33</f>
        <v>14886.056616157613</v>
      </c>
      <c r="L33" s="58"/>
      <c r="M33" s="1"/>
      <c r="N33" s="1"/>
      <c r="O33" s="1"/>
      <c r="P33" s="1"/>
      <c r="Q33" s="1"/>
      <c r="R33" s="1"/>
      <c r="S33" s="1"/>
      <c r="T33" s="1"/>
      <c r="U33" s="1"/>
      <c r="V33" s="1"/>
      <c r="W33" s="1"/>
      <c r="X33" s="1"/>
      <c r="Y33" s="1"/>
      <c r="Z33" s="1"/>
    </row>
    <row r="34" spans="1:26" ht="19.5" customHeight="1">
      <c r="A34" s="3" t="s">
        <v>346</v>
      </c>
      <c r="B34" s="22" t="s">
        <v>347</v>
      </c>
      <c r="C34" s="56">
        <f t="array" ref="C34">D34+E34+F34+G34</f>
        <v>33535.010683355395</v>
      </c>
      <c r="D34" s="56">
        <f t="array" ref="D34">D$11*$H34/$H$57</f>
        <v>11674.772972831908</v>
      </c>
      <c r="E34" s="56">
        <f t="array" ref="E34">E$11*$H34/$H$57</f>
        <v>12224.120929020633</v>
      </c>
      <c r="F34" s="56">
        <f t="array" ref="F34">F$11*$I34/$I$57</f>
        <v>4707.3088916061079</v>
      </c>
      <c r="G34" s="56">
        <f t="array" ref="G34">G$11*$I34/$I$57</f>
        <v>4928.8078898967415</v>
      </c>
      <c r="H34" s="57">
        <f t="array" ref="H34">H86</f>
        <v>27546</v>
      </c>
      <c r="I34" s="57">
        <f t="array" ref="I34">I86</f>
        <v>8735</v>
      </c>
      <c r="J34" s="56">
        <f t="array" ref="J34">D34+F34</f>
        <v>16382.081864438016</v>
      </c>
      <c r="K34" s="56">
        <f t="array" ref="K34">E34+G34</f>
        <v>17152.928818917375</v>
      </c>
      <c r="L34" s="58"/>
      <c r="M34" s="1"/>
      <c r="N34" s="1"/>
      <c r="O34" s="1"/>
      <c r="P34" s="1"/>
      <c r="Q34" s="1"/>
      <c r="R34" s="1"/>
      <c r="S34" s="1"/>
      <c r="T34" s="1"/>
      <c r="U34" s="1"/>
      <c r="V34" s="1"/>
      <c r="W34" s="1"/>
      <c r="X34" s="1"/>
      <c r="Y34" s="1"/>
      <c r="Z34" s="1"/>
    </row>
    <row r="35" spans="1:26" ht="19.5" customHeight="1">
      <c r="A35" s="3" t="s">
        <v>348</v>
      </c>
      <c r="B35" s="22" t="s">
        <v>349</v>
      </c>
      <c r="C35" s="56">
        <f t="array" ref="C35">D35+E35+F35+G35</f>
        <v>37648.75562896052</v>
      </c>
      <c r="D35" s="56">
        <f t="array" ref="D35">D$11*$H35/$H$57</f>
        <v>13232.765619609303</v>
      </c>
      <c r="E35" s="56">
        <f t="array" ref="E35">E$11*$H35/$H$57</f>
        <v>13855.423787333268</v>
      </c>
      <c r="F35" s="56">
        <f t="array" ref="F35">F$11*$I35/$I$57</f>
        <v>5158.90876008532</v>
      </c>
      <c r="G35" s="56">
        <f t="array" ref="G35">G$11*$I35/$I$57</f>
        <v>5401.6574619326284</v>
      </c>
      <c r="H35" s="57">
        <f t="array" ref="H35">H87</f>
        <v>31222</v>
      </c>
      <c r="I35" s="57">
        <f t="array" ref="I35">I87</f>
        <v>9573</v>
      </c>
      <c r="J35" s="56">
        <f t="array" ref="J35">D35+F35</f>
        <v>18391.674379694625</v>
      </c>
      <c r="K35" s="56">
        <f t="array" ref="K35">E35+G35</f>
        <v>19257.081249265895</v>
      </c>
      <c r="L35" s="58"/>
      <c r="M35" s="1"/>
      <c r="N35" s="1"/>
      <c r="O35" s="1"/>
      <c r="P35" s="1"/>
      <c r="Q35" s="1"/>
      <c r="R35" s="1"/>
      <c r="S35" s="1"/>
      <c r="T35" s="1"/>
      <c r="U35" s="1"/>
      <c r="V35" s="1"/>
      <c r="W35" s="1"/>
      <c r="X35" s="1"/>
      <c r="Y35" s="1"/>
      <c r="Z35" s="1"/>
    </row>
    <row r="36" spans="1:26" ht="19.5" customHeight="1">
      <c r="A36" s="3" t="s">
        <v>350</v>
      </c>
      <c r="B36" s="22" t="s">
        <v>351</v>
      </c>
      <c r="C36" s="56">
        <f t="array" ref="C36">D36+E36+F36+G36</f>
        <v>39923.322502886585</v>
      </c>
      <c r="D36" s="56">
        <f t="array" ref="D36">D$11*$H36/$H$57</f>
        <v>13919.791212761142</v>
      </c>
      <c r="E36" s="56">
        <f t="array" ref="E36">E$11*$H36/$H$57</f>
        <v>14574.776870392241</v>
      </c>
      <c r="F36" s="56">
        <f t="array" ref="F36">F$11*$I36/$I$57</f>
        <v>5583.0246270222406</v>
      </c>
      <c r="G36" s="56">
        <f t="array" ref="G36">G$11*$I36/$I$57</f>
        <v>5845.7297927109603</v>
      </c>
      <c r="H36" s="57">
        <f t="array" ref="H36">H88</f>
        <v>32843</v>
      </c>
      <c r="I36" s="57">
        <f t="array" ref="I36">I88</f>
        <v>10360</v>
      </c>
      <c r="J36" s="56">
        <f t="array" ref="J36">D36+F36</f>
        <v>19502.815839783383</v>
      </c>
      <c r="K36" s="56">
        <f t="array" ref="K36">E36+G36</f>
        <v>20420.506663103202</v>
      </c>
      <c r="L36" s="58"/>
      <c r="M36" s="1"/>
      <c r="N36" s="1"/>
      <c r="O36" s="1"/>
      <c r="P36" s="1"/>
      <c r="Q36" s="1"/>
      <c r="R36" s="1"/>
      <c r="S36" s="1"/>
      <c r="T36" s="1"/>
      <c r="U36" s="1"/>
      <c r="V36" s="1"/>
      <c r="W36" s="1"/>
      <c r="X36" s="1"/>
      <c r="Y36" s="1"/>
      <c r="Z36" s="1"/>
    </row>
    <row r="37" spans="1:26" ht="19.5" customHeight="1">
      <c r="A37" s="3" t="s">
        <v>352</v>
      </c>
      <c r="B37" s="22" t="s">
        <v>353</v>
      </c>
      <c r="C37" s="56">
        <f t="array" ref="C37">D37+E37+F37+G37</f>
        <v>41742.671766114756</v>
      </c>
      <c r="D37" s="56">
        <f t="array" ref="D37">D$11*$H37/$H$57</f>
        <v>14483.058956930661</v>
      </c>
      <c r="E37" s="56">
        <f t="array" ref="E37">E$11*$H37/$H$57</f>
        <v>15164.548768840961</v>
      </c>
      <c r="F37" s="56">
        <f t="array" ref="F37">F$11*$I37/$I$57</f>
        <v>5908.5214296015301</v>
      </c>
      <c r="G37" s="56">
        <f t="array" ref="G37">G$11*$I37/$I$57</f>
        <v>6186.5426107415997</v>
      </c>
      <c r="H37" s="57">
        <f t="array" ref="H37">H89</f>
        <v>34172</v>
      </c>
      <c r="I37" s="57">
        <f t="array" ref="I37">I89</f>
        <v>10964</v>
      </c>
      <c r="J37" s="56">
        <f t="array" ref="J37">D37+F37</f>
        <v>20391.58038653219</v>
      </c>
      <c r="K37" s="56">
        <f t="array" ref="K37">E37+G37</f>
        <v>21351.091379582562</v>
      </c>
      <c r="L37" s="58"/>
      <c r="M37" s="1"/>
      <c r="N37" s="1"/>
      <c r="O37" s="1"/>
      <c r="P37" s="1"/>
      <c r="Q37" s="1"/>
      <c r="R37" s="1"/>
      <c r="S37" s="1"/>
      <c r="T37" s="1"/>
      <c r="U37" s="1"/>
      <c r="V37" s="1"/>
      <c r="W37" s="1"/>
      <c r="X37" s="1"/>
      <c r="Y37" s="1"/>
      <c r="Z37" s="1"/>
    </row>
    <row r="38" spans="1:26" ht="19.5" customHeight="1">
      <c r="A38" s="3" t="s">
        <v>354</v>
      </c>
      <c r="B38" s="22" t="s">
        <v>355</v>
      </c>
      <c r="C38" s="56">
        <f t="array" ref="C38">D38+E38+F38+G38</f>
        <v>43235.606294773745</v>
      </c>
      <c r="D38" s="56">
        <f t="array" ref="D38">D$11*$H38/$H$57</f>
        <v>15067.941941847093</v>
      </c>
      <c r="E38" s="56">
        <f t="array" ref="E38">E$11*$H38/$H$57</f>
        <v>15776.952997478456</v>
      </c>
      <c r="F38" s="56">
        <f t="array" ref="F38">F$11*$I38/$I$57</f>
        <v>6052.9471631963133</v>
      </c>
      <c r="G38" s="56">
        <f t="array" ref="G38">G$11*$I38/$I$57</f>
        <v>6337.7641922518833</v>
      </c>
      <c r="H38" s="57">
        <f t="array" ref="H38">H90</f>
        <v>35552</v>
      </c>
      <c r="I38" s="57">
        <f t="array" ref="I38">I90</f>
        <v>11232</v>
      </c>
      <c r="J38" s="56">
        <f t="array" ref="J38">D38+F38</f>
        <v>21120.889105043407</v>
      </c>
      <c r="K38" s="56">
        <f t="array" ref="K38">E38+G38</f>
        <v>22114.717189730341</v>
      </c>
      <c r="L38" s="58"/>
      <c r="M38" s="1"/>
      <c r="N38" s="1"/>
      <c r="O38" s="1"/>
      <c r="P38" s="1"/>
      <c r="Q38" s="1"/>
      <c r="R38" s="1"/>
      <c r="S38" s="1"/>
      <c r="T38" s="1"/>
      <c r="U38" s="1"/>
      <c r="V38" s="1"/>
      <c r="W38" s="1"/>
      <c r="X38" s="1"/>
      <c r="Y38" s="1"/>
      <c r="Z38" s="1"/>
    </row>
    <row r="39" spans="1:26" ht="19.5" customHeight="1">
      <c r="A39" s="3" t="s">
        <v>356</v>
      </c>
      <c r="B39" s="22" t="s">
        <v>357</v>
      </c>
      <c r="C39" s="56">
        <f t="array" ref="C39">D39+E39+F39+G39</f>
        <v>43428.317895723456</v>
      </c>
      <c r="D39" s="56">
        <f t="array" ref="D39">D$11*$H39/$H$57</f>
        <v>15215.434172826019</v>
      </c>
      <c r="E39" s="56">
        <f t="array" ref="E39">E$11*$H39/$H$57</f>
        <v>15931.385368178348</v>
      </c>
      <c r="F39" s="56">
        <f t="array" ref="F39">F$11*$I39/$I$57</f>
        <v>5999.5958660848073</v>
      </c>
      <c r="G39" s="56">
        <f t="array" ref="G39">G$11*$I39/$I$57</f>
        <v>6281.9024886342786</v>
      </c>
      <c r="H39" s="57">
        <f t="array" ref="H39">H91</f>
        <v>35900</v>
      </c>
      <c r="I39" s="57">
        <f t="array" ref="I39">I91</f>
        <v>11133</v>
      </c>
      <c r="J39" s="56">
        <f t="array" ref="J39">D39+F39</f>
        <v>21215.030038910827</v>
      </c>
      <c r="K39" s="56">
        <f t="array" ref="K39">E39+G39</f>
        <v>22213.287856812625</v>
      </c>
      <c r="L39" s="58"/>
      <c r="M39" s="1"/>
      <c r="N39" s="1"/>
      <c r="O39" s="1"/>
      <c r="P39" s="1"/>
      <c r="Q39" s="1"/>
      <c r="R39" s="1"/>
      <c r="S39" s="1"/>
      <c r="T39" s="1"/>
      <c r="U39" s="1"/>
      <c r="V39" s="1"/>
      <c r="W39" s="1"/>
      <c r="X39" s="1"/>
      <c r="Y39" s="1"/>
      <c r="Z39" s="1"/>
    </row>
    <row r="40" spans="1:26" ht="19.5" customHeight="1">
      <c r="A40" s="3" t="s">
        <v>358</v>
      </c>
      <c r="B40" s="22" t="s">
        <v>359</v>
      </c>
      <c r="C40" s="56">
        <f t="array" ref="C40">D40+E40+F40+G40</f>
        <v>41230.434805018755</v>
      </c>
      <c r="D40" s="56">
        <f t="array" ref="D40">D$11*$H40/$H$57</f>
        <v>14374.558924946163</v>
      </c>
      <c r="E40" s="56">
        <f t="array" ref="E40">E$11*$H40/$H$57</f>
        <v>15050.943346716902</v>
      </c>
      <c r="F40" s="56">
        <f t="array" ref="F40">F$11*$I40/$I$57</f>
        <v>5766.7902059618727</v>
      </c>
      <c r="G40" s="56">
        <f t="array" ref="G40">G$11*$I40/$I$57</f>
        <v>6038.1423273938217</v>
      </c>
      <c r="H40" s="57">
        <f t="array" ref="H40">H92</f>
        <v>33916</v>
      </c>
      <c r="I40" s="57">
        <f t="array" ref="I40">I92</f>
        <v>10701</v>
      </c>
      <c r="J40" s="56">
        <f t="array" ref="J40">D40+F40</f>
        <v>20141.349130908035</v>
      </c>
      <c r="K40" s="56">
        <f t="array" ref="K40">E40+G40</f>
        <v>21089.085674110724</v>
      </c>
      <c r="L40" s="58"/>
      <c r="M40" s="1"/>
      <c r="N40" s="1"/>
      <c r="O40" s="1"/>
      <c r="P40" s="1"/>
      <c r="Q40" s="1"/>
      <c r="R40" s="1"/>
      <c r="S40" s="1"/>
      <c r="T40" s="1"/>
      <c r="U40" s="1"/>
      <c r="V40" s="1"/>
      <c r="W40" s="1"/>
      <c r="X40" s="1"/>
      <c r="Y40" s="1"/>
      <c r="Z40" s="1"/>
    </row>
    <row r="41" spans="1:26" ht="19.5" customHeight="1">
      <c r="A41" s="3" t="s">
        <v>360</v>
      </c>
      <c r="B41" s="22" t="s">
        <v>361</v>
      </c>
      <c r="C41" s="56">
        <f t="array" ref="C41">D41+E41+F41+G41</f>
        <v>38417.151628254316</v>
      </c>
      <c r="D41" s="56">
        <f t="array" ref="D41">D$11*$H41/$H$57</f>
        <v>13134.437465623352</v>
      </c>
      <c r="E41" s="56">
        <f t="array" ref="E41">E$11*$H41/$H$57</f>
        <v>13752.46887353334</v>
      </c>
      <c r="F41" s="56">
        <f t="array" ref="F41">F$11*$I41/$I$57</f>
        <v>5632.6036101965692</v>
      </c>
      <c r="G41" s="56">
        <f t="array" ref="G41">G$11*$I41/$I$57</f>
        <v>5897.6416789010582</v>
      </c>
      <c r="H41" s="57">
        <f t="array" ref="H41">H93</f>
        <v>30990</v>
      </c>
      <c r="I41" s="57">
        <f t="array" ref="I41">I93</f>
        <v>10452</v>
      </c>
      <c r="J41" s="56">
        <f t="array" ref="J41">D41+F41</f>
        <v>18767.041075819921</v>
      </c>
      <c r="K41" s="56">
        <f t="array" ref="K41">E41+G41</f>
        <v>19650.110552434398</v>
      </c>
      <c r="L41" s="58"/>
      <c r="M41" s="1"/>
      <c r="N41" s="1"/>
      <c r="O41" s="1"/>
      <c r="P41" s="1"/>
      <c r="Q41" s="1"/>
      <c r="R41" s="1"/>
      <c r="S41" s="1"/>
      <c r="T41" s="1"/>
      <c r="U41" s="1"/>
      <c r="V41" s="1"/>
      <c r="W41" s="1"/>
      <c r="X41" s="1"/>
      <c r="Y41" s="1"/>
      <c r="Z41" s="1"/>
    </row>
    <row r="42" spans="1:26" ht="19.5" customHeight="1">
      <c r="A42" s="3" t="s">
        <v>362</v>
      </c>
      <c r="B42" s="22" t="s">
        <v>363</v>
      </c>
      <c r="C42" s="56">
        <f t="array" ref="C42">D42+E42+F42+G42</f>
        <v>34898.359222613057</v>
      </c>
      <c r="D42" s="56">
        <f t="array" ref="D42">D$11*$H42/$H$57</f>
        <v>11754.452683820524</v>
      </c>
      <c r="E42" s="56">
        <f t="array" ref="E42">E$11*$H42/$H$57</f>
        <v>12307.549910892989</v>
      </c>
      <c r="F42" s="56">
        <f t="array" ref="F42">F$11*$I42/$I$57</f>
        <v>5293.6342578416479</v>
      </c>
      <c r="G42" s="56">
        <f t="array" ref="G42">G$11*$I42/$I$57</f>
        <v>5542.7223700578925</v>
      </c>
      <c r="H42" s="57">
        <f t="array" ref="H42">H94</f>
        <v>27734</v>
      </c>
      <c r="I42" s="57">
        <f t="array" ref="I42">I94</f>
        <v>9823</v>
      </c>
      <c r="J42" s="56">
        <f t="array" ref="J42">D42+F42</f>
        <v>17048.086941662172</v>
      </c>
      <c r="K42" s="56">
        <f t="array" ref="K42">E42+G42</f>
        <v>17850.272280950881</v>
      </c>
      <c r="L42" s="58"/>
      <c r="M42" s="1"/>
      <c r="N42" s="1"/>
      <c r="O42" s="1"/>
      <c r="P42" s="1"/>
      <c r="Q42" s="1"/>
      <c r="R42" s="1"/>
      <c r="S42" s="1"/>
      <c r="T42" s="1"/>
      <c r="U42" s="1"/>
      <c r="V42" s="1"/>
      <c r="W42" s="1"/>
      <c r="X42" s="1"/>
      <c r="Y42" s="1"/>
      <c r="Z42" s="1"/>
    </row>
    <row r="43" spans="1:26" ht="19.5" customHeight="1">
      <c r="A43" s="3" t="s">
        <v>364</v>
      </c>
      <c r="B43" s="22" t="s">
        <v>365</v>
      </c>
      <c r="C43" s="56">
        <f t="array" ref="C43">D43+E43+F43+G43</f>
        <v>29826.371452591804</v>
      </c>
      <c r="D43" s="56">
        <f t="array" ref="D43">D$11*$H43/$H$57</f>
        <v>9759.069283105624</v>
      </c>
      <c r="E43" s="56">
        <f t="array" ref="E43">E$11*$H43/$H$57</f>
        <v>10218.275194642745</v>
      </c>
      <c r="F43" s="56">
        <f t="array" ref="F43">F$11*$I43/$I$57</f>
        <v>4811.3169758739923</v>
      </c>
      <c r="G43" s="56">
        <f t="array" ref="G43">G$11*$I43/$I$57</f>
        <v>5037.7099989694452</v>
      </c>
      <c r="H43" s="57">
        <f t="array" ref="H43">H95</f>
        <v>23026</v>
      </c>
      <c r="I43" s="57">
        <f t="array" ref="I43">I95</f>
        <v>8928</v>
      </c>
      <c r="J43" s="56">
        <f t="array" ref="J43">D43+F43</f>
        <v>14570.386258979615</v>
      </c>
      <c r="K43" s="56">
        <f t="array" ref="K43">E43+G43</f>
        <v>15255.98519361219</v>
      </c>
      <c r="L43" s="58"/>
      <c r="M43" s="1"/>
      <c r="N43" s="1"/>
      <c r="O43" s="1"/>
      <c r="P43" s="1"/>
      <c r="Q43" s="1"/>
      <c r="R43" s="1"/>
      <c r="S43" s="1"/>
      <c r="T43" s="1"/>
      <c r="U43" s="1"/>
      <c r="V43" s="1"/>
      <c r="W43" s="1"/>
      <c r="X43" s="1"/>
      <c r="Y43" s="1"/>
      <c r="Z43" s="1"/>
    </row>
    <row r="44" spans="1:26" ht="19.5" customHeight="1">
      <c r="A44" s="3" t="s">
        <v>366</v>
      </c>
      <c r="B44" s="22" t="s">
        <v>367</v>
      </c>
      <c r="C44" s="56">
        <f t="array" ref="C44">D44+E44+F44+G44</f>
        <v>24832.475966505393</v>
      </c>
      <c r="D44" s="56">
        <f t="array" ref="D44">D$11*$H44/$H$57</f>
        <v>7926.8597586174101</v>
      </c>
      <c r="E44" s="56">
        <f t="array" ref="E44">E$11*$H44/$H$57</f>
        <v>8299.8523827587633</v>
      </c>
      <c r="F44" s="56">
        <f t="array" ref="F44">F$11*$I44/$I$57</f>
        <v>4203.9744319884649</v>
      </c>
      <c r="G44" s="56">
        <f t="array" ref="G44">G$11*$I44/$I$57</f>
        <v>4401.7893931407534</v>
      </c>
      <c r="H44" s="57">
        <f t="array" ref="H44">H96</f>
        <v>18703</v>
      </c>
      <c r="I44" s="57">
        <f t="array" ref="I44">I96</f>
        <v>7801</v>
      </c>
      <c r="J44" s="56">
        <f t="array" ref="J44">D44+F44</f>
        <v>12130.834190605874</v>
      </c>
      <c r="K44" s="56">
        <f t="array" ref="K44">E44+G44</f>
        <v>12701.641775899516</v>
      </c>
      <c r="L44" s="58"/>
      <c r="M44" s="1"/>
      <c r="N44" s="1"/>
      <c r="O44" s="1"/>
      <c r="P44" s="1"/>
      <c r="Q44" s="1"/>
      <c r="R44" s="1"/>
      <c r="S44" s="1"/>
      <c r="T44" s="1"/>
      <c r="U44" s="1"/>
      <c r="V44" s="1"/>
      <c r="W44" s="1"/>
      <c r="X44" s="1"/>
      <c r="Y44" s="1"/>
      <c r="Z44" s="1"/>
    </row>
    <row r="45" spans="1:26" ht="19.5" customHeight="1">
      <c r="A45" s="3" t="s">
        <v>368</v>
      </c>
      <c r="B45" s="22" t="s">
        <v>369</v>
      </c>
      <c r="C45" s="56">
        <f t="array" ref="C45">D45+E45+F45+G45</f>
        <v>20130.460485858341</v>
      </c>
      <c r="D45" s="56">
        <f t="array" ref="D45">D$11*$H45/$H$57</f>
        <v>6182.8065101166012</v>
      </c>
      <c r="E45" s="56">
        <f t="array" ref="E45">E$11*$H45/$H$57</f>
        <v>6473.733976350577</v>
      </c>
      <c r="F45" s="56">
        <f t="array" ref="F45">F$11*$I45/$I$57</f>
        <v>3651.0609891964941</v>
      </c>
      <c r="G45" s="56">
        <f t="array" ref="G45">G$11*$I45/$I$57</f>
        <v>3822.8590101946679</v>
      </c>
      <c r="H45" s="57">
        <f t="array" ref="H45">H97</f>
        <v>14588</v>
      </c>
      <c r="I45" s="57">
        <f t="array" ref="I45">I97</f>
        <v>6775</v>
      </c>
      <c r="J45" s="56">
        <f t="array" ref="J45">D45+F45</f>
        <v>9833.8674993130953</v>
      </c>
      <c r="K45" s="56">
        <f t="array" ref="K45">E45+G45</f>
        <v>10296.592986545245</v>
      </c>
      <c r="L45" s="58"/>
      <c r="M45" s="1"/>
      <c r="N45" s="1"/>
      <c r="O45" s="1"/>
      <c r="P45" s="1"/>
      <c r="Q45" s="1"/>
      <c r="R45" s="1"/>
      <c r="S45" s="1"/>
      <c r="T45" s="1"/>
      <c r="U45" s="1"/>
      <c r="V45" s="1"/>
      <c r="W45" s="1"/>
      <c r="X45" s="1"/>
      <c r="Y45" s="1"/>
      <c r="Z45" s="1"/>
    </row>
    <row r="46" spans="1:26" ht="19.5" customHeight="1">
      <c r="A46" s="3" t="s">
        <v>370</v>
      </c>
      <c r="B46" s="22" t="s">
        <v>371</v>
      </c>
      <c r="C46" s="56">
        <f t="array" ref="C46">D46+E46+F46+G46</f>
        <v>16205.930236218945</v>
      </c>
      <c r="D46" s="56">
        <f t="array" ref="D46">D$11*$H46/$H$57</f>
        <v>4877.8393285530547</v>
      </c>
      <c r="E46" s="56">
        <f t="array" ref="E46">E$11*$H46/$H$57</f>
        <v>5107.3625126006846</v>
      </c>
      <c r="F46" s="56">
        <f t="array" ref="F46">F$11*$I46/$I$57</f>
        <v>3038.8683273917391</v>
      </c>
      <c r="G46" s="56">
        <f t="array" ref="G46">G$11*$I46/$I$57</f>
        <v>3181.8600676734659</v>
      </c>
      <c r="H46" s="57">
        <f t="array" ref="H46">H98</f>
        <v>11509</v>
      </c>
      <c r="I46" s="57">
        <f t="array" ref="I46">I98</f>
        <v>5639</v>
      </c>
      <c r="J46" s="56">
        <f t="array" ref="J46">D46+F46</f>
        <v>7916.7076559447942</v>
      </c>
      <c r="K46" s="56">
        <f t="array" ref="K46">E46+G46</f>
        <v>8289.2225802741505</v>
      </c>
      <c r="L46" s="58"/>
      <c r="M46" s="1"/>
      <c r="N46" s="1"/>
      <c r="O46" s="1"/>
      <c r="P46" s="1"/>
      <c r="Q46" s="1"/>
      <c r="R46" s="1"/>
      <c r="S46" s="1"/>
      <c r="T46" s="1"/>
      <c r="U46" s="1"/>
      <c r="V46" s="1"/>
      <c r="W46" s="1"/>
      <c r="X46" s="1"/>
      <c r="Y46" s="1"/>
      <c r="Z46" s="1"/>
    </row>
    <row r="47" spans="1:26" ht="19.5" customHeight="1">
      <c r="A47" s="3" t="s">
        <v>372</v>
      </c>
      <c r="B47" s="22" t="s">
        <v>373</v>
      </c>
      <c r="C47" s="56">
        <f t="array" ref="C47">D47+E47+F47+G47</f>
        <v>12144.095328591282</v>
      </c>
      <c r="D47" s="56">
        <f t="array" ref="D47">D$11*$H47/$H$57</f>
        <v>3512.2647072481677</v>
      </c>
      <c r="E47" s="56">
        <f t="array" ref="E47">E$11*$H47/$H$57</f>
        <v>3677.5317700861829</v>
      </c>
      <c r="F47" s="56">
        <f t="array" ref="F47">F$11*$I47/$I$57</f>
        <v>2420.2088416946799</v>
      </c>
      <c r="G47" s="56">
        <f t="array" ref="G47">G$11*$I47/$I$57</f>
        <v>2534.0900095622515</v>
      </c>
      <c r="H47" s="57">
        <f t="array" ref="H47">H99</f>
        <v>8287</v>
      </c>
      <c r="I47" s="57">
        <f t="array" ref="I47">I99</f>
        <v>4491</v>
      </c>
      <c r="J47" s="56">
        <f t="array" ref="J47">D47+F47</f>
        <v>5932.4735489428476</v>
      </c>
      <c r="K47" s="56">
        <f t="array" ref="K47">E47+G47</f>
        <v>6211.6217796484343</v>
      </c>
      <c r="L47" s="58"/>
      <c r="M47" s="1"/>
      <c r="N47" s="1"/>
      <c r="O47" s="1"/>
      <c r="P47" s="1"/>
      <c r="Q47" s="1"/>
      <c r="R47" s="1"/>
      <c r="S47" s="1"/>
      <c r="T47" s="1"/>
      <c r="U47" s="1"/>
      <c r="V47" s="1"/>
      <c r="W47" s="1"/>
      <c r="X47" s="1"/>
      <c r="Y47" s="1"/>
      <c r="Z47" s="1"/>
    </row>
    <row r="48" spans="1:26" ht="19.5" customHeight="1">
      <c r="A48" s="3" t="s">
        <v>374</v>
      </c>
      <c r="B48" s="22" t="s">
        <v>375</v>
      </c>
      <c r="C48" s="56">
        <f t="array" ref="C48">D48+E48+F48+G48</f>
        <v>8613.2263078249634</v>
      </c>
      <c r="D48" s="56">
        <f t="array" ref="D48">D$11*$H48/$H$57</f>
        <v>2443.7936891508307</v>
      </c>
      <c r="E48" s="56">
        <f t="array" ref="E48">E$11*$H48/$H$57</f>
        <v>2558.7846248723217</v>
      </c>
      <c r="F48" s="56">
        <f t="array" ref="F48">F$11*$I48/$I$57</f>
        <v>1763.8262166258489</v>
      </c>
      <c r="G48" s="56">
        <f t="array" ref="G48">G$11*$I48/$I$57</f>
        <v>1846.8217771759628</v>
      </c>
      <c r="H48" s="57">
        <f t="array" ref="H48">H100</f>
        <v>5766</v>
      </c>
      <c r="I48" s="57">
        <f t="array" ref="I48">I100</f>
        <v>3273</v>
      </c>
      <c r="J48" s="56">
        <f t="array" ref="J48">D48+F48</f>
        <v>4207.6199057766798</v>
      </c>
      <c r="K48" s="56">
        <f t="array" ref="K48">E48+G48</f>
        <v>4405.6064020482845</v>
      </c>
      <c r="L48" s="58"/>
      <c r="M48" s="1"/>
      <c r="N48" s="1"/>
      <c r="O48" s="1"/>
      <c r="P48" s="1"/>
      <c r="Q48" s="1"/>
      <c r="R48" s="1"/>
      <c r="S48" s="1"/>
      <c r="T48" s="1"/>
      <c r="U48" s="1"/>
      <c r="V48" s="1"/>
      <c r="W48" s="1"/>
      <c r="X48" s="1"/>
      <c r="Y48" s="1"/>
      <c r="Z48" s="1"/>
    </row>
    <row r="49" spans="1:26" ht="19.5" customHeight="1">
      <c r="A49" s="3" t="s">
        <v>376</v>
      </c>
      <c r="B49" s="22" t="s">
        <v>377</v>
      </c>
      <c r="C49" s="56">
        <f t="array" ref="C49">D49+E49+F49+G49</f>
        <v>5999.7747961794976</v>
      </c>
      <c r="D49" s="56">
        <f t="array" ref="D49">D$11*$H49/$H$57</f>
        <v>1687.6840912588636</v>
      </c>
      <c r="E49" s="56">
        <f t="array" ref="E49">E$11*$H49/$H$57</f>
        <v>1767.0968394452973</v>
      </c>
      <c r="F49" s="56">
        <f t="array" ref="F49">F$11*$I49/$I$57</f>
        <v>1243.2468932953966</v>
      </c>
      <c r="G49" s="56">
        <f t="array" ref="G49">G$11*$I49/$I$57</f>
        <v>1301.7469721799407</v>
      </c>
      <c r="H49" s="57">
        <f t="array" ref="H49">H101</f>
        <v>3982</v>
      </c>
      <c r="I49" s="57">
        <f t="array" ref="I49">I101</f>
        <v>2307</v>
      </c>
      <c r="J49" s="56">
        <f t="array" ref="J49">D49+F49</f>
        <v>2930.9309845542602</v>
      </c>
      <c r="K49" s="56">
        <f t="array" ref="K49">E49+G49</f>
        <v>3068.8438116252382</v>
      </c>
      <c r="L49" s="58"/>
      <c r="M49" s="1"/>
      <c r="N49" s="1"/>
      <c r="O49" s="1"/>
      <c r="P49" s="1"/>
      <c r="Q49" s="1"/>
      <c r="R49" s="1"/>
      <c r="S49" s="1"/>
      <c r="T49" s="1"/>
      <c r="U49" s="1"/>
      <c r="V49" s="1"/>
      <c r="W49" s="1"/>
      <c r="X49" s="1"/>
      <c r="Y49" s="1"/>
      <c r="Z49" s="1"/>
    </row>
    <row r="50" spans="1:26" ht="19.5" customHeight="1">
      <c r="A50" s="3" t="s">
        <v>378</v>
      </c>
      <c r="B50" s="22" t="s">
        <v>379</v>
      </c>
      <c r="C50" s="56">
        <f t="array" ref="C50">D50+E50+F50+G50</f>
        <v>3792.9155202904494</v>
      </c>
      <c r="D50" s="56">
        <f t="array" ref="D50">D$11*$H50/$H$57</f>
        <v>1051.5178880997591</v>
      </c>
      <c r="E50" s="56">
        <f t="array" ref="E50">E$11*$H50/$H$57</f>
        <v>1100.9962980069772</v>
      </c>
      <c r="F50" s="56">
        <f t="array" ref="F50">F$11*$I50/$I$57</f>
        <v>801.34726065464019</v>
      </c>
      <c r="G50" s="56">
        <f t="array" ref="G50">G$11*$I50/$I$57</f>
        <v>839.05407352907309</v>
      </c>
      <c r="H50" s="57">
        <f t="array" ref="H50">H102</f>
        <v>2481</v>
      </c>
      <c r="I50" s="57">
        <f t="array" ref="I50">I102</f>
        <v>1487</v>
      </c>
      <c r="J50" s="56">
        <f t="array" ref="J50">D50+F50</f>
        <v>1852.8651487543993</v>
      </c>
      <c r="K50" s="56">
        <f t="array" ref="K50">E50+G50</f>
        <v>1940.0503715360503</v>
      </c>
      <c r="L50" s="58"/>
      <c r="M50" s="1"/>
      <c r="N50" s="1"/>
      <c r="O50" s="1"/>
      <c r="P50" s="1"/>
      <c r="Q50" s="1"/>
      <c r="R50" s="1"/>
      <c r="S50" s="1"/>
      <c r="T50" s="1"/>
      <c r="U50" s="1"/>
      <c r="V50" s="1"/>
      <c r="W50" s="1"/>
      <c r="X50" s="1"/>
      <c r="Y50" s="1"/>
      <c r="Z50" s="1"/>
    </row>
    <row r="51" spans="1:26" ht="19.5" customHeight="1">
      <c r="A51" s="3" t="s">
        <v>380</v>
      </c>
      <c r="B51" s="22" t="s">
        <v>381</v>
      </c>
      <c r="C51" s="56">
        <f t="array" ref="C51">D51+E51+F51+G51</f>
        <v>2198.3541231716381</v>
      </c>
      <c r="D51" s="56">
        <f t="array" ref="D51">D$11*$H51/$H$57</f>
        <v>558.181805170247</v>
      </c>
      <c r="E51" s="56">
        <f t="array" ref="E51">E$11*$H51/$H$57</f>
        <v>584.44664428665408</v>
      </c>
      <c r="F51" s="56">
        <f t="array" ref="F51">F$11*$I51/$I$57</f>
        <v>515.72920541122437</v>
      </c>
      <c r="G51" s="56">
        <f t="array" ref="G51">G$11*$I51/$I$57</f>
        <v>539.99646830351253</v>
      </c>
      <c r="H51" s="57">
        <f t="array" ref="H51">H103</f>
        <v>1317</v>
      </c>
      <c r="I51" s="57">
        <f t="array" ref="I51">I103</f>
        <v>957</v>
      </c>
      <c r="J51" s="56">
        <f t="array" ref="J51">D51+F51</f>
        <v>1073.9110105814714</v>
      </c>
      <c r="K51" s="56">
        <f t="array" ref="K51">E51+G51</f>
        <v>1124.4431125901665</v>
      </c>
      <c r="L51" s="58"/>
      <c r="M51" s="1"/>
      <c r="N51" s="1"/>
      <c r="O51" s="1"/>
      <c r="P51" s="1"/>
      <c r="Q51" s="1"/>
      <c r="R51" s="1"/>
      <c r="S51" s="1"/>
      <c r="T51" s="1"/>
      <c r="U51" s="1"/>
      <c r="V51" s="1"/>
      <c r="W51" s="1"/>
      <c r="X51" s="1"/>
      <c r="Y51" s="1"/>
      <c r="Z51" s="1"/>
    </row>
    <row r="52" spans="1:26" ht="19.5" customHeight="1">
      <c r="A52" s="3" t="s">
        <v>382</v>
      </c>
      <c r="B52" s="22" t="s">
        <v>383</v>
      </c>
      <c r="C52" s="56">
        <f t="array" ref="C52">D52+E52+F52+G52</f>
        <v>1180.5671702685104</v>
      </c>
      <c r="D52" s="56">
        <f t="array" ref="D52">D$11*$H52/$H$57</f>
        <v>295.40829020779211</v>
      </c>
      <c r="E52" s="56">
        <f t="array" ref="E52">E$11*$H52/$H$57</f>
        <v>309.30851257995283</v>
      </c>
      <c r="F52" s="56">
        <f t="array" ref="F52">F$11*$I52/$I$57</f>
        <v>281.30683931521332</v>
      </c>
      <c r="G52" s="56">
        <f t="array" ref="G52">G$11*$I52/$I$57</f>
        <v>294.54352816555229</v>
      </c>
      <c r="H52" s="57">
        <f t="array" ref="H52">H104</f>
        <v>697</v>
      </c>
      <c r="I52" s="57">
        <f t="array" ref="I52">I104</f>
        <v>522</v>
      </c>
      <c r="J52" s="56">
        <f t="array" ref="J52">D52+F52</f>
        <v>576.71512952300543</v>
      </c>
      <c r="K52" s="56">
        <f t="array" ref="K52">E52+G52</f>
        <v>603.85204074550506</v>
      </c>
      <c r="L52" s="58"/>
      <c r="M52" s="1"/>
      <c r="N52" s="1"/>
      <c r="O52" s="1"/>
      <c r="P52" s="1"/>
      <c r="Q52" s="1"/>
      <c r="R52" s="1"/>
      <c r="S52" s="1"/>
      <c r="T52" s="1"/>
      <c r="U52" s="1"/>
      <c r="V52" s="1"/>
      <c r="W52" s="1"/>
      <c r="X52" s="1"/>
      <c r="Y52" s="1"/>
      <c r="Z52" s="1"/>
    </row>
    <row r="53" spans="1:26" ht="19.5" customHeight="1">
      <c r="A53" s="3" t="s">
        <v>384</v>
      </c>
      <c r="B53" s="22" t="s">
        <v>385</v>
      </c>
      <c r="C53" s="56">
        <f t="array" ref="C53">D53+E53+F53+G53</f>
        <v>635.74629170879189</v>
      </c>
      <c r="D53" s="56">
        <f t="array" ref="D53">D$11*$H53/$H$57</f>
        <v>166.14067397626184</v>
      </c>
      <c r="E53" s="56">
        <f t="array" ref="E53">E$11*$H53/$H$57</f>
        <v>173.95830262746273</v>
      </c>
      <c r="F53" s="56">
        <f t="array" ref="F53">F$11*$I53/$I$57</f>
        <v>144.42573359478385</v>
      </c>
      <c r="G53" s="56">
        <f t="array" ref="G53">G$11*$I53/$I$57</f>
        <v>151.22158151028353</v>
      </c>
      <c r="H53" s="57">
        <f t="array" ref="H53">H105</f>
        <v>392</v>
      </c>
      <c r="I53" s="57">
        <f t="array" ref="I53">I105</f>
        <v>268</v>
      </c>
      <c r="J53" s="56">
        <f t="array" ref="J53">D53+F53</f>
        <v>310.56640757104572</v>
      </c>
      <c r="K53" s="56">
        <f t="array" ref="K53">E53+G53</f>
        <v>325.17988413774628</v>
      </c>
      <c r="L53" s="58"/>
      <c r="M53" s="1"/>
      <c r="N53" s="1"/>
      <c r="O53" s="1"/>
      <c r="P53" s="1"/>
      <c r="Q53" s="1"/>
      <c r="R53" s="1"/>
      <c r="S53" s="1"/>
      <c r="T53" s="1"/>
      <c r="U53" s="1"/>
      <c r="V53" s="1"/>
      <c r="W53" s="1"/>
      <c r="X53" s="1"/>
      <c r="Y53" s="1"/>
      <c r="Z53" s="1"/>
    </row>
    <row r="54" spans="1:26" ht="19.5" customHeight="1">
      <c r="A54" s="3" t="s">
        <v>386</v>
      </c>
      <c r="B54" s="22" t="s">
        <v>387</v>
      </c>
      <c r="C54" s="56">
        <f t="array" ref="C54">D54+E54+F54+G54</f>
        <v>354.51304162418103</v>
      </c>
      <c r="D54" s="56">
        <f t="array" ref="D54">D$11*$H54/$H$57</f>
        <v>82.646508738191471</v>
      </c>
      <c r="E54" s="56">
        <f t="array" ref="E54">E$11*$H54/$H$57</f>
        <v>86.535380133559258</v>
      </c>
      <c r="F54" s="56">
        <f t="array" ref="F54">F$11*$I54/$I$57</f>
        <v>90.535534492252552</v>
      </c>
      <c r="G54" s="56">
        <f t="array" ref="G54">G$11*$I54/$I$57</f>
        <v>94.795618260177747</v>
      </c>
      <c r="H54" s="57">
        <f t="array" ref="H54">H106</f>
        <v>195</v>
      </c>
      <c r="I54" s="57">
        <f t="array" ref="I54">I106</f>
        <v>168</v>
      </c>
      <c r="J54" s="56">
        <f t="array" ref="J54">D54+F54</f>
        <v>173.18204323044404</v>
      </c>
      <c r="K54" s="56">
        <f t="array" ref="K54">E54+G54</f>
        <v>181.33099839373699</v>
      </c>
      <c r="L54" s="58"/>
      <c r="M54" s="1"/>
      <c r="N54" s="1"/>
      <c r="O54" s="1"/>
      <c r="P54" s="1"/>
      <c r="Q54" s="1"/>
      <c r="R54" s="1"/>
      <c r="S54" s="1"/>
      <c r="T54" s="1"/>
      <c r="U54" s="1"/>
      <c r="V54" s="1"/>
      <c r="W54" s="1"/>
      <c r="X54" s="1"/>
      <c r="Y54" s="1"/>
      <c r="Z54" s="1"/>
    </row>
    <row r="55" spans="1:26" ht="19.5" customHeight="1">
      <c r="A55" s="3" t="s">
        <v>388</v>
      </c>
      <c r="B55" s="22" t="s">
        <v>389</v>
      </c>
      <c r="C55" s="56">
        <f t="array" ref="C55">D55+E55+F55+G55</f>
        <v>188.96911311859634</v>
      </c>
      <c r="D55" s="56">
        <f t="array" ref="D55">D$11*$H55/$H$57</f>
        <v>47.044935743278216</v>
      </c>
      <c r="E55" s="56">
        <f t="array" ref="E55">E$11*$H55/$H$57</f>
        <v>49.25860099910296</v>
      </c>
      <c r="F55" s="56">
        <f t="array" ref="F55">F$11*$I55/$I$57</f>
        <v>45.267767246126276</v>
      </c>
      <c r="G55" s="56">
        <f t="array" ref="G55">G$11*$I55/$I$57</f>
        <v>47.397809130088874</v>
      </c>
      <c r="H55" s="57">
        <f t="array" ref="H55">H107</f>
        <v>111</v>
      </c>
      <c r="I55" s="57">
        <f t="array" ref="I55">I107</f>
        <v>84</v>
      </c>
      <c r="J55" s="56">
        <f t="array" ref="J55">D55+F55</f>
        <v>92.312702989404499</v>
      </c>
      <c r="K55" s="56">
        <f t="array" ref="K55">E55+G55</f>
        <v>96.65641012919184</v>
      </c>
      <c r="L55" s="58"/>
      <c r="M55" s="1"/>
      <c r="N55" s="1"/>
      <c r="O55" s="1"/>
      <c r="P55" s="1"/>
      <c r="Q55" s="1"/>
      <c r="R55" s="1"/>
      <c r="S55" s="1"/>
      <c r="T55" s="1"/>
      <c r="U55" s="1"/>
      <c r="V55" s="1"/>
      <c r="W55" s="1"/>
      <c r="X55" s="1"/>
      <c r="Y55" s="1"/>
      <c r="Z55" s="1"/>
    </row>
    <row r="56" spans="1:26" ht="19.5" customHeight="1">
      <c r="A56" s="3" t="s">
        <v>390</v>
      </c>
      <c r="B56" s="22" t="s">
        <v>391</v>
      </c>
      <c r="C56" s="56">
        <f t="array" ref="C56">D56+E56+F56+G56</f>
        <v>129.83466734668741</v>
      </c>
      <c r="D56" s="56">
        <f t="array" ref="D56">D$11*$H56/$H$57</f>
        <v>28.396492745942712</v>
      </c>
      <c r="E56" s="56">
        <f t="array" ref="E56">E$11*$H56/$H$57</f>
        <v>29.732669071530619</v>
      </c>
      <c r="F56" s="56">
        <f t="array" ref="F56">F$11*$I56/$I$57</f>
        <v>35.028629416645337</v>
      </c>
      <c r="G56" s="56">
        <f t="array" ref="G56">G$11*$I56/$I$57</f>
        <v>36.676876112568763</v>
      </c>
      <c r="H56" s="57">
        <f t="array" ref="H56">H108</f>
        <v>67</v>
      </c>
      <c r="I56" s="57">
        <f t="array" ref="I56">I108</f>
        <v>65</v>
      </c>
      <c r="J56" s="56">
        <f t="array" ref="J56">D56+F56</f>
        <v>63.425122162588053</v>
      </c>
      <c r="K56" s="56">
        <f t="array" ref="K56">E56+G56</f>
        <v>66.409545184099386</v>
      </c>
      <c r="L56" s="58"/>
      <c r="M56" s="1"/>
      <c r="N56" s="1"/>
      <c r="O56" s="1"/>
      <c r="P56" s="1"/>
      <c r="Q56" s="1"/>
      <c r="R56" s="1"/>
      <c r="S56" s="1"/>
      <c r="T56" s="1"/>
      <c r="U56" s="1"/>
      <c r="V56" s="1"/>
      <c r="W56" s="1"/>
      <c r="X56" s="1"/>
      <c r="Y56" s="1"/>
      <c r="Z56" s="1"/>
    </row>
    <row r="57" spans="1:26" ht="19.5" customHeight="1">
      <c r="A57" s="3" t="s">
        <v>392</v>
      </c>
      <c r="B57" s="22" t="s">
        <v>300</v>
      </c>
      <c r="C57" s="56">
        <f t="array" ref="C57">SUM(C22:C56)</f>
        <v>613930.00000000012</v>
      </c>
      <c r="D57" s="56">
        <f t="array" ref="D57">SUM(D22:D56)</f>
        <v>207157.5005206514</v>
      </c>
      <c r="E57" s="56">
        <f t="array" ref="E57">SUM(E22:E56)</f>
        <v>216905.1461309779</v>
      </c>
      <c r="F57" s="56">
        <f t="array" ref="F57">SUM(F22:F56)</f>
        <v>92751.49947934864</v>
      </c>
      <c r="G57" s="56">
        <f t="array" ref="G57">SUM(G22:G56)</f>
        <v>97115.853869022088</v>
      </c>
      <c r="H57" s="56">
        <f t="array" ref="H57">SUM(H22:H56)</f>
        <v>488777</v>
      </c>
      <c r="I57" s="56">
        <f t="array" ref="I57">SUM(I22:I56)</f>
        <v>172112</v>
      </c>
      <c r="J57" s="56">
        <f t="array" ref="J57">SUM(J22:J56)</f>
        <v>299908.99999999988</v>
      </c>
      <c r="K57" s="56">
        <f t="array" ref="K57">SUM(K22:K56)</f>
        <v>314021.00000000006</v>
      </c>
      <c r="L57" s="58"/>
      <c r="M57" s="1"/>
      <c r="N57" s="1"/>
      <c r="O57" s="1"/>
      <c r="P57" s="1"/>
      <c r="Q57" s="1"/>
      <c r="R57" s="1"/>
      <c r="S57" s="1"/>
      <c r="T57" s="1"/>
      <c r="U57" s="1"/>
      <c r="V57" s="1"/>
      <c r="W57" s="1"/>
      <c r="X57" s="1"/>
      <c r="Y57" s="1"/>
      <c r="Z57" s="1"/>
    </row>
    <row r="58" spans="1:26" ht="19.5" customHeight="1">
      <c r="A58" s="2"/>
      <c r="B58" s="17"/>
      <c r="C58" s="53"/>
      <c r="D58" s="53"/>
      <c r="E58" s="53"/>
      <c r="F58" s="53"/>
      <c r="G58" s="53"/>
      <c r="H58" s="13"/>
      <c r="I58" s="13"/>
      <c r="J58" s="13"/>
      <c r="K58" s="13"/>
      <c r="L58" s="13"/>
      <c r="M58" s="1"/>
      <c r="N58" s="1"/>
      <c r="O58" s="1"/>
      <c r="P58" s="1"/>
      <c r="Q58" s="1"/>
      <c r="R58" s="1"/>
      <c r="S58" s="1"/>
      <c r="T58" s="1"/>
      <c r="U58" s="1"/>
      <c r="V58" s="1"/>
      <c r="W58" s="1"/>
      <c r="X58" s="1"/>
      <c r="Y58" s="1"/>
      <c r="Z58" s="1"/>
    </row>
    <row r="59" spans="1:26" ht="19.5" customHeight="1">
      <c r="A59" s="3" t="s">
        <v>393</v>
      </c>
      <c r="B59" s="22" t="s">
        <v>76</v>
      </c>
      <c r="C59" s="163" t="str">
        <f t="array" ref="C59">IF(C60="","?",C60)&amp;IF(C61="","","; downloaded "&amp;C61)&amp;IF(C62="","","; "&amp;C62)</f>
        <v>siehe C14 (TFR-Quelle); ASFR-Shape aus Eurostat demo_facbc 2024; downloaded 2026-05-22</v>
      </c>
      <c r="D59" s="164"/>
      <c r="E59" s="164"/>
      <c r="F59" s="164"/>
      <c r="G59" s="164"/>
      <c r="H59" s="164"/>
      <c r="I59" s="164"/>
      <c r="J59" s="164"/>
      <c r="K59" s="165"/>
      <c r="L59" s="13"/>
      <c r="M59" s="1"/>
      <c r="N59" s="1"/>
      <c r="O59" s="1"/>
      <c r="P59" s="1"/>
      <c r="Q59" s="1"/>
      <c r="R59" s="1"/>
      <c r="S59" s="1"/>
      <c r="T59" s="1"/>
      <c r="U59" s="1"/>
      <c r="V59" s="1"/>
      <c r="W59" s="1"/>
      <c r="X59" s="1"/>
      <c r="Y59" s="1"/>
      <c r="Z59" s="1"/>
    </row>
    <row r="60" spans="1:26" ht="19.5" customHeight="1">
      <c r="A60" s="2"/>
      <c r="B60" s="22" t="s">
        <v>77</v>
      </c>
      <c r="C60" s="166" t="s">
        <v>394</v>
      </c>
      <c r="D60" s="164"/>
      <c r="E60" s="164"/>
      <c r="F60" s="164"/>
      <c r="G60" s="164"/>
      <c r="H60" s="164"/>
      <c r="I60" s="164"/>
      <c r="J60" s="164"/>
      <c r="K60" s="165"/>
      <c r="L60" s="13"/>
      <c r="M60" s="1"/>
      <c r="N60" s="1"/>
      <c r="O60" s="1"/>
      <c r="P60" s="1"/>
      <c r="Q60" s="1"/>
      <c r="R60" s="1"/>
      <c r="S60" s="1"/>
      <c r="T60" s="1"/>
      <c r="U60" s="1"/>
      <c r="V60" s="1"/>
      <c r="W60" s="1"/>
      <c r="X60" s="1"/>
      <c r="Y60" s="1"/>
      <c r="Z60" s="1"/>
    </row>
    <row r="61" spans="1:26" ht="19.5" customHeight="1">
      <c r="A61" s="23"/>
      <c r="B61" s="33" t="s">
        <v>79</v>
      </c>
      <c r="C61" s="166" t="s">
        <v>80</v>
      </c>
      <c r="D61" s="164"/>
      <c r="E61" s="164"/>
      <c r="F61" s="164"/>
      <c r="G61" s="164"/>
      <c r="H61" s="164"/>
      <c r="I61" s="164"/>
      <c r="J61" s="164"/>
      <c r="K61" s="165"/>
      <c r="L61" s="13"/>
      <c r="M61" s="1"/>
      <c r="N61" s="1"/>
      <c r="O61" s="1"/>
      <c r="P61" s="1"/>
      <c r="Q61" s="1"/>
      <c r="R61" s="1"/>
      <c r="S61" s="1"/>
      <c r="T61" s="1"/>
      <c r="U61" s="1"/>
      <c r="V61" s="1"/>
      <c r="W61" s="1"/>
      <c r="X61" s="1"/>
      <c r="Y61" s="1"/>
      <c r="Z61" s="1"/>
    </row>
    <row r="62" spans="1:26" ht="19.5" customHeight="1">
      <c r="A62" s="11"/>
      <c r="B62" s="12" t="s">
        <v>81</v>
      </c>
      <c r="C62" s="171"/>
      <c r="D62" s="164"/>
      <c r="E62" s="164"/>
      <c r="F62" s="164"/>
      <c r="G62" s="164"/>
      <c r="H62" s="164"/>
      <c r="I62" s="164"/>
      <c r="J62" s="164"/>
      <c r="K62" s="165"/>
      <c r="L62" s="13"/>
      <c r="M62" s="1"/>
      <c r="N62" s="1"/>
      <c r="O62" s="1"/>
      <c r="P62" s="1"/>
      <c r="Q62" s="1"/>
      <c r="R62" s="1"/>
      <c r="S62" s="1"/>
      <c r="T62" s="1"/>
      <c r="U62" s="1"/>
      <c r="V62" s="1"/>
      <c r="W62" s="1"/>
      <c r="X62" s="1"/>
      <c r="Y62" s="1"/>
      <c r="Z62" s="1"/>
    </row>
    <row r="63" spans="1:26" ht="19.5" customHeight="1">
      <c r="A63" s="11"/>
      <c r="B63" s="12" t="s">
        <v>82</v>
      </c>
      <c r="C63" s="171" t="s">
        <v>395</v>
      </c>
      <c r="D63" s="164"/>
      <c r="E63" s="164"/>
      <c r="F63" s="164"/>
      <c r="G63" s="164"/>
      <c r="H63" s="164"/>
      <c r="I63" s="164"/>
      <c r="J63" s="164"/>
      <c r="K63" s="165"/>
      <c r="L63" s="13"/>
      <c r="M63" s="1"/>
      <c r="N63" s="1"/>
      <c r="O63" s="1"/>
      <c r="P63" s="1"/>
      <c r="Q63" s="1"/>
      <c r="R63" s="1"/>
      <c r="S63" s="1"/>
      <c r="T63" s="1"/>
      <c r="U63" s="1"/>
      <c r="V63" s="1"/>
      <c r="W63" s="1"/>
      <c r="X63" s="1"/>
      <c r="Y63" s="1"/>
      <c r="Z63" s="1"/>
    </row>
    <row r="64" spans="1:26" ht="19.5" customHeight="1">
      <c r="A64" s="11"/>
      <c r="B64" s="12" t="s">
        <v>84</v>
      </c>
      <c r="C64" s="171"/>
      <c r="D64" s="164"/>
      <c r="E64" s="164"/>
      <c r="F64" s="164"/>
      <c r="G64" s="164"/>
      <c r="H64" s="164"/>
      <c r="I64" s="164"/>
      <c r="J64" s="164"/>
      <c r="K64" s="165"/>
      <c r="L64" s="13"/>
      <c r="M64" s="1"/>
      <c r="N64" s="1"/>
      <c r="O64" s="1"/>
      <c r="P64" s="1"/>
      <c r="Q64" s="1"/>
      <c r="R64" s="1"/>
      <c r="S64" s="1"/>
      <c r="T64" s="1"/>
      <c r="U64" s="1"/>
      <c r="V64" s="1"/>
      <c r="W64" s="1"/>
      <c r="X64" s="1"/>
      <c r="Y64" s="1"/>
      <c r="Z64" s="1"/>
    </row>
    <row r="65" spans="1:26" ht="19.5" customHeight="1">
      <c r="A65" s="11"/>
      <c r="B65" s="14"/>
      <c r="C65" s="25"/>
      <c r="D65" s="25"/>
      <c r="E65" s="25"/>
      <c r="F65" s="25"/>
      <c r="G65" s="25"/>
      <c r="H65" s="25"/>
      <c r="I65" s="25"/>
      <c r="J65" s="25"/>
      <c r="K65" s="25"/>
      <c r="L65" s="13"/>
      <c r="M65" s="1"/>
      <c r="N65" s="1"/>
      <c r="O65" s="1"/>
      <c r="P65" s="1"/>
      <c r="Q65" s="1"/>
      <c r="R65" s="1"/>
      <c r="S65" s="1"/>
      <c r="T65" s="1"/>
      <c r="U65" s="1"/>
      <c r="V65" s="1"/>
      <c r="W65" s="1"/>
      <c r="X65" s="1"/>
      <c r="Y65" s="1"/>
      <c r="Z65" s="1"/>
    </row>
    <row r="66" spans="1:26" ht="33" customHeight="1">
      <c r="A66" s="48"/>
      <c r="B66" s="49" t="s">
        <v>304</v>
      </c>
      <c r="C66" s="157" t="s">
        <v>305</v>
      </c>
      <c r="D66" s="158"/>
      <c r="E66" s="158"/>
      <c r="F66" s="158"/>
      <c r="G66" s="158"/>
      <c r="H66" s="158"/>
      <c r="I66" s="158"/>
      <c r="J66" s="158"/>
      <c r="K66" s="159"/>
      <c r="L66" s="59"/>
      <c r="M66" s="1"/>
      <c r="N66" s="1"/>
      <c r="O66" s="1"/>
      <c r="P66" s="1"/>
      <c r="Q66" s="1"/>
      <c r="R66" s="1"/>
      <c r="S66" s="1"/>
      <c r="T66" s="1"/>
      <c r="U66" s="1"/>
      <c r="V66" s="1"/>
      <c r="W66" s="1"/>
      <c r="X66" s="1"/>
      <c r="Y66" s="1"/>
      <c r="Z66" s="1"/>
    </row>
    <row r="67" spans="1:26" ht="26.25" customHeight="1">
      <c r="A67" s="51"/>
      <c r="B67" s="52" t="s">
        <v>320</v>
      </c>
      <c r="C67" s="160" t="s">
        <v>396</v>
      </c>
      <c r="D67" s="161"/>
      <c r="E67" s="161"/>
      <c r="F67" s="161"/>
      <c r="G67" s="161"/>
      <c r="H67" s="161"/>
      <c r="I67" s="161"/>
      <c r="J67" s="161"/>
      <c r="K67" s="162"/>
      <c r="L67" s="21"/>
      <c r="M67" s="1"/>
      <c r="N67" s="1"/>
      <c r="O67" s="1"/>
      <c r="P67" s="1"/>
      <c r="Q67" s="1"/>
      <c r="R67" s="1"/>
      <c r="S67" s="1"/>
      <c r="T67" s="1"/>
      <c r="U67" s="1"/>
      <c r="V67" s="1"/>
      <c r="W67" s="1"/>
      <c r="X67" s="1"/>
      <c r="Y67" s="1"/>
      <c r="Z67" s="1"/>
    </row>
    <row r="68" spans="1:26" ht="31.5" customHeight="1">
      <c r="A68" s="2"/>
      <c r="B68" s="74" t="s">
        <v>397</v>
      </c>
      <c r="C68" s="58"/>
      <c r="D68" s="58"/>
      <c r="E68" s="58"/>
      <c r="F68" s="58"/>
      <c r="G68" s="58"/>
      <c r="H68" s="75"/>
      <c r="I68" s="75"/>
      <c r="J68" s="58"/>
      <c r="K68" s="58"/>
      <c r="L68" s="13"/>
      <c r="M68" s="1"/>
      <c r="N68" s="1"/>
      <c r="O68" s="1"/>
      <c r="P68" s="1"/>
      <c r="Q68" s="1"/>
      <c r="R68" s="1"/>
      <c r="S68" s="1"/>
      <c r="T68" s="1"/>
      <c r="U68" s="1"/>
      <c r="V68" s="1"/>
      <c r="W68" s="1"/>
      <c r="X68" s="1"/>
      <c r="Y68" s="1"/>
      <c r="Z68" s="1"/>
    </row>
    <row r="69" spans="1:26" ht="31.5" customHeight="1">
      <c r="A69" s="23"/>
      <c r="B69" s="76" t="s">
        <v>398</v>
      </c>
      <c r="C69" s="77"/>
      <c r="D69" s="77"/>
      <c r="E69" s="77"/>
      <c r="F69" s="77"/>
      <c r="G69" s="77"/>
      <c r="H69" s="78">
        <f t="array" ref="H69">J69*H$11/$C$11</f>
        <v>0</v>
      </c>
      <c r="I69" s="78">
        <f t="array" ref="I69">J69*I$11/$C$11</f>
        <v>0</v>
      </c>
      <c r="J69" s="75"/>
      <c r="K69" s="58"/>
      <c r="L69" s="13"/>
      <c r="M69" s="1"/>
      <c r="N69" s="1"/>
      <c r="O69" s="1"/>
      <c r="P69" s="1"/>
      <c r="Q69" s="1"/>
      <c r="R69" s="1"/>
      <c r="S69" s="1"/>
      <c r="T69" s="1"/>
      <c r="U69" s="1"/>
      <c r="V69" s="1"/>
      <c r="W69" s="1"/>
      <c r="X69" s="1"/>
      <c r="Y69" s="1"/>
      <c r="Z69" s="1"/>
    </row>
    <row r="70" spans="1:26" ht="31.5" customHeight="1">
      <c r="A70" s="11"/>
      <c r="B70" s="79" t="s">
        <v>399</v>
      </c>
      <c r="C70" s="80"/>
      <c r="D70" s="80"/>
      <c r="E70" s="80"/>
      <c r="F70" s="80"/>
      <c r="G70" s="80"/>
      <c r="H70" s="81">
        <f t="array" ref="H70">H$72*$L70</f>
        <v>0</v>
      </c>
      <c r="I70" s="81">
        <f t="array" ref="I70">I$72*$L70</f>
        <v>0</v>
      </c>
      <c r="J70" s="77"/>
      <c r="K70" s="58"/>
      <c r="L70" s="13"/>
      <c r="M70" s="1"/>
      <c r="N70" s="1"/>
      <c r="O70" s="1"/>
      <c r="P70" s="1"/>
      <c r="Q70" s="1"/>
      <c r="R70" s="1"/>
      <c r="S70" s="1"/>
      <c r="T70" s="1"/>
      <c r="U70" s="1"/>
      <c r="V70" s="1"/>
      <c r="W70" s="1"/>
      <c r="X70" s="1"/>
      <c r="Y70" s="1"/>
      <c r="Z70" s="1"/>
    </row>
    <row r="71" spans="1:26" ht="31.5" customHeight="1">
      <c r="A71" s="11"/>
      <c r="B71" s="79" t="s">
        <v>400</v>
      </c>
      <c r="C71" s="80"/>
      <c r="D71" s="80"/>
      <c r="E71" s="80"/>
      <c r="F71" s="80"/>
      <c r="G71" s="80"/>
      <c r="H71" s="81">
        <f t="array" ref="H71">J71*H$11/$C$11</f>
        <v>0</v>
      </c>
      <c r="I71" s="81">
        <f t="array" ref="I71">J71*I$11/$C$11</f>
        <v>0</v>
      </c>
      <c r="J71" s="81">
        <f t="array" ref="J71">L71*J$11/$C$11</f>
        <v>0</v>
      </c>
      <c r="K71" s="58"/>
      <c r="L71" s="13"/>
      <c r="M71" s="1"/>
      <c r="N71" s="1"/>
      <c r="O71" s="1"/>
      <c r="P71" s="1"/>
      <c r="Q71" s="1"/>
      <c r="R71" s="1"/>
      <c r="S71" s="1"/>
      <c r="T71" s="1"/>
      <c r="U71" s="1"/>
      <c r="V71" s="1"/>
      <c r="W71" s="1"/>
      <c r="X71" s="1"/>
      <c r="Y71" s="1"/>
      <c r="Z71" s="1"/>
    </row>
    <row r="72" spans="1:26" ht="31.5" customHeight="1">
      <c r="A72" s="15"/>
      <c r="B72" s="82" t="s">
        <v>401</v>
      </c>
      <c r="C72" s="83"/>
      <c r="D72" s="83"/>
      <c r="E72" s="83"/>
      <c r="F72" s="83"/>
      <c r="G72" s="83"/>
      <c r="H72" s="84"/>
      <c r="I72" s="84"/>
      <c r="J72" s="84"/>
      <c r="K72" s="58"/>
      <c r="L72" s="53"/>
      <c r="M72" s="1"/>
      <c r="N72" s="1"/>
      <c r="O72" s="1"/>
      <c r="P72" s="1"/>
      <c r="Q72" s="1"/>
      <c r="R72" s="1"/>
      <c r="S72" s="1"/>
      <c r="T72" s="1"/>
      <c r="U72" s="1"/>
      <c r="V72" s="1"/>
      <c r="W72" s="1"/>
      <c r="X72" s="1"/>
      <c r="Y72" s="1"/>
      <c r="Z72" s="1"/>
    </row>
    <row r="73" spans="1:26" ht="19.5" customHeight="1">
      <c r="A73" s="2"/>
      <c r="B73" s="17"/>
      <c r="C73" s="58"/>
      <c r="D73" s="58"/>
      <c r="E73" s="58"/>
      <c r="F73" s="58"/>
      <c r="G73" s="58"/>
      <c r="H73" s="58"/>
      <c r="I73" s="58"/>
      <c r="J73" s="58"/>
      <c r="K73" s="58"/>
      <c r="L73" s="53"/>
      <c r="M73" s="1"/>
      <c r="N73" s="1"/>
      <c r="O73" s="1"/>
      <c r="P73" s="1"/>
      <c r="Q73" s="1"/>
      <c r="R73" s="1"/>
      <c r="S73" s="1"/>
      <c r="T73" s="1"/>
      <c r="U73" s="1"/>
      <c r="V73" s="1"/>
      <c r="W73" s="1"/>
      <c r="X73" s="1"/>
      <c r="Y73" s="1"/>
      <c r="Z73" s="1"/>
    </row>
    <row r="74" spans="1:26" ht="19.5" customHeight="1">
      <c r="A74" s="3"/>
      <c r="B74" s="22" t="s">
        <v>323</v>
      </c>
      <c r="C74" s="58"/>
      <c r="D74" s="58"/>
      <c r="E74" s="58"/>
      <c r="F74" s="58"/>
      <c r="G74" s="58"/>
      <c r="H74" s="75">
        <v>218</v>
      </c>
      <c r="I74" s="75">
        <v>157</v>
      </c>
      <c r="J74" s="58"/>
      <c r="K74" s="58"/>
      <c r="L74" s="85">
        <v>7.8364760000000004E-4</v>
      </c>
      <c r="M74" s="1"/>
      <c r="N74" s="1"/>
      <c r="O74" s="1"/>
      <c r="P74" s="1"/>
      <c r="Q74" s="1"/>
      <c r="R74" s="1"/>
      <c r="S74" s="1"/>
      <c r="T74" s="1"/>
      <c r="U74" s="1"/>
      <c r="V74" s="1"/>
      <c r="W74" s="1"/>
      <c r="X74" s="1"/>
      <c r="Y74" s="1"/>
      <c r="Z74" s="1"/>
    </row>
    <row r="75" spans="1:26" ht="19.5" customHeight="1">
      <c r="A75" s="3"/>
      <c r="B75" s="22" t="s">
        <v>325</v>
      </c>
      <c r="C75" s="58"/>
      <c r="D75" s="58"/>
      <c r="E75" s="58"/>
      <c r="F75" s="58"/>
      <c r="G75" s="58"/>
      <c r="H75" s="75">
        <v>625</v>
      </c>
      <c r="I75" s="75">
        <v>316</v>
      </c>
      <c r="J75" s="58"/>
      <c r="K75" s="58"/>
      <c r="L75" s="85">
        <v>1.3100233999999999E-3</v>
      </c>
      <c r="M75" s="1"/>
      <c r="N75" s="1"/>
      <c r="O75" s="1"/>
      <c r="P75" s="1"/>
      <c r="Q75" s="1"/>
      <c r="R75" s="1"/>
      <c r="S75" s="1"/>
      <c r="T75" s="1"/>
      <c r="U75" s="1"/>
      <c r="V75" s="1"/>
      <c r="W75" s="1"/>
      <c r="X75" s="1"/>
      <c r="Y75" s="1"/>
      <c r="Z75" s="1"/>
    </row>
    <row r="76" spans="1:26" ht="19.5" customHeight="1">
      <c r="A76" s="3"/>
      <c r="B76" s="22" t="s">
        <v>327</v>
      </c>
      <c r="C76" s="58"/>
      <c r="D76" s="58"/>
      <c r="E76" s="58"/>
      <c r="F76" s="58"/>
      <c r="G76" s="58"/>
      <c r="H76" s="75">
        <v>1200</v>
      </c>
      <c r="I76" s="75">
        <v>468</v>
      </c>
      <c r="J76" s="58"/>
      <c r="K76" s="58"/>
      <c r="L76" s="85">
        <v>2.1228169999999999E-3</v>
      </c>
      <c r="M76" s="1"/>
      <c r="N76" s="1"/>
      <c r="O76" s="1"/>
      <c r="P76" s="1"/>
      <c r="Q76" s="1"/>
      <c r="R76" s="1"/>
      <c r="S76" s="1"/>
      <c r="T76" s="1"/>
      <c r="U76" s="1"/>
      <c r="V76" s="1"/>
      <c r="W76" s="1"/>
      <c r="X76" s="1"/>
      <c r="Y76" s="1"/>
      <c r="Z76" s="1"/>
    </row>
    <row r="77" spans="1:26" ht="19.5" customHeight="1">
      <c r="A77" s="3"/>
      <c r="B77" s="22" t="s">
        <v>329</v>
      </c>
      <c r="C77" s="58"/>
      <c r="D77" s="58"/>
      <c r="E77" s="58"/>
      <c r="F77" s="58"/>
      <c r="G77" s="58"/>
      <c r="H77" s="75">
        <v>2293</v>
      </c>
      <c r="I77" s="75">
        <v>768</v>
      </c>
      <c r="J77" s="58"/>
      <c r="K77" s="58"/>
      <c r="L77" s="85">
        <v>3.3344276999999999E-3</v>
      </c>
      <c r="M77" s="1"/>
      <c r="N77" s="1"/>
      <c r="O77" s="1"/>
      <c r="P77" s="1"/>
      <c r="Q77" s="1"/>
      <c r="R77" s="1"/>
      <c r="S77" s="1"/>
      <c r="T77" s="1"/>
      <c r="U77" s="1"/>
      <c r="V77" s="1"/>
      <c r="W77" s="1"/>
      <c r="X77" s="1"/>
      <c r="Y77" s="1"/>
      <c r="Z77" s="1"/>
    </row>
    <row r="78" spans="1:26" ht="19.5" customHeight="1">
      <c r="A78" s="3"/>
      <c r="B78" s="22" t="s">
        <v>331</v>
      </c>
      <c r="C78" s="58"/>
      <c r="D78" s="58"/>
      <c r="E78" s="58"/>
      <c r="F78" s="58"/>
      <c r="G78" s="58"/>
      <c r="H78" s="75">
        <v>4319</v>
      </c>
      <c r="I78" s="75">
        <v>1317</v>
      </c>
      <c r="J78" s="58"/>
      <c r="K78" s="58"/>
      <c r="L78" s="85">
        <v>5.0769784000000004E-3</v>
      </c>
      <c r="M78" s="1"/>
      <c r="N78" s="1"/>
      <c r="O78" s="1"/>
      <c r="P78" s="1"/>
      <c r="Q78" s="1"/>
      <c r="R78" s="1"/>
      <c r="S78" s="1"/>
      <c r="T78" s="1"/>
      <c r="U78" s="1"/>
      <c r="V78" s="1"/>
      <c r="W78" s="1"/>
      <c r="X78" s="1"/>
      <c r="Y78" s="1"/>
      <c r="Z78" s="1"/>
    </row>
    <row r="79" spans="1:26" ht="19.5" customHeight="1">
      <c r="A79" s="3"/>
      <c r="B79" s="22" t="s">
        <v>333</v>
      </c>
      <c r="C79" s="58"/>
      <c r="D79" s="58"/>
      <c r="E79" s="58"/>
      <c r="F79" s="58"/>
      <c r="G79" s="58"/>
      <c r="H79" s="75">
        <v>6179</v>
      </c>
      <c r="I79" s="75">
        <v>2095</v>
      </c>
      <c r="J79" s="58"/>
      <c r="K79" s="58"/>
      <c r="L79" s="85">
        <v>7.4931527000000001E-3</v>
      </c>
      <c r="M79" s="1"/>
      <c r="N79" s="1"/>
      <c r="O79" s="1"/>
      <c r="P79" s="1"/>
      <c r="Q79" s="1"/>
      <c r="R79" s="1"/>
      <c r="S79" s="1"/>
      <c r="T79" s="1"/>
      <c r="U79" s="1"/>
      <c r="V79" s="1"/>
      <c r="W79" s="1"/>
      <c r="X79" s="1"/>
      <c r="Y79" s="1"/>
      <c r="Z79" s="1"/>
    </row>
    <row r="80" spans="1:26" ht="19.5" customHeight="1">
      <c r="A80" s="3"/>
      <c r="B80" s="22" t="s">
        <v>335</v>
      </c>
      <c r="C80" s="58"/>
      <c r="D80" s="58"/>
      <c r="E80" s="58"/>
      <c r="F80" s="58"/>
      <c r="G80" s="58"/>
      <c r="H80" s="75">
        <v>8217</v>
      </c>
      <c r="I80" s="75">
        <v>2874</v>
      </c>
      <c r="J80" s="58"/>
      <c r="K80" s="58"/>
      <c r="L80" s="85">
        <v>1.07201068E-2</v>
      </c>
      <c r="M80" s="1"/>
      <c r="N80" s="1"/>
      <c r="O80" s="1"/>
      <c r="P80" s="1"/>
      <c r="Q80" s="1"/>
      <c r="R80" s="1"/>
      <c r="S80" s="1"/>
      <c r="T80" s="1"/>
      <c r="U80" s="1"/>
      <c r="V80" s="1"/>
      <c r="W80" s="1"/>
      <c r="X80" s="1"/>
      <c r="Y80" s="1"/>
      <c r="Z80" s="1"/>
    </row>
    <row r="81" spans="1:26" ht="19.5" customHeight="1">
      <c r="A81" s="3"/>
      <c r="B81" s="22" t="s">
        <v>337</v>
      </c>
      <c r="C81" s="58"/>
      <c r="D81" s="58"/>
      <c r="E81" s="58"/>
      <c r="F81" s="58"/>
      <c r="G81" s="58"/>
      <c r="H81" s="75">
        <v>10608</v>
      </c>
      <c r="I81" s="75">
        <v>3441</v>
      </c>
      <c r="J81" s="58"/>
      <c r="K81" s="58"/>
      <c r="L81" s="85">
        <v>1.48665056E-2</v>
      </c>
      <c r="M81" s="1"/>
      <c r="N81" s="1"/>
      <c r="O81" s="1"/>
      <c r="P81" s="1"/>
      <c r="Q81" s="1"/>
      <c r="R81" s="1"/>
      <c r="S81" s="1"/>
      <c r="T81" s="1"/>
      <c r="U81" s="1"/>
      <c r="V81" s="1"/>
      <c r="W81" s="1"/>
      <c r="X81" s="1"/>
      <c r="Y81" s="1"/>
      <c r="Z81" s="1"/>
    </row>
    <row r="82" spans="1:26" ht="19.5" customHeight="1">
      <c r="A82" s="3"/>
      <c r="B82" s="22" t="s">
        <v>339</v>
      </c>
      <c r="C82" s="58"/>
      <c r="D82" s="58"/>
      <c r="E82" s="58"/>
      <c r="F82" s="58"/>
      <c r="G82" s="58"/>
      <c r="H82" s="75">
        <v>13787</v>
      </c>
      <c r="I82" s="75">
        <v>4604</v>
      </c>
      <c r="J82" s="58"/>
      <c r="K82" s="58"/>
      <c r="L82" s="85">
        <v>1.9984530300000001E-2</v>
      </c>
      <c r="M82" s="1"/>
      <c r="N82" s="1"/>
      <c r="O82" s="1"/>
      <c r="P82" s="1"/>
      <c r="Q82" s="1"/>
      <c r="R82" s="1"/>
      <c r="S82" s="1"/>
      <c r="T82" s="1"/>
      <c r="U82" s="1"/>
      <c r="V82" s="1"/>
      <c r="W82" s="1"/>
      <c r="X82" s="1"/>
      <c r="Y82" s="1"/>
      <c r="Z82" s="1"/>
    </row>
    <row r="83" spans="1:26" ht="19.5" customHeight="1">
      <c r="A83" s="3"/>
      <c r="B83" s="22" t="s">
        <v>341</v>
      </c>
      <c r="C83" s="58"/>
      <c r="D83" s="58"/>
      <c r="E83" s="58"/>
      <c r="F83" s="58"/>
      <c r="G83" s="58"/>
      <c r="H83" s="75">
        <v>16817</v>
      </c>
      <c r="I83" s="75">
        <v>5864</v>
      </c>
      <c r="J83" s="58"/>
      <c r="K83" s="58"/>
      <c r="L83" s="85">
        <v>2.6040795700000001E-2</v>
      </c>
      <c r="M83" s="1"/>
      <c r="N83" s="1"/>
      <c r="O83" s="1"/>
      <c r="P83" s="1"/>
      <c r="Q83" s="1"/>
      <c r="R83" s="1"/>
      <c r="S83" s="1"/>
      <c r="T83" s="1"/>
      <c r="U83" s="1"/>
      <c r="V83" s="1"/>
      <c r="W83" s="1"/>
      <c r="X83" s="1"/>
      <c r="Y83" s="1"/>
      <c r="Z83" s="1"/>
    </row>
    <row r="84" spans="1:26" ht="19.5" customHeight="1">
      <c r="A84" s="3"/>
      <c r="B84" s="22" t="s">
        <v>343</v>
      </c>
      <c r="C84" s="58"/>
      <c r="D84" s="58"/>
      <c r="E84" s="58"/>
      <c r="F84" s="58"/>
      <c r="G84" s="58"/>
      <c r="H84" s="75">
        <v>19960</v>
      </c>
      <c r="I84" s="75">
        <v>6616</v>
      </c>
      <c r="J84" s="58"/>
      <c r="K84" s="58"/>
      <c r="L84" s="85">
        <v>3.2891964400000001E-2</v>
      </c>
      <c r="M84" s="1"/>
      <c r="N84" s="1"/>
      <c r="O84" s="1"/>
      <c r="P84" s="1"/>
      <c r="Q84" s="1"/>
      <c r="R84" s="1"/>
      <c r="S84" s="1"/>
      <c r="T84" s="1"/>
      <c r="U84" s="1"/>
      <c r="V84" s="1"/>
      <c r="W84" s="1"/>
      <c r="X84" s="1"/>
      <c r="Y84" s="1"/>
      <c r="Z84" s="1"/>
    </row>
    <row r="85" spans="1:26" ht="19.5" customHeight="1">
      <c r="A85" s="3"/>
      <c r="B85" s="22" t="s">
        <v>345</v>
      </c>
      <c r="C85" s="58"/>
      <c r="D85" s="58"/>
      <c r="E85" s="58"/>
      <c r="F85" s="58"/>
      <c r="G85" s="58"/>
      <c r="H85" s="75">
        <v>23558</v>
      </c>
      <c r="I85" s="75">
        <v>7854</v>
      </c>
      <c r="J85" s="58"/>
      <c r="K85" s="58"/>
      <c r="L85" s="85">
        <v>4.0271762099999997E-2</v>
      </c>
      <c r="M85" s="1"/>
      <c r="N85" s="1"/>
      <c r="O85" s="1"/>
      <c r="P85" s="1"/>
      <c r="Q85" s="1"/>
      <c r="R85" s="1"/>
      <c r="S85" s="1"/>
      <c r="T85" s="1"/>
      <c r="U85" s="1"/>
      <c r="V85" s="1"/>
      <c r="W85" s="1"/>
      <c r="X85" s="1"/>
      <c r="Y85" s="1"/>
      <c r="Z85" s="1"/>
    </row>
    <row r="86" spans="1:26" ht="19.5" customHeight="1">
      <c r="A86" s="3"/>
      <c r="B86" s="22" t="s">
        <v>347</v>
      </c>
      <c r="C86" s="58"/>
      <c r="D86" s="58"/>
      <c r="E86" s="58"/>
      <c r="F86" s="58"/>
      <c r="G86" s="58"/>
      <c r="H86" s="75">
        <v>27546</v>
      </c>
      <c r="I86" s="75">
        <v>8735</v>
      </c>
      <c r="J86" s="58"/>
      <c r="K86" s="58"/>
      <c r="L86" s="85">
        <v>4.7795467299999998E-2</v>
      </c>
      <c r="M86" s="1"/>
      <c r="N86" s="1"/>
      <c r="O86" s="1"/>
      <c r="P86" s="1"/>
      <c r="Q86" s="1"/>
      <c r="R86" s="1"/>
      <c r="S86" s="1"/>
      <c r="T86" s="1"/>
      <c r="U86" s="1"/>
      <c r="V86" s="1"/>
      <c r="W86" s="1"/>
      <c r="X86" s="1"/>
      <c r="Y86" s="1"/>
      <c r="Z86" s="1"/>
    </row>
    <row r="87" spans="1:26" ht="19.5" customHeight="1">
      <c r="A87" s="3"/>
      <c r="B87" s="22" t="s">
        <v>349</v>
      </c>
      <c r="C87" s="58"/>
      <c r="D87" s="58"/>
      <c r="E87" s="58"/>
      <c r="F87" s="58"/>
      <c r="G87" s="58"/>
      <c r="H87" s="75">
        <v>31222</v>
      </c>
      <c r="I87" s="75">
        <v>9573</v>
      </c>
      <c r="J87" s="58"/>
      <c r="K87" s="58"/>
      <c r="L87" s="85">
        <v>5.4985483600000003E-2</v>
      </c>
      <c r="M87" s="1"/>
      <c r="N87" s="1"/>
      <c r="O87" s="1"/>
      <c r="P87" s="1"/>
      <c r="Q87" s="1"/>
      <c r="R87" s="1"/>
      <c r="S87" s="1"/>
      <c r="T87" s="1"/>
      <c r="U87" s="1"/>
      <c r="V87" s="1"/>
      <c r="W87" s="1"/>
      <c r="X87" s="1"/>
      <c r="Y87" s="1"/>
      <c r="Z87" s="1"/>
    </row>
    <row r="88" spans="1:26" ht="19.5" customHeight="1">
      <c r="A88" s="3"/>
      <c r="B88" s="22" t="s">
        <v>351</v>
      </c>
      <c r="C88" s="58"/>
      <c r="D88" s="58"/>
      <c r="E88" s="58"/>
      <c r="F88" s="58"/>
      <c r="G88" s="58"/>
      <c r="H88" s="75">
        <v>32843</v>
      </c>
      <c r="I88" s="75">
        <v>10360</v>
      </c>
      <c r="J88" s="58"/>
      <c r="K88" s="58"/>
      <c r="L88" s="85">
        <v>6.1317529000000003E-2</v>
      </c>
      <c r="M88" s="1"/>
      <c r="N88" s="1"/>
      <c r="O88" s="1"/>
      <c r="P88" s="1"/>
      <c r="Q88" s="1"/>
      <c r="R88" s="1"/>
      <c r="S88" s="1"/>
      <c r="T88" s="1"/>
      <c r="U88" s="1"/>
      <c r="V88" s="1"/>
      <c r="W88" s="1"/>
      <c r="X88" s="1"/>
      <c r="Y88" s="1"/>
      <c r="Z88" s="1"/>
    </row>
    <row r="89" spans="1:26" ht="19.5" customHeight="1">
      <c r="A89" s="3"/>
      <c r="B89" s="22" t="s">
        <v>353</v>
      </c>
      <c r="C89" s="58"/>
      <c r="D89" s="58"/>
      <c r="E89" s="58"/>
      <c r="F89" s="58"/>
      <c r="G89" s="58"/>
      <c r="H89" s="75">
        <v>34172</v>
      </c>
      <c r="I89" s="75">
        <v>10964</v>
      </c>
      <c r="J89" s="58"/>
      <c r="K89" s="58"/>
      <c r="L89" s="85">
        <v>6.62821366E-2</v>
      </c>
      <c r="M89" s="1"/>
      <c r="N89" s="1"/>
      <c r="O89" s="1"/>
      <c r="P89" s="1"/>
      <c r="Q89" s="1"/>
      <c r="R89" s="1"/>
      <c r="S89" s="1"/>
      <c r="T89" s="1"/>
      <c r="U89" s="1"/>
      <c r="V89" s="1"/>
      <c r="W89" s="1"/>
      <c r="X89" s="1"/>
      <c r="Y89" s="1"/>
      <c r="Z89" s="1"/>
    </row>
    <row r="90" spans="1:26" ht="19.5" customHeight="1">
      <c r="A90" s="3"/>
      <c r="B90" s="22" t="s">
        <v>355</v>
      </c>
      <c r="C90" s="58"/>
      <c r="D90" s="58"/>
      <c r="E90" s="58"/>
      <c r="F90" s="58"/>
      <c r="G90" s="58"/>
      <c r="H90" s="75">
        <v>35552</v>
      </c>
      <c r="I90" s="75">
        <v>11232</v>
      </c>
      <c r="J90" s="58"/>
      <c r="K90" s="58"/>
      <c r="L90" s="85">
        <v>6.9451816900000005E-2</v>
      </c>
      <c r="M90" s="1"/>
      <c r="N90" s="1"/>
      <c r="O90" s="1"/>
      <c r="P90" s="1"/>
      <c r="Q90" s="1"/>
      <c r="R90" s="1"/>
      <c r="S90" s="1"/>
      <c r="T90" s="1"/>
      <c r="U90" s="1"/>
      <c r="V90" s="1"/>
      <c r="W90" s="1"/>
      <c r="X90" s="1"/>
      <c r="Y90" s="1"/>
      <c r="Z90" s="1"/>
    </row>
    <row r="91" spans="1:26" ht="19.5" customHeight="1">
      <c r="A91" s="3"/>
      <c r="B91" s="22" t="s">
        <v>357</v>
      </c>
      <c r="C91" s="58"/>
      <c r="D91" s="58"/>
      <c r="E91" s="58"/>
      <c r="F91" s="58"/>
      <c r="G91" s="58"/>
      <c r="H91" s="75">
        <v>35900</v>
      </c>
      <c r="I91" s="75">
        <v>11133</v>
      </c>
      <c r="J91" s="58"/>
      <c r="K91" s="58"/>
      <c r="L91" s="85">
        <v>7.0541709899999999E-2</v>
      </c>
      <c r="M91" s="1"/>
      <c r="N91" s="1"/>
      <c r="O91" s="1"/>
      <c r="P91" s="1"/>
      <c r="Q91" s="1"/>
      <c r="R91" s="1"/>
      <c r="S91" s="1"/>
      <c r="T91" s="1"/>
      <c r="U91" s="1"/>
      <c r="V91" s="1"/>
      <c r="W91" s="1"/>
      <c r="X91" s="1"/>
      <c r="Y91" s="1"/>
      <c r="Z91" s="1"/>
    </row>
    <row r="92" spans="1:26" ht="19.5" customHeight="1">
      <c r="A92" s="3"/>
      <c r="B92" s="22" t="s">
        <v>359</v>
      </c>
      <c r="C92" s="58"/>
      <c r="D92" s="58"/>
      <c r="E92" s="58"/>
      <c r="F92" s="58"/>
      <c r="G92" s="58"/>
      <c r="H92" s="75">
        <v>33916</v>
      </c>
      <c r="I92" s="75">
        <v>10701</v>
      </c>
      <c r="J92" s="58"/>
      <c r="K92" s="58"/>
      <c r="L92" s="85">
        <v>6.9451816900000005E-2</v>
      </c>
      <c r="M92" s="1"/>
      <c r="N92" s="1"/>
      <c r="O92" s="1"/>
      <c r="P92" s="1"/>
      <c r="Q92" s="1"/>
      <c r="R92" s="1"/>
      <c r="S92" s="1"/>
      <c r="T92" s="1"/>
      <c r="U92" s="1"/>
      <c r="V92" s="1"/>
      <c r="W92" s="1"/>
      <c r="X92" s="1"/>
      <c r="Y92" s="1"/>
      <c r="Z92" s="1"/>
    </row>
    <row r="93" spans="1:26" ht="19.5" customHeight="1">
      <c r="A93" s="3"/>
      <c r="B93" s="22" t="s">
        <v>361</v>
      </c>
      <c r="C93" s="58"/>
      <c r="D93" s="58"/>
      <c r="E93" s="58"/>
      <c r="F93" s="58"/>
      <c r="G93" s="58"/>
      <c r="H93" s="75">
        <v>30990</v>
      </c>
      <c r="I93" s="75">
        <v>10452</v>
      </c>
      <c r="J93" s="58"/>
      <c r="K93" s="58"/>
      <c r="L93" s="85">
        <v>6.62821366E-2</v>
      </c>
      <c r="M93" s="1"/>
      <c r="N93" s="1"/>
      <c r="O93" s="1"/>
      <c r="P93" s="1"/>
      <c r="Q93" s="1"/>
      <c r="R93" s="1"/>
      <c r="S93" s="1"/>
      <c r="T93" s="1"/>
      <c r="U93" s="1"/>
      <c r="V93" s="1"/>
      <c r="W93" s="1"/>
      <c r="X93" s="1"/>
      <c r="Y93" s="1"/>
      <c r="Z93" s="1"/>
    </row>
    <row r="94" spans="1:26" ht="19.5" customHeight="1">
      <c r="A94" s="3"/>
      <c r="B94" s="22" t="s">
        <v>363</v>
      </c>
      <c r="C94" s="58"/>
      <c r="D94" s="58"/>
      <c r="E94" s="58"/>
      <c r="F94" s="58"/>
      <c r="G94" s="58"/>
      <c r="H94" s="75">
        <v>27734</v>
      </c>
      <c r="I94" s="75">
        <v>9823</v>
      </c>
      <c r="J94" s="58"/>
      <c r="K94" s="58"/>
      <c r="L94" s="85">
        <v>6.1317529000000003E-2</v>
      </c>
      <c r="M94" s="1"/>
      <c r="N94" s="1"/>
      <c r="O94" s="1"/>
      <c r="P94" s="1"/>
      <c r="Q94" s="1"/>
      <c r="R94" s="1"/>
      <c r="S94" s="1"/>
      <c r="T94" s="1"/>
      <c r="U94" s="1"/>
      <c r="V94" s="1"/>
      <c r="W94" s="1"/>
      <c r="X94" s="1"/>
      <c r="Y94" s="1"/>
      <c r="Z94" s="1"/>
    </row>
    <row r="95" spans="1:26" ht="19.5" customHeight="1">
      <c r="A95" s="3"/>
      <c r="B95" s="22" t="s">
        <v>365</v>
      </c>
      <c r="C95" s="58"/>
      <c r="D95" s="58"/>
      <c r="E95" s="58"/>
      <c r="F95" s="58"/>
      <c r="G95" s="58"/>
      <c r="H95" s="75">
        <v>23026</v>
      </c>
      <c r="I95" s="75">
        <v>8928</v>
      </c>
      <c r="J95" s="58"/>
      <c r="K95" s="58"/>
      <c r="L95" s="85">
        <v>5.4985483600000003E-2</v>
      </c>
      <c r="M95" s="1"/>
      <c r="N95" s="1"/>
      <c r="O95" s="1"/>
      <c r="P95" s="1"/>
      <c r="Q95" s="1"/>
      <c r="R95" s="1"/>
      <c r="S95" s="1"/>
      <c r="T95" s="1"/>
      <c r="U95" s="1"/>
      <c r="V95" s="1"/>
      <c r="W95" s="1"/>
      <c r="X95" s="1"/>
      <c r="Y95" s="1"/>
      <c r="Z95" s="1"/>
    </row>
    <row r="96" spans="1:26" ht="19.5" customHeight="1">
      <c r="A96" s="3"/>
      <c r="B96" s="22" t="s">
        <v>367</v>
      </c>
      <c r="C96" s="58"/>
      <c r="D96" s="58"/>
      <c r="E96" s="58"/>
      <c r="F96" s="58"/>
      <c r="G96" s="58"/>
      <c r="H96" s="75">
        <v>18703</v>
      </c>
      <c r="I96" s="75">
        <v>7801</v>
      </c>
      <c r="J96" s="58"/>
      <c r="K96" s="58"/>
      <c r="L96" s="85">
        <v>4.7795467299999998E-2</v>
      </c>
      <c r="M96" s="1"/>
      <c r="N96" s="1"/>
      <c r="O96" s="1"/>
      <c r="P96" s="1"/>
      <c r="Q96" s="1"/>
      <c r="R96" s="1"/>
      <c r="S96" s="1"/>
      <c r="T96" s="1"/>
      <c r="U96" s="1"/>
      <c r="V96" s="1"/>
      <c r="W96" s="1"/>
      <c r="X96" s="1"/>
      <c r="Y96" s="1"/>
      <c r="Z96" s="1"/>
    </row>
    <row r="97" spans="1:26" ht="19.5" customHeight="1">
      <c r="A97" s="3"/>
      <c r="B97" s="22" t="s">
        <v>369</v>
      </c>
      <c r="C97" s="58"/>
      <c r="D97" s="58"/>
      <c r="E97" s="58"/>
      <c r="F97" s="58"/>
      <c r="G97" s="58"/>
      <c r="H97" s="75">
        <v>14588</v>
      </c>
      <c r="I97" s="75">
        <v>6775</v>
      </c>
      <c r="J97" s="58"/>
      <c r="K97" s="58"/>
      <c r="L97" s="85">
        <v>4.0271762099999997E-2</v>
      </c>
      <c r="M97" s="1"/>
      <c r="N97" s="1"/>
      <c r="O97" s="1"/>
      <c r="P97" s="1"/>
      <c r="Q97" s="1"/>
      <c r="R97" s="1"/>
      <c r="S97" s="1"/>
      <c r="T97" s="1"/>
      <c r="U97" s="1"/>
      <c r="V97" s="1"/>
      <c r="W97" s="1"/>
      <c r="X97" s="1"/>
      <c r="Y97" s="1"/>
      <c r="Z97" s="1"/>
    </row>
    <row r="98" spans="1:26" ht="19.5" customHeight="1">
      <c r="A98" s="3"/>
      <c r="B98" s="22" t="s">
        <v>371</v>
      </c>
      <c r="C98" s="58"/>
      <c r="D98" s="58"/>
      <c r="E98" s="58"/>
      <c r="F98" s="58"/>
      <c r="G98" s="58"/>
      <c r="H98" s="75">
        <v>11509</v>
      </c>
      <c r="I98" s="75">
        <v>5639</v>
      </c>
      <c r="J98" s="58"/>
      <c r="K98" s="58"/>
      <c r="L98" s="85">
        <v>3.2891964400000001E-2</v>
      </c>
      <c r="M98" s="1"/>
      <c r="N98" s="1"/>
      <c r="O98" s="1"/>
      <c r="P98" s="1"/>
      <c r="Q98" s="1"/>
      <c r="R98" s="1"/>
      <c r="S98" s="1"/>
      <c r="T98" s="1"/>
      <c r="U98" s="1"/>
      <c r="V98" s="1"/>
      <c r="W98" s="1"/>
      <c r="X98" s="1"/>
      <c r="Y98" s="1"/>
      <c r="Z98" s="1"/>
    </row>
    <row r="99" spans="1:26" ht="19.5" customHeight="1">
      <c r="A99" s="3"/>
      <c r="B99" s="22" t="s">
        <v>373</v>
      </c>
      <c r="C99" s="58"/>
      <c r="D99" s="58"/>
      <c r="E99" s="58"/>
      <c r="F99" s="58"/>
      <c r="G99" s="58"/>
      <c r="H99" s="75">
        <v>8287</v>
      </c>
      <c r="I99" s="75">
        <v>4491</v>
      </c>
      <c r="J99" s="58"/>
      <c r="K99" s="58"/>
      <c r="L99" s="85">
        <v>2.6040795700000001E-2</v>
      </c>
      <c r="M99" s="1"/>
      <c r="N99" s="1"/>
      <c r="O99" s="1"/>
      <c r="P99" s="1"/>
      <c r="Q99" s="1"/>
      <c r="R99" s="1"/>
      <c r="S99" s="1"/>
      <c r="T99" s="1"/>
      <c r="U99" s="1"/>
      <c r="V99" s="1"/>
      <c r="W99" s="1"/>
      <c r="X99" s="1"/>
      <c r="Y99" s="1"/>
      <c r="Z99" s="1"/>
    </row>
    <row r="100" spans="1:26" ht="19.5" customHeight="1">
      <c r="A100" s="3"/>
      <c r="B100" s="22" t="s">
        <v>375</v>
      </c>
      <c r="C100" s="58"/>
      <c r="D100" s="58"/>
      <c r="E100" s="58"/>
      <c r="F100" s="58"/>
      <c r="G100" s="58"/>
      <c r="H100" s="75">
        <v>5766</v>
      </c>
      <c r="I100" s="75">
        <v>3273</v>
      </c>
      <c r="J100" s="58"/>
      <c r="K100" s="58"/>
      <c r="L100" s="85">
        <v>1.9984530300000001E-2</v>
      </c>
      <c r="M100" s="1"/>
      <c r="N100" s="1"/>
      <c r="O100" s="1"/>
      <c r="P100" s="1"/>
      <c r="Q100" s="1"/>
      <c r="R100" s="1"/>
      <c r="S100" s="1"/>
      <c r="T100" s="1"/>
      <c r="U100" s="1"/>
      <c r="V100" s="1"/>
      <c r="W100" s="1"/>
      <c r="X100" s="1"/>
      <c r="Y100" s="1"/>
      <c r="Z100" s="1"/>
    </row>
    <row r="101" spans="1:26" ht="19.5" customHeight="1">
      <c r="A101" s="3"/>
      <c r="B101" s="22" t="s">
        <v>377</v>
      </c>
      <c r="C101" s="58"/>
      <c r="D101" s="58"/>
      <c r="E101" s="58"/>
      <c r="F101" s="58"/>
      <c r="G101" s="58"/>
      <c r="H101" s="75">
        <v>3982</v>
      </c>
      <c r="I101" s="75">
        <v>2307</v>
      </c>
      <c r="J101" s="58"/>
      <c r="K101" s="58"/>
      <c r="L101" s="85">
        <v>1.48665056E-2</v>
      </c>
      <c r="M101" s="1"/>
      <c r="N101" s="1"/>
      <c r="O101" s="1"/>
      <c r="P101" s="1"/>
      <c r="Q101" s="1"/>
      <c r="R101" s="1"/>
      <c r="S101" s="1"/>
      <c r="T101" s="1"/>
      <c r="U101" s="1"/>
      <c r="V101" s="1"/>
      <c r="W101" s="1"/>
      <c r="X101" s="1"/>
      <c r="Y101" s="1"/>
      <c r="Z101" s="1"/>
    </row>
    <row r="102" spans="1:26" ht="19.5" customHeight="1">
      <c r="A102" s="3"/>
      <c r="B102" s="22" t="s">
        <v>379</v>
      </c>
      <c r="C102" s="58"/>
      <c r="D102" s="58"/>
      <c r="E102" s="58"/>
      <c r="F102" s="58"/>
      <c r="G102" s="58"/>
      <c r="H102" s="75">
        <v>2481</v>
      </c>
      <c r="I102" s="75">
        <v>1487</v>
      </c>
      <c r="J102" s="58"/>
      <c r="K102" s="58"/>
      <c r="L102" s="85">
        <v>1.07201068E-2</v>
      </c>
      <c r="M102" s="1"/>
      <c r="N102" s="1"/>
      <c r="O102" s="1"/>
      <c r="P102" s="1"/>
      <c r="Q102" s="1"/>
      <c r="R102" s="1"/>
      <c r="S102" s="1"/>
      <c r="T102" s="1"/>
      <c r="U102" s="1"/>
      <c r="V102" s="1"/>
      <c r="W102" s="1"/>
      <c r="X102" s="1"/>
      <c r="Y102" s="1"/>
      <c r="Z102" s="1"/>
    </row>
    <row r="103" spans="1:26" ht="19.5" customHeight="1">
      <c r="A103" s="3"/>
      <c r="B103" s="22" t="s">
        <v>381</v>
      </c>
      <c r="C103" s="58"/>
      <c r="D103" s="58"/>
      <c r="E103" s="58"/>
      <c r="F103" s="58"/>
      <c r="G103" s="58"/>
      <c r="H103" s="75">
        <v>1317</v>
      </c>
      <c r="I103" s="75">
        <v>957</v>
      </c>
      <c r="J103" s="58"/>
      <c r="K103" s="58"/>
      <c r="L103" s="85">
        <v>7.4931527000000001E-3</v>
      </c>
      <c r="M103" s="1"/>
      <c r="N103" s="1"/>
      <c r="O103" s="1"/>
      <c r="P103" s="1"/>
      <c r="Q103" s="1"/>
      <c r="R103" s="1"/>
      <c r="S103" s="1"/>
      <c r="T103" s="1"/>
      <c r="U103" s="1"/>
      <c r="V103" s="1"/>
      <c r="W103" s="1"/>
      <c r="X103" s="1"/>
      <c r="Y103" s="1"/>
      <c r="Z103" s="1"/>
    </row>
    <row r="104" spans="1:26" ht="19.5" customHeight="1">
      <c r="A104" s="3"/>
      <c r="B104" s="22" t="s">
        <v>383</v>
      </c>
      <c r="C104" s="58"/>
      <c r="D104" s="58"/>
      <c r="E104" s="58"/>
      <c r="F104" s="58"/>
      <c r="G104" s="58"/>
      <c r="H104" s="75">
        <v>697</v>
      </c>
      <c r="I104" s="75">
        <v>522</v>
      </c>
      <c r="J104" s="58"/>
      <c r="K104" s="58"/>
      <c r="L104" s="85">
        <v>5.0769784000000004E-3</v>
      </c>
      <c r="M104" s="1"/>
      <c r="N104" s="1"/>
      <c r="O104" s="1"/>
      <c r="P104" s="1"/>
      <c r="Q104" s="1"/>
      <c r="R104" s="1"/>
      <c r="S104" s="1"/>
      <c r="T104" s="1"/>
      <c r="U104" s="1"/>
      <c r="V104" s="1"/>
      <c r="W104" s="1"/>
      <c r="X104" s="1"/>
      <c r="Y104" s="1"/>
      <c r="Z104" s="1"/>
    </row>
    <row r="105" spans="1:26" ht="19.5" customHeight="1">
      <c r="A105" s="3"/>
      <c r="B105" s="22" t="s">
        <v>385</v>
      </c>
      <c r="C105" s="58"/>
      <c r="D105" s="58"/>
      <c r="E105" s="58"/>
      <c r="F105" s="58"/>
      <c r="G105" s="58"/>
      <c r="H105" s="75">
        <v>392</v>
      </c>
      <c r="I105" s="75">
        <v>268</v>
      </c>
      <c r="J105" s="58"/>
      <c r="K105" s="58"/>
      <c r="L105" s="85">
        <v>3.3344276999999999E-3</v>
      </c>
      <c r="M105" s="1"/>
      <c r="N105" s="1"/>
      <c r="O105" s="1"/>
      <c r="P105" s="1"/>
      <c r="Q105" s="1"/>
      <c r="R105" s="1"/>
      <c r="S105" s="1"/>
      <c r="T105" s="1"/>
      <c r="U105" s="1"/>
      <c r="V105" s="1"/>
      <c r="W105" s="1"/>
      <c r="X105" s="1"/>
      <c r="Y105" s="1"/>
      <c r="Z105" s="1"/>
    </row>
    <row r="106" spans="1:26" ht="19.5" customHeight="1">
      <c r="A106" s="3"/>
      <c r="B106" s="22" t="s">
        <v>387</v>
      </c>
      <c r="C106" s="58"/>
      <c r="D106" s="58"/>
      <c r="E106" s="58"/>
      <c r="F106" s="58"/>
      <c r="G106" s="58"/>
      <c r="H106" s="75">
        <v>195</v>
      </c>
      <c r="I106" s="75">
        <v>168</v>
      </c>
      <c r="J106" s="58"/>
      <c r="K106" s="58"/>
      <c r="L106" s="85">
        <v>2.1228169999999999E-3</v>
      </c>
      <c r="M106" s="1"/>
      <c r="N106" s="1"/>
      <c r="O106" s="1"/>
      <c r="P106" s="1"/>
      <c r="Q106" s="1"/>
      <c r="R106" s="1"/>
      <c r="S106" s="1"/>
      <c r="T106" s="1"/>
      <c r="U106" s="1"/>
      <c r="V106" s="1"/>
      <c r="W106" s="1"/>
      <c r="X106" s="1"/>
      <c r="Y106" s="1"/>
      <c r="Z106" s="1"/>
    </row>
    <row r="107" spans="1:26" ht="19.5" customHeight="1">
      <c r="A107" s="3"/>
      <c r="B107" s="22" t="s">
        <v>389</v>
      </c>
      <c r="C107" s="58"/>
      <c r="D107" s="58"/>
      <c r="E107" s="58"/>
      <c r="F107" s="58"/>
      <c r="G107" s="58"/>
      <c r="H107" s="75">
        <v>111</v>
      </c>
      <c r="I107" s="75">
        <v>84</v>
      </c>
      <c r="J107" s="58"/>
      <c r="K107" s="58"/>
      <c r="L107" s="85">
        <v>1.3100233999999999E-3</v>
      </c>
      <c r="M107" s="1"/>
      <c r="N107" s="1"/>
      <c r="O107" s="1"/>
      <c r="P107" s="1"/>
      <c r="Q107" s="1"/>
      <c r="R107" s="1"/>
      <c r="S107" s="1"/>
      <c r="T107" s="1"/>
      <c r="U107" s="1"/>
      <c r="V107" s="1"/>
      <c r="W107" s="1"/>
      <c r="X107" s="1"/>
      <c r="Y107" s="1"/>
      <c r="Z107" s="1"/>
    </row>
    <row r="108" spans="1:26" ht="19.5" customHeight="1">
      <c r="A108" s="86"/>
      <c r="B108" s="33" t="s">
        <v>391</v>
      </c>
      <c r="C108" s="77"/>
      <c r="D108" s="77"/>
      <c r="E108" s="77"/>
      <c r="F108" s="77"/>
      <c r="G108" s="77"/>
      <c r="H108" s="87">
        <v>67</v>
      </c>
      <c r="I108" s="87">
        <v>65</v>
      </c>
      <c r="J108" s="77"/>
      <c r="K108" s="77"/>
      <c r="L108" s="85">
        <v>7.8364750000000001E-4</v>
      </c>
      <c r="M108" s="1"/>
      <c r="N108" s="1"/>
      <c r="O108" s="1"/>
      <c r="P108" s="1"/>
      <c r="Q108" s="1"/>
      <c r="R108" s="1"/>
      <c r="S108" s="1"/>
      <c r="T108" s="1"/>
      <c r="U108" s="1"/>
      <c r="V108" s="1"/>
      <c r="W108" s="1"/>
      <c r="X108" s="1"/>
      <c r="Y108" s="1"/>
      <c r="Z108" s="1"/>
    </row>
    <row r="109" spans="1:26" ht="19.5" customHeight="1">
      <c r="A109" s="88"/>
      <c r="B109" s="89"/>
      <c r="C109" s="90"/>
      <c r="D109" s="91"/>
      <c r="E109" s="91"/>
      <c r="F109" s="91"/>
      <c r="G109" s="91"/>
      <c r="H109" s="91"/>
      <c r="I109" s="91"/>
      <c r="J109" s="91"/>
      <c r="K109" s="91"/>
      <c r="L109" s="92">
        <f t="array" ref="L109">SUM(L74:L108)</f>
        <v>1</v>
      </c>
      <c r="M109" s="1"/>
      <c r="N109" s="1"/>
      <c r="O109" s="1"/>
      <c r="P109" s="1"/>
      <c r="Q109" s="1"/>
      <c r="R109" s="1"/>
      <c r="S109" s="1"/>
      <c r="T109" s="1"/>
      <c r="U109" s="1"/>
      <c r="V109" s="1"/>
      <c r="W109" s="1"/>
      <c r="X109" s="1"/>
      <c r="Y109" s="1"/>
      <c r="Z109" s="1"/>
    </row>
    <row r="110" spans="1:26" ht="19.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9.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9.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9.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9.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9.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9.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9.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9.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9.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9.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9.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9.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9.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9.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9.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9.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9.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9.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9.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9.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9.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9.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9.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9.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9.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9.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9.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9.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9.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9.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9.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9.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9.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9.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9.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9.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9.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9.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9.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9.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9.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9.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9.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9.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9.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9.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9.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9.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9.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9.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9.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9.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9.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9.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9.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9.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9.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9.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9.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9.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9.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9.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9.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9.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9.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9.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9.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9.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9.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9.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9.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9.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9.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9.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9.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9.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9.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9.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9.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9.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9.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9.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9.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9.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9.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9.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9.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9.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9.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9.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9.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9.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9.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9.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9.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9.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9.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9.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9.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9.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9.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9.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9.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9.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9.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9.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9.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9.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9.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9.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9.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9.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9.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9.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9.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9.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9.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9.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9.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9.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9.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9.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9.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9.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9.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9.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9.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9.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9.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9.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9.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9.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9.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9.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9.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9.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9.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9.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9.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9.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9.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9.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9.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9.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9.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9.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9.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9.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9.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9.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9.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9.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9.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9.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9.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9.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9.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9.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9.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9.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9.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9.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9.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9.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9.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9.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9.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9.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9.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9.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9.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9.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9.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9.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9.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9.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9.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9.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9.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9.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9.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9.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9.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9.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9.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9.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9.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9.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9.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9.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9.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9.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9.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9.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9.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9.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9.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9.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9.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9.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9.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9.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9.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9.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9.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9.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9.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9.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9.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9.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9.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9.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9.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9.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9.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9.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9.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9.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9.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9.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9.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9.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9.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9.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9.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9.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9.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9.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9.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9.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9.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9.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9.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9.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9.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9.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9.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9.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9.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9.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9.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9.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9.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9.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9.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9.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9.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9.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9.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9.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9.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9.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9.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9.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9.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9.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9.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9.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9.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9.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9.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9.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9.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9.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9.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9.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9.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9.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9.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9.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9.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9.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9.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9.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9.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9.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9.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9.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9.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9.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9.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9.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9.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9.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9.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9.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9.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9.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9.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9.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9.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9.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9.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9.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9.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9.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9.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9.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9.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9.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9.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9.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9.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9.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9.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9.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9.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9.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9.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9.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9.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9.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9.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9.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9.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9.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9.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9.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9.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9.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9.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9.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9.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9.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9.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9.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9.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9.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9.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9.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9.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9.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9.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9.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9.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9.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9.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9.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9.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9.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9.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9.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9.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9.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9.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9.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9.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9.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9.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9.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9.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9.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9.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9.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9.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9.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9.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9.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9.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9.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9.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9.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9.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9.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9.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9.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9.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9.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9.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9.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9.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9.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9.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9.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9.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9.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9.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9.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9.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9.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9.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9.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9.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9.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9.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9.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9.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9.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9.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9.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9.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9.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9.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9.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9.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9.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9.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9.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9.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9.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9.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9.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9.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9.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9.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9.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9.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9.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9.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9.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9.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9.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9.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9.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9.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9.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9.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9.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9.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9.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9.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9.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9.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9.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9.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9.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9.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9.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9.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9.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9.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9.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9.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9.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9.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9.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9.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9.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9.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9.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9.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9.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9.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9.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9.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9.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9.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9.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9.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9.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9.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9.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9.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9.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9.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9.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9.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9.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9.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9.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9.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9.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9.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9.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9.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9.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9.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9.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9.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9.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9.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9.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9.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9.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9.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9.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9.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9.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9.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9.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9.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9.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9.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9.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9.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9.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9.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9.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9.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9.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9.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9.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9.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9.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9.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9.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9.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9.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9.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9.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9.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9.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9.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9.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9.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9.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9.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9.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9.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9.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9.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9.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9.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9.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9.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9.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9.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9.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9.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9.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9.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9.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9.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9.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9.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9.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9.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9.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9.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9.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9.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9.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9.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9.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9.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9.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9.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9.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9.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9.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9.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9.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9.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9.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9.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9.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9.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9.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9.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9.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9.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9.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9.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9.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9.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9.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9.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9.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9.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9.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9.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9.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9.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9.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9.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9.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9.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9.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9.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9.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9.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9.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9.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9.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9.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9.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9.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9.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9.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9.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9.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9.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9.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9.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9.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9.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9.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9.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9.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9.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9.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9.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9.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9.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9.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9.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9.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9.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9.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9.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9.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9.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9.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9.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9.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9.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9.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9.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9.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9.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9.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9.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9.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9.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9.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9.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9.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9.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9.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9.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9.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9.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9.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9.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9.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9.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9.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9.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9.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9.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9.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9.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9.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9.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9.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9.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9.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9.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9.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9.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9.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9.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9.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9.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9.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9.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9.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9.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9.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9.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9.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9.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9.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9.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9.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9.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9.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9.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9.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9.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9.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9.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9.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9.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9.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9.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9.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9.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9.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9.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9.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9.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9.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9.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9.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9.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9.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9.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9.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9.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9.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9.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9.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9.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9.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9.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9.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9.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9.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9.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9.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9.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9.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9.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9.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9.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9.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9.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9.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9.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9.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9.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9.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9.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9.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9.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9.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9.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9.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9.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9.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9.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9.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9.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9.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9.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9.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9.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9.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9.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9.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9.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9.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9.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9.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9.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9.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9.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9.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9.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9.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9.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9.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9.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9.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9.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9.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9.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9.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9.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9.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9.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9.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9.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9.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9.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9.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9.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9.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9.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9.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9.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9.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9.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9.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9.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9.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9.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9.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9.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9.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9.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9.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9.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9.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9.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9.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9.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9.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9.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9.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9.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9.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9.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9.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9.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9.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9.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9.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9.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9.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9.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9.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9.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9.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9.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9.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9.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9.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9.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9.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9.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9.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9.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9.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9.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9.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9.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9.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9.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9.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9.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9.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9.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9.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9.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9.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9.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9.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9.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9.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9.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9.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9.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9.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9.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9.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9.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9.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9.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9.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9.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9.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9.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9.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9.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9.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9.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9.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9.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9.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9.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9.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9.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9.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9.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9.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9.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9.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9.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9.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9.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9.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9.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9.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9.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9.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9.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9.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9.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9.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9.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9.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9.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9.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9.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9.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9.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9.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9.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9.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9.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9.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9.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9.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9.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9.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9.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9.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9.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9.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9.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9.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9.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9.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9.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9.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9.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9.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9.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9.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9.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9.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9.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9.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9.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9.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9.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9.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9.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8">
    <mergeCell ref="C67:K67"/>
    <mergeCell ref="C17:K17"/>
    <mergeCell ref="C18:K18"/>
    <mergeCell ref="C20:K20"/>
    <mergeCell ref="C59:K59"/>
    <mergeCell ref="C60:K60"/>
    <mergeCell ref="C61:K61"/>
    <mergeCell ref="C62:K62"/>
    <mergeCell ref="C15:K15"/>
    <mergeCell ref="C16:K16"/>
    <mergeCell ref="C63:K63"/>
    <mergeCell ref="C64:K64"/>
    <mergeCell ref="C66:K66"/>
    <mergeCell ref="A1:L1"/>
    <mergeCell ref="C4:K4"/>
    <mergeCell ref="C5:K5"/>
    <mergeCell ref="C13:K13"/>
    <mergeCell ref="C14:K14"/>
  </mergeCells>
  <pageMargins left="1" right="1" top="1" bottom="1" header="0" footer="0"/>
  <pageSetup orientation="portrait"/>
  <headerFooter>
    <oddFooter>&amp;C 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Z1000"/>
  <sheetViews>
    <sheetView showGridLines="0" workbookViewId="0">
      <pane xSplit="2" ySplit="3" topLeftCell="C4" activePane="bottomRight" state="frozen"/>
      <selection pane="topRight" activeCell="C1" sqref="C1"/>
      <selection pane="bottomLeft" activeCell="A4" sqref="A4"/>
      <selection pane="bottomRight" activeCell="C4" sqref="C4"/>
    </sheetView>
  </sheetViews>
  <sheetFormatPr baseColWidth="10" defaultColWidth="14.42578125" defaultRowHeight="15" customHeight="1"/>
  <cols>
    <col min="1" max="1" width="6.7109375" customWidth="1"/>
    <col min="2" max="2" width="33.28515625" customWidth="1"/>
    <col min="3" max="12" width="13.28515625" customWidth="1"/>
    <col min="13" max="26" width="16.28515625" customWidth="1"/>
  </cols>
  <sheetData>
    <row r="1" spans="1:26" ht="27" customHeight="1">
      <c r="A1" s="155" t="s">
        <v>402</v>
      </c>
      <c r="B1" s="156"/>
      <c r="C1" s="156"/>
      <c r="D1" s="156"/>
      <c r="E1" s="156"/>
      <c r="F1" s="156"/>
      <c r="G1" s="156"/>
      <c r="H1" s="156"/>
      <c r="I1" s="156"/>
      <c r="J1" s="156"/>
      <c r="K1" s="156"/>
      <c r="L1" s="156"/>
      <c r="M1" s="1"/>
      <c r="N1" s="1"/>
      <c r="O1" s="1"/>
      <c r="P1" s="1"/>
      <c r="Q1" s="1"/>
      <c r="R1" s="1"/>
      <c r="S1" s="1"/>
      <c r="T1" s="1"/>
      <c r="U1" s="1"/>
      <c r="V1" s="1"/>
      <c r="W1" s="1"/>
      <c r="X1" s="1"/>
      <c r="Y1" s="1"/>
      <c r="Z1" s="1"/>
    </row>
    <row r="2" spans="1:26" ht="19.5" customHeight="1">
      <c r="A2" s="2"/>
      <c r="B2" s="2"/>
      <c r="C2" s="3" t="s">
        <v>1</v>
      </c>
      <c r="D2" s="3" t="s">
        <v>2</v>
      </c>
      <c r="E2" s="3" t="s">
        <v>3</v>
      </c>
      <c r="F2" s="3" t="s">
        <v>4</v>
      </c>
      <c r="G2" s="3" t="s">
        <v>5</v>
      </c>
      <c r="H2" s="3" t="s">
        <v>6</v>
      </c>
      <c r="I2" s="3" t="s">
        <v>7</v>
      </c>
      <c r="J2" s="3" t="s">
        <v>8</v>
      </c>
      <c r="K2" s="3" t="s">
        <v>9</v>
      </c>
      <c r="L2" s="2"/>
      <c r="M2" s="1"/>
      <c r="N2" s="1"/>
      <c r="O2" s="1"/>
      <c r="P2" s="1"/>
      <c r="Q2" s="1"/>
      <c r="R2" s="1"/>
      <c r="S2" s="1"/>
      <c r="T2" s="1"/>
      <c r="U2" s="1"/>
      <c r="V2" s="1"/>
      <c r="W2" s="1"/>
      <c r="X2" s="1"/>
      <c r="Y2" s="1"/>
      <c r="Z2" s="1"/>
    </row>
    <row r="3" spans="1:26" ht="32.25" customHeight="1">
      <c r="A3" s="4"/>
      <c r="B3" s="5" t="str">
        <f t="array" ref="B3">overview!C11&amp;" / "&amp;overview!C12</f>
        <v>FR / France</v>
      </c>
      <c r="C3" s="6" t="s">
        <v>10</v>
      </c>
      <c r="D3" s="6" t="s">
        <v>11</v>
      </c>
      <c r="E3" s="6" t="s">
        <v>12</v>
      </c>
      <c r="F3" s="6" t="s">
        <v>13</v>
      </c>
      <c r="G3" s="6" t="s">
        <v>14</v>
      </c>
      <c r="H3" s="6" t="s">
        <v>15</v>
      </c>
      <c r="I3" s="6" t="s">
        <v>16</v>
      </c>
      <c r="J3" s="6" t="s">
        <v>17</v>
      </c>
      <c r="K3" s="6" t="s">
        <v>18</v>
      </c>
      <c r="L3" s="6" t="s">
        <v>19</v>
      </c>
      <c r="M3" s="1"/>
      <c r="N3" s="1"/>
      <c r="O3" s="1"/>
      <c r="P3" s="1"/>
      <c r="Q3" s="1"/>
      <c r="R3" s="1"/>
      <c r="S3" s="1"/>
      <c r="T3" s="1"/>
      <c r="U3" s="1"/>
      <c r="V3" s="1"/>
      <c r="W3" s="1"/>
      <c r="X3" s="1"/>
      <c r="Y3" s="1"/>
      <c r="Z3" s="1"/>
    </row>
    <row r="4" spans="1:26" ht="33" customHeight="1">
      <c r="A4" s="93"/>
      <c r="B4" s="94" t="s">
        <v>93</v>
      </c>
      <c r="C4" s="189" t="s">
        <v>94</v>
      </c>
      <c r="D4" s="190"/>
      <c r="E4" s="190"/>
      <c r="F4" s="190"/>
      <c r="G4" s="190"/>
      <c r="H4" s="190"/>
      <c r="I4" s="190"/>
      <c r="J4" s="190"/>
      <c r="K4" s="191"/>
      <c r="L4" s="50"/>
      <c r="M4" s="1"/>
      <c r="N4" s="1"/>
      <c r="O4" s="1"/>
      <c r="P4" s="1"/>
      <c r="Q4" s="1"/>
      <c r="R4" s="1"/>
      <c r="S4" s="1"/>
      <c r="T4" s="1"/>
      <c r="U4" s="1"/>
      <c r="V4" s="1"/>
      <c r="W4" s="1"/>
      <c r="X4" s="1"/>
      <c r="Y4" s="1"/>
      <c r="Z4" s="1"/>
    </row>
    <row r="5" spans="1:26" ht="26.25" customHeight="1">
      <c r="A5" s="19"/>
      <c r="B5" s="20" t="s">
        <v>403</v>
      </c>
      <c r="C5" s="185" t="s">
        <v>404</v>
      </c>
      <c r="D5" s="164"/>
      <c r="E5" s="164"/>
      <c r="F5" s="164"/>
      <c r="G5" s="164"/>
      <c r="H5" s="164"/>
      <c r="I5" s="164"/>
      <c r="J5" s="164"/>
      <c r="K5" s="165"/>
      <c r="L5" s="21"/>
      <c r="M5" s="1"/>
      <c r="N5" s="1"/>
      <c r="O5" s="1"/>
      <c r="P5" s="1"/>
      <c r="Q5" s="1"/>
      <c r="R5" s="1"/>
      <c r="S5" s="1"/>
      <c r="T5" s="1"/>
      <c r="U5" s="1"/>
      <c r="V5" s="1"/>
      <c r="W5" s="1"/>
      <c r="X5" s="1"/>
      <c r="Y5" s="1"/>
      <c r="Z5" s="1"/>
    </row>
    <row r="6" spans="1:26" ht="19.5" customHeight="1">
      <c r="A6" s="23"/>
      <c r="B6" s="24"/>
      <c r="C6" s="53"/>
      <c r="D6" s="53"/>
      <c r="E6" s="53"/>
      <c r="F6" s="53"/>
      <c r="G6" s="53"/>
      <c r="H6" s="53"/>
      <c r="I6" s="53"/>
      <c r="J6" s="53"/>
      <c r="K6" s="53"/>
      <c r="L6" s="53"/>
      <c r="M6" s="1"/>
      <c r="N6" s="1"/>
      <c r="O6" s="1"/>
      <c r="P6" s="1"/>
      <c r="Q6" s="1"/>
      <c r="R6" s="1"/>
      <c r="S6" s="1"/>
      <c r="T6" s="1"/>
      <c r="U6" s="1"/>
      <c r="V6" s="1"/>
      <c r="W6" s="1"/>
      <c r="X6" s="1"/>
      <c r="Y6" s="1"/>
      <c r="Z6" s="1"/>
    </row>
    <row r="7" spans="1:26" ht="19.5" customHeight="1">
      <c r="A7" s="39" t="s">
        <v>405</v>
      </c>
      <c r="B7" s="12" t="s">
        <v>406</v>
      </c>
      <c r="C7" s="56">
        <v>2024</v>
      </c>
      <c r="D7" s="57">
        <f t="array" ref="D7">D119</f>
        <v>891</v>
      </c>
      <c r="E7" s="57">
        <f t="array" ref="E7">E119</f>
        <v>1141</v>
      </c>
      <c r="F7" s="57">
        <f t="array" ref="F7">F119</f>
        <v>306</v>
      </c>
      <c r="G7" s="57">
        <f t="array" ref="G7">G119</f>
        <v>372</v>
      </c>
      <c r="H7" s="56">
        <f t="array" ref="H7">E7+D7</f>
        <v>2032</v>
      </c>
      <c r="I7" s="56">
        <f t="array" ref="I7">G7+F7</f>
        <v>678</v>
      </c>
      <c r="J7" s="56">
        <f t="array" ref="J7">D7+F7</f>
        <v>1197</v>
      </c>
      <c r="K7" s="56">
        <f t="array" ref="K7">E7+G7</f>
        <v>1513</v>
      </c>
      <c r="L7" s="58"/>
      <c r="M7" s="1"/>
      <c r="N7" s="1"/>
      <c r="O7" s="1"/>
      <c r="P7" s="1"/>
      <c r="Q7" s="1"/>
      <c r="R7" s="1"/>
      <c r="S7" s="1"/>
      <c r="T7" s="1"/>
      <c r="U7" s="1"/>
      <c r="V7" s="1"/>
      <c r="W7" s="1"/>
      <c r="X7" s="1"/>
      <c r="Y7" s="1"/>
      <c r="Z7" s="1"/>
    </row>
    <row r="8" spans="1:26" ht="19.5" customHeight="1">
      <c r="A8" s="39" t="s">
        <v>407</v>
      </c>
      <c r="B8" s="12" t="s">
        <v>408</v>
      </c>
      <c r="C8" s="56">
        <f t="array" ref="C8">H8+I8</f>
        <v>190</v>
      </c>
      <c r="D8" s="57">
        <f t="array" ref="D8">D120</f>
        <v>67</v>
      </c>
      <c r="E8" s="57">
        <f t="array" ref="E8">E120</f>
        <v>75</v>
      </c>
      <c r="F8" s="57">
        <f t="array" ref="F8">F120</f>
        <v>23</v>
      </c>
      <c r="G8" s="57">
        <f t="array" ref="G8">G120</f>
        <v>25</v>
      </c>
      <c r="H8" s="56">
        <f t="array" ref="H8">E8+D8</f>
        <v>142</v>
      </c>
      <c r="I8" s="56">
        <f t="array" ref="I8">G8+F8</f>
        <v>48</v>
      </c>
      <c r="J8" s="56">
        <f t="array" ref="J8">D8+F8</f>
        <v>90</v>
      </c>
      <c r="K8" s="56">
        <f t="array" ref="K8">E8+G8</f>
        <v>100</v>
      </c>
      <c r="L8" s="58"/>
      <c r="M8" s="1"/>
      <c r="N8" s="1"/>
      <c r="O8" s="1"/>
      <c r="P8" s="1"/>
      <c r="Q8" s="1"/>
      <c r="R8" s="1"/>
      <c r="S8" s="1"/>
      <c r="T8" s="1"/>
      <c r="U8" s="1"/>
      <c r="V8" s="1"/>
      <c r="W8" s="1"/>
      <c r="X8" s="1"/>
      <c r="Y8" s="1"/>
      <c r="Z8" s="1"/>
    </row>
    <row r="9" spans="1:26" ht="19.5" customHeight="1">
      <c r="A9" s="39" t="s">
        <v>409</v>
      </c>
      <c r="B9" s="12" t="s">
        <v>410</v>
      </c>
      <c r="C9" s="56">
        <f t="array" ref="C9">H9+I9</f>
        <v>134</v>
      </c>
      <c r="D9" s="57">
        <f t="array" ref="D9">D121</f>
        <v>42</v>
      </c>
      <c r="E9" s="57">
        <f t="array" ref="E9">E121</f>
        <v>58</v>
      </c>
      <c r="F9" s="57">
        <f t="array" ref="F9">F121</f>
        <v>15</v>
      </c>
      <c r="G9" s="57">
        <f t="array" ref="G9">G121</f>
        <v>19</v>
      </c>
      <c r="H9" s="56">
        <f t="array" ref="H9">E9+D9</f>
        <v>100</v>
      </c>
      <c r="I9" s="56">
        <f t="array" ref="I9">G9+F9</f>
        <v>34</v>
      </c>
      <c r="J9" s="56">
        <f t="array" ref="J9">D9+F9</f>
        <v>57</v>
      </c>
      <c r="K9" s="56">
        <f t="array" ref="K9">E9+G9</f>
        <v>77</v>
      </c>
      <c r="L9" s="58"/>
      <c r="M9" s="1"/>
      <c r="N9" s="1"/>
      <c r="O9" s="1"/>
      <c r="P9" s="1"/>
      <c r="Q9" s="1"/>
      <c r="R9" s="1"/>
      <c r="S9" s="1"/>
      <c r="T9" s="1"/>
      <c r="U9" s="1"/>
      <c r="V9" s="1"/>
      <c r="W9" s="1"/>
      <c r="X9" s="1"/>
      <c r="Y9" s="1"/>
      <c r="Z9" s="1"/>
    </row>
    <row r="10" spans="1:26" ht="19.5" customHeight="1">
      <c r="A10" s="39" t="s">
        <v>411</v>
      </c>
      <c r="B10" s="12" t="s">
        <v>412</v>
      </c>
      <c r="C10" s="56">
        <f t="array" ref="C10">H10+I10</f>
        <v>87</v>
      </c>
      <c r="D10" s="57">
        <f t="array" ref="D10">D122</f>
        <v>23</v>
      </c>
      <c r="E10" s="57">
        <f t="array" ref="E10">E122</f>
        <v>42</v>
      </c>
      <c r="F10" s="57">
        <f t="array" ref="F10">F122</f>
        <v>8</v>
      </c>
      <c r="G10" s="57">
        <f t="array" ref="G10">G122</f>
        <v>14</v>
      </c>
      <c r="H10" s="56">
        <f t="array" ref="H10">E10+D10</f>
        <v>65</v>
      </c>
      <c r="I10" s="56">
        <f t="array" ref="I10">G10+F10</f>
        <v>22</v>
      </c>
      <c r="J10" s="56">
        <f t="array" ref="J10">D10+F10</f>
        <v>31</v>
      </c>
      <c r="K10" s="56">
        <f t="array" ref="K10">E10+G10</f>
        <v>56</v>
      </c>
      <c r="L10" s="58"/>
      <c r="M10" s="1"/>
      <c r="N10" s="1"/>
      <c r="O10" s="1"/>
      <c r="P10" s="1"/>
      <c r="Q10" s="1"/>
      <c r="R10" s="1"/>
      <c r="S10" s="1"/>
      <c r="T10" s="1"/>
      <c r="U10" s="1"/>
      <c r="V10" s="1"/>
      <c r="W10" s="1"/>
      <c r="X10" s="1"/>
      <c r="Y10" s="1"/>
      <c r="Z10" s="1"/>
    </row>
    <row r="11" spans="1:26" ht="19.5" customHeight="1">
      <c r="A11" s="39" t="s">
        <v>413</v>
      </c>
      <c r="B11" s="12" t="s">
        <v>414</v>
      </c>
      <c r="C11" s="56">
        <f t="array" ref="C11">H11+I11</f>
        <v>98</v>
      </c>
      <c r="D11" s="57">
        <f t="array" ref="D11">D123</f>
        <v>31</v>
      </c>
      <c r="E11" s="57">
        <f t="array" ref="E11">E123</f>
        <v>42</v>
      </c>
      <c r="F11" s="57">
        <f t="array" ref="F11">F123</f>
        <v>11</v>
      </c>
      <c r="G11" s="57">
        <f t="array" ref="G11">G123</f>
        <v>14</v>
      </c>
      <c r="H11" s="56">
        <f t="array" ref="H11">E11+D11</f>
        <v>73</v>
      </c>
      <c r="I11" s="56">
        <f t="array" ref="I11">G11+F11</f>
        <v>25</v>
      </c>
      <c r="J11" s="56">
        <f t="array" ref="J11">D11+F11</f>
        <v>42</v>
      </c>
      <c r="K11" s="56">
        <f t="array" ref="K11">E11+G11</f>
        <v>56</v>
      </c>
      <c r="L11" s="58"/>
      <c r="M11" s="1"/>
      <c r="N11" s="1"/>
      <c r="O11" s="1"/>
      <c r="P11" s="1"/>
      <c r="Q11" s="1"/>
      <c r="R11" s="1"/>
      <c r="S11" s="1"/>
      <c r="T11" s="1"/>
      <c r="U11" s="1"/>
      <c r="V11" s="1"/>
      <c r="W11" s="1"/>
      <c r="X11" s="1"/>
      <c r="Y11" s="1"/>
      <c r="Z11" s="1"/>
    </row>
    <row r="12" spans="1:26" ht="19.5" customHeight="1">
      <c r="A12" s="39" t="s">
        <v>415</v>
      </c>
      <c r="B12" s="12" t="s">
        <v>416</v>
      </c>
      <c r="C12" s="56">
        <f t="array" ref="C12">H12+I12</f>
        <v>65</v>
      </c>
      <c r="D12" s="57">
        <f t="array" ref="D12">D124</f>
        <v>23</v>
      </c>
      <c r="E12" s="57">
        <f t="array" ref="E12">E124</f>
        <v>26</v>
      </c>
      <c r="F12" s="57">
        <f t="array" ref="F12">F124</f>
        <v>8</v>
      </c>
      <c r="G12" s="57">
        <f t="array" ref="G12">G124</f>
        <v>8</v>
      </c>
      <c r="H12" s="56">
        <f t="array" ref="H12">E12+D12</f>
        <v>49</v>
      </c>
      <c r="I12" s="56">
        <f t="array" ref="I12">G12+F12</f>
        <v>16</v>
      </c>
      <c r="J12" s="56">
        <f t="array" ref="J12">D12+F12</f>
        <v>31</v>
      </c>
      <c r="K12" s="56">
        <f t="array" ref="K12">E12+G12</f>
        <v>34</v>
      </c>
      <c r="L12" s="58"/>
      <c r="M12" s="1"/>
      <c r="N12" s="1"/>
      <c r="O12" s="1"/>
      <c r="P12" s="1"/>
      <c r="Q12" s="1"/>
      <c r="R12" s="1"/>
      <c r="S12" s="1"/>
      <c r="T12" s="1"/>
      <c r="U12" s="1"/>
      <c r="V12" s="1"/>
      <c r="W12" s="1"/>
      <c r="X12" s="1"/>
      <c r="Y12" s="1"/>
      <c r="Z12" s="1"/>
    </row>
    <row r="13" spans="1:26" ht="19.5" customHeight="1">
      <c r="A13" s="39" t="s">
        <v>417</v>
      </c>
      <c r="B13" s="12" t="s">
        <v>418</v>
      </c>
      <c r="C13" s="56">
        <f t="array" ref="C13">H13+I13</f>
        <v>66</v>
      </c>
      <c r="D13" s="57">
        <f t="array" ref="D13">D125</f>
        <v>21</v>
      </c>
      <c r="E13" s="57">
        <f t="array" ref="E13">E125</f>
        <v>29</v>
      </c>
      <c r="F13" s="57">
        <f t="array" ref="F13">F125</f>
        <v>7</v>
      </c>
      <c r="G13" s="57">
        <f t="array" ref="G13">G125</f>
        <v>9</v>
      </c>
      <c r="H13" s="56">
        <f t="array" ref="H13">E13+D13</f>
        <v>50</v>
      </c>
      <c r="I13" s="56">
        <f t="array" ref="I13">G13+F13</f>
        <v>16</v>
      </c>
      <c r="J13" s="56">
        <f t="array" ref="J13">D13+F13</f>
        <v>28</v>
      </c>
      <c r="K13" s="56">
        <f t="array" ref="K13">E13+G13</f>
        <v>38</v>
      </c>
      <c r="L13" s="58"/>
      <c r="M13" s="1"/>
      <c r="N13" s="1"/>
      <c r="O13" s="1"/>
      <c r="P13" s="1"/>
      <c r="Q13" s="1"/>
      <c r="R13" s="1"/>
      <c r="S13" s="1"/>
      <c r="T13" s="1"/>
      <c r="U13" s="1"/>
      <c r="V13" s="1"/>
      <c r="W13" s="1"/>
      <c r="X13" s="1"/>
      <c r="Y13" s="1"/>
      <c r="Z13" s="1"/>
    </row>
    <row r="14" spans="1:26" ht="19.5" customHeight="1">
      <c r="A14" s="39" t="s">
        <v>419</v>
      </c>
      <c r="B14" s="12" t="s">
        <v>420</v>
      </c>
      <c r="C14" s="56">
        <f t="array" ref="C14">H14+I14</f>
        <v>60</v>
      </c>
      <c r="D14" s="57">
        <f t="array" ref="D14">D126</f>
        <v>24</v>
      </c>
      <c r="E14" s="57">
        <f t="array" ref="E14">E126</f>
        <v>21</v>
      </c>
      <c r="F14" s="57">
        <f t="array" ref="F14">F126</f>
        <v>8</v>
      </c>
      <c r="G14" s="57">
        <f t="array" ref="G14">G126</f>
        <v>7</v>
      </c>
      <c r="H14" s="56">
        <f t="array" ref="H14">E14+D14</f>
        <v>45</v>
      </c>
      <c r="I14" s="56">
        <f t="array" ref="I14">G14+F14</f>
        <v>15</v>
      </c>
      <c r="J14" s="56">
        <f t="array" ref="J14">D14+F14</f>
        <v>32</v>
      </c>
      <c r="K14" s="56">
        <f t="array" ref="K14">E14+G14</f>
        <v>28</v>
      </c>
      <c r="L14" s="58"/>
      <c r="M14" s="1"/>
      <c r="N14" s="1"/>
      <c r="O14" s="1"/>
      <c r="P14" s="1"/>
      <c r="Q14" s="1"/>
      <c r="R14" s="1"/>
      <c r="S14" s="1"/>
      <c r="T14" s="1"/>
      <c r="U14" s="1"/>
      <c r="V14" s="1"/>
      <c r="W14" s="1"/>
      <c r="X14" s="1"/>
      <c r="Y14" s="1"/>
      <c r="Z14" s="1"/>
    </row>
    <row r="15" spans="1:26" ht="19.5" customHeight="1">
      <c r="A15" s="39" t="s">
        <v>421</v>
      </c>
      <c r="B15" s="12" t="s">
        <v>422</v>
      </c>
      <c r="C15" s="56">
        <f t="array" ref="C15">H15+I15</f>
        <v>65</v>
      </c>
      <c r="D15" s="57">
        <f t="array" ref="D15">D127</f>
        <v>22</v>
      </c>
      <c r="E15" s="57">
        <f t="array" ref="E15">E127</f>
        <v>26</v>
      </c>
      <c r="F15" s="57">
        <f t="array" ref="F15">F127</f>
        <v>8</v>
      </c>
      <c r="G15" s="57">
        <f t="array" ref="G15">G127</f>
        <v>9</v>
      </c>
      <c r="H15" s="56">
        <f t="array" ref="H15">E15+D15</f>
        <v>48</v>
      </c>
      <c r="I15" s="56">
        <f t="array" ref="I15">G15+F15</f>
        <v>17</v>
      </c>
      <c r="J15" s="56">
        <f t="array" ref="J15">D15+F15</f>
        <v>30</v>
      </c>
      <c r="K15" s="56">
        <f t="array" ref="K15">E15+G15</f>
        <v>35</v>
      </c>
      <c r="L15" s="58"/>
      <c r="M15" s="1"/>
      <c r="N15" s="1"/>
      <c r="O15" s="1"/>
      <c r="P15" s="1"/>
      <c r="Q15" s="1"/>
      <c r="R15" s="1"/>
      <c r="S15" s="1"/>
      <c r="T15" s="1"/>
      <c r="U15" s="1"/>
      <c r="V15" s="1"/>
      <c r="W15" s="1"/>
      <c r="X15" s="1"/>
      <c r="Y15" s="1"/>
      <c r="Z15" s="1"/>
    </row>
    <row r="16" spans="1:26" ht="19.5" customHeight="1">
      <c r="A16" s="39" t="s">
        <v>423</v>
      </c>
      <c r="B16" s="12" t="s">
        <v>424</v>
      </c>
      <c r="C16" s="56">
        <f t="array" ref="C16">H16+I16</f>
        <v>52</v>
      </c>
      <c r="D16" s="57">
        <f t="array" ref="D16">D128</f>
        <v>15</v>
      </c>
      <c r="E16" s="57">
        <f t="array" ref="E16">E128</f>
        <v>24</v>
      </c>
      <c r="F16" s="57">
        <f t="array" ref="F16">F128</f>
        <v>5</v>
      </c>
      <c r="G16" s="57">
        <f t="array" ref="G16">G128</f>
        <v>8</v>
      </c>
      <c r="H16" s="56">
        <f t="array" ref="H16">E16+D16</f>
        <v>39</v>
      </c>
      <c r="I16" s="56">
        <f t="array" ref="I16">G16+F16</f>
        <v>13</v>
      </c>
      <c r="J16" s="56">
        <f t="array" ref="J16">D16+F16</f>
        <v>20</v>
      </c>
      <c r="K16" s="56">
        <f t="array" ref="K16">E16+G16</f>
        <v>32</v>
      </c>
      <c r="L16" s="58"/>
      <c r="M16" s="1"/>
      <c r="N16" s="1"/>
      <c r="O16" s="1"/>
      <c r="P16" s="1"/>
      <c r="Q16" s="1"/>
      <c r="R16" s="1"/>
      <c r="S16" s="1"/>
      <c r="T16" s="1"/>
      <c r="U16" s="1"/>
      <c r="V16" s="1"/>
      <c r="W16" s="1"/>
      <c r="X16" s="1"/>
      <c r="Y16" s="1"/>
      <c r="Z16" s="1"/>
    </row>
    <row r="17" spans="1:26" ht="19.5" customHeight="1">
      <c r="A17" s="39" t="s">
        <v>425</v>
      </c>
      <c r="B17" s="12" t="s">
        <v>426</v>
      </c>
      <c r="C17" s="56">
        <f t="array" ref="C17">H17+I17</f>
        <v>74</v>
      </c>
      <c r="D17" s="57">
        <f t="array" ref="D17">D129</f>
        <v>28</v>
      </c>
      <c r="E17" s="57">
        <f t="array" ref="E17">E129</f>
        <v>28</v>
      </c>
      <c r="F17" s="57">
        <f t="array" ref="F17">F129</f>
        <v>9</v>
      </c>
      <c r="G17" s="57">
        <f t="array" ref="G17">G129</f>
        <v>9</v>
      </c>
      <c r="H17" s="56">
        <f t="array" ref="H17">E17+D17</f>
        <v>56</v>
      </c>
      <c r="I17" s="56">
        <f t="array" ref="I17">G17+F17</f>
        <v>18</v>
      </c>
      <c r="J17" s="56">
        <f t="array" ref="J17">D17+F17</f>
        <v>37</v>
      </c>
      <c r="K17" s="56">
        <f t="array" ref="K17">E17+G17</f>
        <v>37</v>
      </c>
      <c r="L17" s="58"/>
      <c r="M17" s="1"/>
      <c r="N17" s="1"/>
      <c r="O17" s="1"/>
      <c r="P17" s="1"/>
      <c r="Q17" s="1"/>
      <c r="R17" s="1"/>
      <c r="S17" s="1"/>
      <c r="T17" s="1"/>
      <c r="U17" s="1"/>
      <c r="V17" s="1"/>
      <c r="W17" s="1"/>
      <c r="X17" s="1"/>
      <c r="Y17" s="1"/>
      <c r="Z17" s="1"/>
    </row>
    <row r="18" spans="1:26" ht="19.5" customHeight="1">
      <c r="A18" s="39" t="s">
        <v>427</v>
      </c>
      <c r="B18" s="12" t="s">
        <v>428</v>
      </c>
      <c r="C18" s="56">
        <f t="array" ref="C18">H18+I18</f>
        <v>62</v>
      </c>
      <c r="D18" s="57">
        <f t="array" ref="D18">D130</f>
        <v>20</v>
      </c>
      <c r="E18" s="57">
        <f t="array" ref="E18">E130</f>
        <v>26</v>
      </c>
      <c r="F18" s="57">
        <f t="array" ref="F18">F130</f>
        <v>7</v>
      </c>
      <c r="G18" s="57">
        <f t="array" ref="G18">G130</f>
        <v>9</v>
      </c>
      <c r="H18" s="56">
        <f t="array" ref="H18">E18+D18</f>
        <v>46</v>
      </c>
      <c r="I18" s="56">
        <f t="array" ref="I18">G18+F18</f>
        <v>16</v>
      </c>
      <c r="J18" s="56">
        <f t="array" ref="J18">D18+F18</f>
        <v>27</v>
      </c>
      <c r="K18" s="56">
        <f t="array" ref="K18">E18+G18</f>
        <v>35</v>
      </c>
      <c r="L18" s="58"/>
      <c r="M18" s="1"/>
      <c r="N18" s="1"/>
      <c r="O18" s="1"/>
      <c r="P18" s="1"/>
      <c r="Q18" s="1"/>
      <c r="R18" s="1"/>
      <c r="S18" s="1"/>
      <c r="T18" s="1"/>
      <c r="U18" s="1"/>
      <c r="V18" s="1"/>
      <c r="W18" s="1"/>
      <c r="X18" s="1"/>
      <c r="Y18" s="1"/>
      <c r="Z18" s="1"/>
    </row>
    <row r="19" spans="1:26" ht="19.5" customHeight="1">
      <c r="A19" s="39" t="s">
        <v>429</v>
      </c>
      <c r="B19" s="12" t="s">
        <v>430</v>
      </c>
      <c r="C19" s="56">
        <f t="array" ref="C19">H19+I19</f>
        <v>74</v>
      </c>
      <c r="D19" s="57">
        <f t="array" ref="D19">D131</f>
        <v>19</v>
      </c>
      <c r="E19" s="57">
        <f t="array" ref="E19">E131</f>
        <v>36</v>
      </c>
      <c r="F19" s="57">
        <f t="array" ref="F19">F131</f>
        <v>7</v>
      </c>
      <c r="G19" s="57">
        <f t="array" ref="G19">G131</f>
        <v>12</v>
      </c>
      <c r="H19" s="56">
        <f t="array" ref="H19">E19+D19</f>
        <v>55</v>
      </c>
      <c r="I19" s="56">
        <f t="array" ref="I19">G19+F19</f>
        <v>19</v>
      </c>
      <c r="J19" s="56">
        <f t="array" ref="J19">D19+F19</f>
        <v>26</v>
      </c>
      <c r="K19" s="56">
        <f t="array" ref="K19">E19+G19</f>
        <v>48</v>
      </c>
      <c r="L19" s="58"/>
      <c r="M19" s="1"/>
      <c r="N19" s="1"/>
      <c r="O19" s="1"/>
      <c r="P19" s="1"/>
      <c r="Q19" s="1"/>
      <c r="R19" s="1"/>
      <c r="S19" s="1"/>
      <c r="T19" s="1"/>
      <c r="U19" s="1"/>
      <c r="V19" s="1"/>
      <c r="W19" s="1"/>
      <c r="X19" s="1"/>
      <c r="Y19" s="1"/>
      <c r="Z19" s="1"/>
    </row>
    <row r="20" spans="1:26" ht="19.5" customHeight="1">
      <c r="A20" s="39" t="s">
        <v>431</v>
      </c>
      <c r="B20" s="12" t="s">
        <v>432</v>
      </c>
      <c r="C20" s="56">
        <f t="array" ref="C20">H20+I20</f>
        <v>105</v>
      </c>
      <c r="D20" s="57">
        <f t="array" ref="D20">D132</f>
        <v>36</v>
      </c>
      <c r="E20" s="57">
        <f t="array" ref="E20">E132</f>
        <v>43</v>
      </c>
      <c r="F20" s="57">
        <f t="array" ref="F20">F132</f>
        <v>12</v>
      </c>
      <c r="G20" s="57">
        <f t="array" ref="G20">G132</f>
        <v>14</v>
      </c>
      <c r="H20" s="56">
        <f t="array" ref="H20">E20+D20</f>
        <v>79</v>
      </c>
      <c r="I20" s="56">
        <f t="array" ref="I20">G20+F20</f>
        <v>26</v>
      </c>
      <c r="J20" s="56">
        <f t="array" ref="J20">D20+F20</f>
        <v>48</v>
      </c>
      <c r="K20" s="56">
        <f t="array" ref="K20">E20+G20</f>
        <v>57</v>
      </c>
      <c r="L20" s="58"/>
      <c r="M20" s="1"/>
      <c r="N20" s="1"/>
      <c r="O20" s="1"/>
      <c r="P20" s="1"/>
      <c r="Q20" s="1"/>
      <c r="R20" s="1"/>
      <c r="S20" s="1"/>
      <c r="T20" s="1"/>
      <c r="U20" s="1"/>
      <c r="V20" s="1"/>
      <c r="W20" s="1"/>
      <c r="X20" s="1"/>
      <c r="Y20" s="1"/>
      <c r="Z20" s="1"/>
    </row>
    <row r="21" spans="1:26" ht="19.5" customHeight="1">
      <c r="A21" s="39" t="s">
        <v>433</v>
      </c>
      <c r="B21" s="12" t="s">
        <v>434</v>
      </c>
      <c r="C21" s="56">
        <f t="array" ref="C21">H21+I21</f>
        <v>101</v>
      </c>
      <c r="D21" s="57">
        <f t="array" ref="D21">D133</f>
        <v>36</v>
      </c>
      <c r="E21" s="57">
        <f t="array" ref="E21">E133</f>
        <v>39</v>
      </c>
      <c r="F21" s="57">
        <f t="array" ref="F21">F133</f>
        <v>13</v>
      </c>
      <c r="G21" s="57">
        <f t="array" ref="G21">G133</f>
        <v>13</v>
      </c>
      <c r="H21" s="56">
        <f t="array" ref="H21">E21+D21</f>
        <v>75</v>
      </c>
      <c r="I21" s="56">
        <f t="array" ref="I21">G21+F21</f>
        <v>26</v>
      </c>
      <c r="J21" s="56">
        <f t="array" ref="J21">D21+F21</f>
        <v>49</v>
      </c>
      <c r="K21" s="56">
        <f t="array" ref="K21">E21+G21</f>
        <v>52</v>
      </c>
      <c r="L21" s="58"/>
      <c r="M21" s="1"/>
      <c r="N21" s="1"/>
      <c r="O21" s="1"/>
      <c r="P21" s="1"/>
      <c r="Q21" s="1"/>
      <c r="R21" s="1"/>
      <c r="S21" s="1"/>
      <c r="T21" s="1"/>
      <c r="U21" s="1"/>
      <c r="V21" s="1"/>
      <c r="W21" s="1"/>
      <c r="X21" s="1"/>
      <c r="Y21" s="1"/>
      <c r="Z21" s="1"/>
    </row>
    <row r="22" spans="1:26" ht="19.5" customHeight="1">
      <c r="A22" s="39" t="s">
        <v>435</v>
      </c>
      <c r="B22" s="12" t="s">
        <v>436</v>
      </c>
      <c r="C22" s="56">
        <f t="array" ref="C22">H22+I22</f>
        <v>141</v>
      </c>
      <c r="D22" s="57">
        <f t="array" ref="D22">D134</f>
        <v>44</v>
      </c>
      <c r="E22" s="57">
        <f t="array" ref="E22">E134</f>
        <v>62</v>
      </c>
      <c r="F22" s="57">
        <f t="array" ref="F22">F134</f>
        <v>15</v>
      </c>
      <c r="G22" s="57">
        <f t="array" ref="G22">G134</f>
        <v>20</v>
      </c>
      <c r="H22" s="56">
        <f t="array" ref="H22">E22+D22</f>
        <v>106</v>
      </c>
      <c r="I22" s="56">
        <f t="array" ref="I22">G22+F22</f>
        <v>35</v>
      </c>
      <c r="J22" s="56">
        <f t="array" ref="J22">D22+F22</f>
        <v>59</v>
      </c>
      <c r="K22" s="56">
        <f t="array" ref="K22">E22+G22</f>
        <v>82</v>
      </c>
      <c r="L22" s="58"/>
      <c r="M22" s="1"/>
      <c r="N22" s="1"/>
      <c r="O22" s="1"/>
      <c r="P22" s="1"/>
      <c r="Q22" s="1"/>
      <c r="R22" s="1"/>
      <c r="S22" s="1"/>
      <c r="T22" s="1"/>
      <c r="U22" s="1"/>
      <c r="V22" s="1"/>
      <c r="W22" s="1"/>
      <c r="X22" s="1"/>
      <c r="Y22" s="1"/>
      <c r="Z22" s="1"/>
    </row>
    <row r="23" spans="1:26" ht="19.5" customHeight="1">
      <c r="A23" s="39" t="s">
        <v>437</v>
      </c>
      <c r="B23" s="12" t="s">
        <v>438</v>
      </c>
      <c r="C23" s="56">
        <f t="array" ref="C23">H23+I23</f>
        <v>171</v>
      </c>
      <c r="D23" s="57">
        <f t="array" ref="D23">D135</f>
        <v>46</v>
      </c>
      <c r="E23" s="57">
        <f t="array" ref="E23">E135</f>
        <v>82</v>
      </c>
      <c r="F23" s="57">
        <f t="array" ref="F23">F135</f>
        <v>16</v>
      </c>
      <c r="G23" s="57">
        <f t="array" ref="G23">G135</f>
        <v>27</v>
      </c>
      <c r="H23" s="56">
        <f t="array" ref="H23">E23+D23</f>
        <v>128</v>
      </c>
      <c r="I23" s="56">
        <f t="array" ref="I23">G23+F23</f>
        <v>43</v>
      </c>
      <c r="J23" s="56">
        <f t="array" ref="J23">D23+F23</f>
        <v>62</v>
      </c>
      <c r="K23" s="56">
        <f t="array" ref="K23">E23+G23</f>
        <v>109</v>
      </c>
      <c r="L23" s="58"/>
      <c r="M23" s="1"/>
      <c r="N23" s="1"/>
      <c r="O23" s="1"/>
      <c r="P23" s="1"/>
      <c r="Q23" s="1"/>
      <c r="R23" s="1"/>
      <c r="S23" s="1"/>
      <c r="T23" s="1"/>
      <c r="U23" s="1"/>
      <c r="V23" s="1"/>
      <c r="W23" s="1"/>
      <c r="X23" s="1"/>
      <c r="Y23" s="1"/>
      <c r="Z23" s="1"/>
    </row>
    <row r="24" spans="1:26" ht="19.5" customHeight="1">
      <c r="A24" s="39" t="s">
        <v>439</v>
      </c>
      <c r="B24" s="12" t="s">
        <v>440</v>
      </c>
      <c r="C24" s="56">
        <f t="array" ref="C24">H24+I24</f>
        <v>191</v>
      </c>
      <c r="D24" s="57">
        <f t="array" ref="D24">D136</f>
        <v>37</v>
      </c>
      <c r="E24" s="57">
        <f t="array" ref="E24">E136</f>
        <v>106</v>
      </c>
      <c r="F24" s="57">
        <f t="array" ref="F24">F136</f>
        <v>13</v>
      </c>
      <c r="G24" s="57">
        <f t="array" ref="G24">G136</f>
        <v>35</v>
      </c>
      <c r="H24" s="56">
        <f t="array" ref="H24">E24+D24</f>
        <v>143</v>
      </c>
      <c r="I24" s="56">
        <f t="array" ref="I24">G24+F24</f>
        <v>48</v>
      </c>
      <c r="J24" s="56">
        <f t="array" ref="J24">D24+F24</f>
        <v>50</v>
      </c>
      <c r="K24" s="56">
        <f t="array" ref="K24">E24+G24</f>
        <v>141</v>
      </c>
      <c r="L24" s="58"/>
      <c r="M24" s="1"/>
      <c r="N24" s="1"/>
      <c r="O24" s="1"/>
      <c r="P24" s="1"/>
      <c r="Q24" s="1"/>
      <c r="R24" s="1"/>
      <c r="S24" s="1"/>
      <c r="T24" s="1"/>
      <c r="U24" s="1"/>
      <c r="V24" s="1"/>
      <c r="W24" s="1"/>
      <c r="X24" s="1"/>
      <c r="Y24" s="1"/>
      <c r="Z24" s="1"/>
    </row>
    <row r="25" spans="1:26" ht="19.5" customHeight="1">
      <c r="A25" s="39" t="s">
        <v>441</v>
      </c>
      <c r="B25" s="12" t="s">
        <v>442</v>
      </c>
      <c r="C25" s="56">
        <f t="array" ref="C25">H25+I25</f>
        <v>284</v>
      </c>
      <c r="D25" s="57">
        <f t="array" ref="D25">D137</f>
        <v>62</v>
      </c>
      <c r="E25" s="57">
        <f t="array" ref="E25">E137</f>
        <v>152</v>
      </c>
      <c r="F25" s="57">
        <f t="array" ref="F25">F137</f>
        <v>21</v>
      </c>
      <c r="G25" s="57">
        <f t="array" ref="G25">G137</f>
        <v>49</v>
      </c>
      <c r="H25" s="56">
        <f t="array" ref="H25">E25+D25</f>
        <v>214</v>
      </c>
      <c r="I25" s="56">
        <f t="array" ref="I25">G25+F25</f>
        <v>70</v>
      </c>
      <c r="J25" s="56">
        <f t="array" ref="J25">D25+F25</f>
        <v>83</v>
      </c>
      <c r="K25" s="56">
        <f t="array" ref="K25">E25+G25</f>
        <v>201</v>
      </c>
      <c r="L25" s="58"/>
      <c r="M25" s="1"/>
      <c r="N25" s="1"/>
      <c r="O25" s="1"/>
      <c r="P25" s="1"/>
      <c r="Q25" s="1"/>
      <c r="R25" s="1"/>
      <c r="S25" s="1"/>
      <c r="T25" s="1"/>
      <c r="U25" s="1"/>
      <c r="V25" s="1"/>
      <c r="W25" s="1"/>
      <c r="X25" s="1"/>
      <c r="Y25" s="1"/>
      <c r="Z25" s="1"/>
    </row>
    <row r="26" spans="1:26" ht="19.5" customHeight="1">
      <c r="A26" s="39" t="s">
        <v>443</v>
      </c>
      <c r="B26" s="12" t="s">
        <v>444</v>
      </c>
      <c r="C26" s="56">
        <f t="array" ref="C26">H26+I26</f>
        <v>299</v>
      </c>
      <c r="D26" s="57">
        <f t="array" ref="D26">D138</f>
        <v>70</v>
      </c>
      <c r="E26" s="57">
        <f t="array" ref="E26">E138</f>
        <v>155</v>
      </c>
      <c r="F26" s="57">
        <f t="array" ref="F26">F138</f>
        <v>24</v>
      </c>
      <c r="G26" s="57">
        <f t="array" ref="G26">G138</f>
        <v>50</v>
      </c>
      <c r="H26" s="56">
        <f t="array" ref="H26">E26+D26</f>
        <v>225</v>
      </c>
      <c r="I26" s="56">
        <f t="array" ref="I26">G26+F26</f>
        <v>74</v>
      </c>
      <c r="J26" s="56">
        <f t="array" ref="J26">D26+F26</f>
        <v>94</v>
      </c>
      <c r="K26" s="56">
        <f t="array" ref="K26">E26+G26</f>
        <v>205</v>
      </c>
      <c r="L26" s="58"/>
      <c r="M26" s="1"/>
      <c r="N26" s="1"/>
      <c r="O26" s="1"/>
      <c r="P26" s="1"/>
      <c r="Q26" s="1"/>
      <c r="R26" s="1"/>
      <c r="S26" s="1"/>
      <c r="T26" s="1"/>
      <c r="U26" s="1"/>
      <c r="V26" s="1"/>
      <c r="W26" s="1"/>
      <c r="X26" s="1"/>
      <c r="Y26" s="1"/>
      <c r="Z26" s="1"/>
    </row>
    <row r="27" spans="1:26" ht="19.5" customHeight="1">
      <c r="A27" s="39" t="s">
        <v>445</v>
      </c>
      <c r="B27" s="12" t="s">
        <v>446</v>
      </c>
      <c r="C27" s="56">
        <f t="array" ref="C27">H27+I27</f>
        <v>299</v>
      </c>
      <c r="D27" s="57">
        <f t="array" ref="D27">D139</f>
        <v>73</v>
      </c>
      <c r="E27" s="57">
        <f t="array" ref="E27">E139</f>
        <v>152</v>
      </c>
      <c r="F27" s="57">
        <f t="array" ref="F27">F139</f>
        <v>25</v>
      </c>
      <c r="G27" s="57">
        <f t="array" ref="G27">G139</f>
        <v>49</v>
      </c>
      <c r="H27" s="56">
        <f t="array" ref="H27">E27+D27</f>
        <v>225</v>
      </c>
      <c r="I27" s="56">
        <f t="array" ref="I27">G27+F27</f>
        <v>74</v>
      </c>
      <c r="J27" s="56">
        <f t="array" ref="J27">D27+F27</f>
        <v>98</v>
      </c>
      <c r="K27" s="56">
        <f t="array" ref="K27">E27+G27</f>
        <v>201</v>
      </c>
      <c r="L27" s="58"/>
      <c r="M27" s="1"/>
      <c r="N27" s="1"/>
      <c r="O27" s="1"/>
      <c r="P27" s="1"/>
      <c r="Q27" s="1"/>
      <c r="R27" s="1"/>
      <c r="S27" s="1"/>
      <c r="T27" s="1"/>
      <c r="U27" s="1"/>
      <c r="V27" s="1"/>
      <c r="W27" s="1"/>
      <c r="X27" s="1"/>
      <c r="Y27" s="1"/>
      <c r="Z27" s="1"/>
    </row>
    <row r="28" spans="1:26" ht="19.5" customHeight="1">
      <c r="A28" s="39" t="s">
        <v>447</v>
      </c>
      <c r="B28" s="12" t="s">
        <v>448</v>
      </c>
      <c r="C28" s="56">
        <f t="array" ref="C28">H28+I28</f>
        <v>347</v>
      </c>
      <c r="D28" s="57">
        <f t="array" ref="D28">D140</f>
        <v>57</v>
      </c>
      <c r="E28" s="57">
        <f t="array" ref="E28">E140</f>
        <v>204</v>
      </c>
      <c r="F28" s="57">
        <f t="array" ref="F28">F140</f>
        <v>19</v>
      </c>
      <c r="G28" s="57">
        <f t="array" ref="G28">G140</f>
        <v>67</v>
      </c>
      <c r="H28" s="56">
        <f t="array" ref="H28">E28+D28</f>
        <v>261</v>
      </c>
      <c r="I28" s="56">
        <f t="array" ref="I28">G28+F28</f>
        <v>86</v>
      </c>
      <c r="J28" s="56">
        <f t="array" ref="J28">D28+F28</f>
        <v>76</v>
      </c>
      <c r="K28" s="56">
        <f t="array" ref="K28">E28+G28</f>
        <v>271</v>
      </c>
      <c r="L28" s="58"/>
      <c r="M28" s="1"/>
      <c r="N28" s="1"/>
      <c r="O28" s="1"/>
      <c r="P28" s="1"/>
      <c r="Q28" s="1"/>
      <c r="R28" s="1"/>
      <c r="S28" s="1"/>
      <c r="T28" s="1"/>
      <c r="U28" s="1"/>
      <c r="V28" s="1"/>
      <c r="W28" s="1"/>
      <c r="X28" s="1"/>
      <c r="Y28" s="1"/>
      <c r="Z28" s="1"/>
    </row>
    <row r="29" spans="1:26" ht="19.5" customHeight="1">
      <c r="A29" s="39" t="s">
        <v>449</v>
      </c>
      <c r="B29" s="12" t="s">
        <v>450</v>
      </c>
      <c r="C29" s="56">
        <f t="array" ref="C29">H29+I29</f>
        <v>335</v>
      </c>
      <c r="D29" s="57">
        <f t="array" ref="D29">D141</f>
        <v>65</v>
      </c>
      <c r="E29" s="57">
        <f t="array" ref="E29">E141</f>
        <v>187</v>
      </c>
      <c r="F29" s="57">
        <f t="array" ref="F29">F141</f>
        <v>22</v>
      </c>
      <c r="G29" s="57">
        <f t="array" ref="G29">G141</f>
        <v>61</v>
      </c>
      <c r="H29" s="56">
        <f t="array" ref="H29">E29+D29</f>
        <v>252</v>
      </c>
      <c r="I29" s="56">
        <f t="array" ref="I29">G29+F29</f>
        <v>83</v>
      </c>
      <c r="J29" s="56">
        <f t="array" ref="J29">D29+F29</f>
        <v>87</v>
      </c>
      <c r="K29" s="56">
        <f t="array" ref="K29">E29+G29</f>
        <v>248</v>
      </c>
      <c r="L29" s="58"/>
      <c r="M29" s="1"/>
      <c r="N29" s="1"/>
      <c r="O29" s="1"/>
      <c r="P29" s="1"/>
      <c r="Q29" s="1"/>
      <c r="R29" s="1"/>
      <c r="S29" s="1"/>
      <c r="T29" s="1"/>
      <c r="U29" s="1"/>
      <c r="V29" s="1"/>
      <c r="W29" s="1"/>
      <c r="X29" s="1"/>
      <c r="Y29" s="1"/>
      <c r="Z29" s="1"/>
    </row>
    <row r="30" spans="1:26" ht="19.5" customHeight="1">
      <c r="A30" s="39" t="s">
        <v>451</v>
      </c>
      <c r="B30" s="12" t="s">
        <v>452</v>
      </c>
      <c r="C30" s="56">
        <f t="array" ref="C30">H30+I30</f>
        <v>341</v>
      </c>
      <c r="D30" s="57">
        <f t="array" ref="D30">D142</f>
        <v>64</v>
      </c>
      <c r="E30" s="57">
        <f t="array" ref="E30">E142</f>
        <v>192</v>
      </c>
      <c r="F30" s="57">
        <f t="array" ref="F30">F142</f>
        <v>21</v>
      </c>
      <c r="G30" s="57">
        <f t="array" ref="G30">G142</f>
        <v>64</v>
      </c>
      <c r="H30" s="56">
        <f t="array" ref="H30">E30+D30</f>
        <v>256</v>
      </c>
      <c r="I30" s="56">
        <f t="array" ref="I30">G30+F30</f>
        <v>85</v>
      </c>
      <c r="J30" s="56">
        <f t="array" ref="J30">D30+F30</f>
        <v>85</v>
      </c>
      <c r="K30" s="56">
        <f t="array" ref="K30">E30+G30</f>
        <v>256</v>
      </c>
      <c r="L30" s="58"/>
      <c r="M30" s="1"/>
      <c r="N30" s="1"/>
      <c r="O30" s="1"/>
      <c r="P30" s="1"/>
      <c r="Q30" s="1"/>
      <c r="R30" s="1"/>
      <c r="S30" s="1"/>
      <c r="T30" s="1"/>
      <c r="U30" s="1"/>
      <c r="V30" s="1"/>
      <c r="W30" s="1"/>
      <c r="X30" s="1"/>
      <c r="Y30" s="1"/>
      <c r="Z30" s="1"/>
    </row>
    <row r="31" spans="1:26" ht="19.5" customHeight="1">
      <c r="A31" s="39" t="s">
        <v>453</v>
      </c>
      <c r="B31" s="12" t="s">
        <v>454</v>
      </c>
      <c r="C31" s="56">
        <f t="array" ref="C31">H31+I31</f>
        <v>317</v>
      </c>
      <c r="D31" s="57">
        <f t="array" ref="D31">D143</f>
        <v>56</v>
      </c>
      <c r="E31" s="57">
        <f t="array" ref="E31">E143</f>
        <v>182</v>
      </c>
      <c r="F31" s="57">
        <f t="array" ref="F31">F143</f>
        <v>19</v>
      </c>
      <c r="G31" s="57">
        <f t="array" ref="G31">G143</f>
        <v>60</v>
      </c>
      <c r="H31" s="56">
        <f t="array" ref="H31">E31+D31</f>
        <v>238</v>
      </c>
      <c r="I31" s="56">
        <f t="array" ref="I31">G31+F31</f>
        <v>79</v>
      </c>
      <c r="J31" s="56">
        <f t="array" ref="J31">D31+F31</f>
        <v>75</v>
      </c>
      <c r="K31" s="56">
        <f t="array" ref="K31">E31+G31</f>
        <v>242</v>
      </c>
      <c r="L31" s="58"/>
      <c r="M31" s="1"/>
      <c r="N31" s="1"/>
      <c r="O31" s="1"/>
      <c r="P31" s="1"/>
      <c r="Q31" s="1"/>
      <c r="R31" s="1"/>
      <c r="S31" s="1"/>
      <c r="T31" s="1"/>
      <c r="U31" s="1"/>
      <c r="V31" s="1"/>
      <c r="W31" s="1"/>
      <c r="X31" s="1"/>
      <c r="Y31" s="1"/>
      <c r="Z31" s="1"/>
    </row>
    <row r="32" spans="1:26" ht="19.5" customHeight="1">
      <c r="A32" s="39" t="s">
        <v>455</v>
      </c>
      <c r="B32" s="12" t="s">
        <v>456</v>
      </c>
      <c r="C32" s="56">
        <f t="array" ref="C32">H32+I32</f>
        <v>320</v>
      </c>
      <c r="D32" s="57">
        <f t="array" ref="D32">D144</f>
        <v>77</v>
      </c>
      <c r="E32" s="57">
        <f t="array" ref="E32">E144</f>
        <v>166</v>
      </c>
      <c r="F32" s="57">
        <f t="array" ref="F32">F144</f>
        <v>26</v>
      </c>
      <c r="G32" s="57">
        <f t="array" ref="G32">G144</f>
        <v>51</v>
      </c>
      <c r="H32" s="56">
        <f t="array" ref="H32">E32+D32</f>
        <v>243</v>
      </c>
      <c r="I32" s="56">
        <f t="array" ref="I32">G32+F32</f>
        <v>77</v>
      </c>
      <c r="J32" s="56">
        <f t="array" ref="J32">D32+F32</f>
        <v>103</v>
      </c>
      <c r="K32" s="56">
        <f t="array" ref="K32">E32+G32</f>
        <v>217</v>
      </c>
      <c r="L32" s="58"/>
      <c r="M32" s="1"/>
      <c r="N32" s="1"/>
      <c r="O32" s="1"/>
      <c r="P32" s="1"/>
      <c r="Q32" s="1"/>
      <c r="R32" s="1"/>
      <c r="S32" s="1"/>
      <c r="T32" s="1"/>
      <c r="U32" s="1"/>
      <c r="V32" s="1"/>
      <c r="W32" s="1"/>
      <c r="X32" s="1"/>
      <c r="Y32" s="1"/>
      <c r="Z32" s="1"/>
    </row>
    <row r="33" spans="1:26" ht="19.5" customHeight="1">
      <c r="A33" s="39" t="s">
        <v>457</v>
      </c>
      <c r="B33" s="12" t="s">
        <v>458</v>
      </c>
      <c r="C33" s="56">
        <f t="array" ref="C33">H33+I33</f>
        <v>371</v>
      </c>
      <c r="D33" s="57">
        <f t="array" ref="D33">D145</f>
        <v>71</v>
      </c>
      <c r="E33" s="57">
        <f t="array" ref="E33">E145</f>
        <v>211</v>
      </c>
      <c r="F33" s="57">
        <f t="array" ref="F33">F145</f>
        <v>23</v>
      </c>
      <c r="G33" s="57">
        <f t="array" ref="G33">G145</f>
        <v>66</v>
      </c>
      <c r="H33" s="56">
        <f t="array" ref="H33">E33+D33</f>
        <v>282</v>
      </c>
      <c r="I33" s="56">
        <f t="array" ref="I33">G33+F33</f>
        <v>89</v>
      </c>
      <c r="J33" s="56">
        <f t="array" ref="J33">D33+F33</f>
        <v>94</v>
      </c>
      <c r="K33" s="56">
        <f t="array" ref="K33">E33+G33</f>
        <v>277</v>
      </c>
      <c r="L33" s="58"/>
      <c r="M33" s="1"/>
      <c r="N33" s="1"/>
      <c r="O33" s="1"/>
      <c r="P33" s="1"/>
      <c r="Q33" s="1"/>
      <c r="R33" s="1"/>
      <c r="S33" s="1"/>
      <c r="T33" s="1"/>
      <c r="U33" s="1"/>
      <c r="V33" s="1"/>
      <c r="W33" s="1"/>
      <c r="X33" s="1"/>
      <c r="Y33" s="1"/>
      <c r="Z33" s="1"/>
    </row>
    <row r="34" spans="1:26" ht="19.5" customHeight="1">
      <c r="A34" s="39" t="s">
        <v>459</v>
      </c>
      <c r="B34" s="12" t="s">
        <v>460</v>
      </c>
      <c r="C34" s="56">
        <f t="array" ref="C34">H34+I34</f>
        <v>370</v>
      </c>
      <c r="D34" s="57">
        <f t="array" ref="D34">D146</f>
        <v>71</v>
      </c>
      <c r="E34" s="57">
        <f t="array" ref="E34">E146</f>
        <v>209</v>
      </c>
      <c r="F34" s="57">
        <f t="array" ref="F34">F146</f>
        <v>24</v>
      </c>
      <c r="G34" s="57">
        <f t="array" ref="G34">G146</f>
        <v>66</v>
      </c>
      <c r="H34" s="56">
        <f t="array" ref="H34">E34+D34</f>
        <v>280</v>
      </c>
      <c r="I34" s="56">
        <f t="array" ref="I34">G34+F34</f>
        <v>90</v>
      </c>
      <c r="J34" s="56">
        <f t="array" ref="J34">D34+F34</f>
        <v>95</v>
      </c>
      <c r="K34" s="56">
        <f t="array" ref="K34">E34+G34</f>
        <v>275</v>
      </c>
      <c r="L34" s="58"/>
      <c r="M34" s="1"/>
      <c r="N34" s="1"/>
      <c r="O34" s="1"/>
      <c r="P34" s="1"/>
      <c r="Q34" s="1"/>
      <c r="R34" s="1"/>
      <c r="S34" s="1"/>
      <c r="T34" s="1"/>
      <c r="U34" s="1"/>
      <c r="V34" s="1"/>
      <c r="W34" s="1"/>
      <c r="X34" s="1"/>
      <c r="Y34" s="1"/>
      <c r="Z34" s="1"/>
    </row>
    <row r="35" spans="1:26" ht="19.5" customHeight="1">
      <c r="A35" s="39" t="s">
        <v>461</v>
      </c>
      <c r="B35" s="12" t="s">
        <v>462</v>
      </c>
      <c r="C35" s="56">
        <f t="array" ref="C35">H35+I35</f>
        <v>417</v>
      </c>
      <c r="D35" s="57">
        <f t="array" ref="D35">D147</f>
        <v>76</v>
      </c>
      <c r="E35" s="57">
        <f t="array" ref="E35">E147</f>
        <v>241</v>
      </c>
      <c r="F35" s="57">
        <f t="array" ref="F35">F147</f>
        <v>25</v>
      </c>
      <c r="G35" s="57">
        <f t="array" ref="G35">G147</f>
        <v>75</v>
      </c>
      <c r="H35" s="56">
        <f t="array" ref="H35">E35+D35</f>
        <v>317</v>
      </c>
      <c r="I35" s="56">
        <f t="array" ref="I35">G35+F35</f>
        <v>100</v>
      </c>
      <c r="J35" s="56">
        <f t="array" ref="J35">D35+F35</f>
        <v>101</v>
      </c>
      <c r="K35" s="56">
        <f t="array" ref="K35">E35+G35</f>
        <v>316</v>
      </c>
      <c r="L35" s="58"/>
      <c r="M35" s="1"/>
      <c r="N35" s="1"/>
      <c r="O35" s="1"/>
      <c r="P35" s="1"/>
      <c r="Q35" s="1"/>
      <c r="R35" s="1"/>
      <c r="S35" s="1"/>
      <c r="T35" s="1"/>
      <c r="U35" s="1"/>
      <c r="V35" s="1"/>
      <c r="W35" s="1"/>
      <c r="X35" s="1"/>
      <c r="Y35" s="1"/>
      <c r="Z35" s="1"/>
    </row>
    <row r="36" spans="1:26" ht="19.5" customHeight="1">
      <c r="A36" s="39" t="s">
        <v>463</v>
      </c>
      <c r="B36" s="12" t="s">
        <v>464</v>
      </c>
      <c r="C36" s="56">
        <f t="array" ref="C36">H36+I36</f>
        <v>408</v>
      </c>
      <c r="D36" s="57">
        <f t="array" ref="D36">D148</f>
        <v>85</v>
      </c>
      <c r="E36" s="57">
        <f t="array" ref="E36">E148</f>
        <v>224</v>
      </c>
      <c r="F36" s="57">
        <f t="array" ref="F36">F148</f>
        <v>28</v>
      </c>
      <c r="G36" s="57">
        <f t="array" ref="G36">G148</f>
        <v>71</v>
      </c>
      <c r="H36" s="56">
        <f t="array" ref="H36">E36+D36</f>
        <v>309</v>
      </c>
      <c r="I36" s="56">
        <f t="array" ref="I36">G36+F36</f>
        <v>99</v>
      </c>
      <c r="J36" s="56">
        <f t="array" ref="J36">D36+F36</f>
        <v>113</v>
      </c>
      <c r="K36" s="56">
        <f t="array" ref="K36">E36+G36</f>
        <v>295</v>
      </c>
      <c r="L36" s="58"/>
      <c r="M36" s="1"/>
      <c r="N36" s="1"/>
      <c r="O36" s="1"/>
      <c r="P36" s="1"/>
      <c r="Q36" s="1"/>
      <c r="R36" s="1"/>
      <c r="S36" s="1"/>
      <c r="T36" s="1"/>
      <c r="U36" s="1"/>
      <c r="V36" s="1"/>
      <c r="W36" s="1"/>
      <c r="X36" s="1"/>
      <c r="Y36" s="1"/>
      <c r="Z36" s="1"/>
    </row>
    <row r="37" spans="1:26" ht="19.5" customHeight="1">
      <c r="A37" s="39" t="s">
        <v>465</v>
      </c>
      <c r="B37" s="12" t="s">
        <v>466</v>
      </c>
      <c r="C37" s="56">
        <f t="array" ref="C37">H37+I37</f>
        <v>411</v>
      </c>
      <c r="D37" s="57">
        <f t="array" ref="D37">D149</f>
        <v>87</v>
      </c>
      <c r="E37" s="57">
        <f t="array" ref="E37">E149</f>
        <v>225</v>
      </c>
      <c r="F37" s="57">
        <f t="array" ref="F37">F149</f>
        <v>28</v>
      </c>
      <c r="G37" s="57">
        <f t="array" ref="G37">G149</f>
        <v>71</v>
      </c>
      <c r="H37" s="56">
        <f t="array" ref="H37">E37+D37</f>
        <v>312</v>
      </c>
      <c r="I37" s="56">
        <f t="array" ref="I37">G37+F37</f>
        <v>99</v>
      </c>
      <c r="J37" s="56">
        <f t="array" ref="J37">D37+F37</f>
        <v>115</v>
      </c>
      <c r="K37" s="56">
        <f t="array" ref="K37">E37+G37</f>
        <v>296</v>
      </c>
      <c r="L37" s="58"/>
      <c r="M37" s="1"/>
      <c r="N37" s="1"/>
      <c r="O37" s="1"/>
      <c r="P37" s="1"/>
      <c r="Q37" s="1"/>
      <c r="R37" s="1"/>
      <c r="S37" s="1"/>
      <c r="T37" s="1"/>
      <c r="U37" s="1"/>
      <c r="V37" s="1"/>
      <c r="W37" s="1"/>
      <c r="X37" s="1"/>
      <c r="Y37" s="1"/>
      <c r="Z37" s="1"/>
    </row>
    <row r="38" spans="1:26" ht="19.5" customHeight="1">
      <c r="A38" s="39" t="s">
        <v>467</v>
      </c>
      <c r="B38" s="12" t="s">
        <v>468</v>
      </c>
      <c r="C38" s="56">
        <f t="array" ref="C38">H38+I38</f>
        <v>431</v>
      </c>
      <c r="D38" s="57">
        <f t="array" ref="D38">D150</f>
        <v>90</v>
      </c>
      <c r="E38" s="57">
        <f t="array" ref="E38">E150</f>
        <v>237</v>
      </c>
      <c r="F38" s="57">
        <f t="array" ref="F38">F150</f>
        <v>29</v>
      </c>
      <c r="G38" s="57">
        <f t="array" ref="G38">G150</f>
        <v>75</v>
      </c>
      <c r="H38" s="56">
        <f t="array" ref="H38">E38+D38</f>
        <v>327</v>
      </c>
      <c r="I38" s="56">
        <f t="array" ref="I38">G38+F38</f>
        <v>104</v>
      </c>
      <c r="J38" s="56">
        <f t="array" ref="J38">D38+F38</f>
        <v>119</v>
      </c>
      <c r="K38" s="56">
        <f t="array" ref="K38">E38+G38</f>
        <v>312</v>
      </c>
      <c r="L38" s="58"/>
      <c r="M38" s="1"/>
      <c r="N38" s="1"/>
      <c r="O38" s="1"/>
      <c r="P38" s="1"/>
      <c r="Q38" s="1"/>
      <c r="R38" s="1"/>
      <c r="S38" s="1"/>
      <c r="T38" s="1"/>
      <c r="U38" s="1"/>
      <c r="V38" s="1"/>
      <c r="W38" s="1"/>
      <c r="X38" s="1"/>
      <c r="Y38" s="1"/>
      <c r="Z38" s="1"/>
    </row>
    <row r="39" spans="1:26" ht="19.5" customHeight="1">
      <c r="A39" s="39" t="s">
        <v>469</v>
      </c>
      <c r="B39" s="12" t="s">
        <v>470</v>
      </c>
      <c r="C39" s="56">
        <f t="array" ref="C39">H39+I39</f>
        <v>471</v>
      </c>
      <c r="D39" s="57">
        <f t="array" ref="D39">D151</f>
        <v>109</v>
      </c>
      <c r="E39" s="57">
        <f t="array" ref="E39">E151</f>
        <v>249</v>
      </c>
      <c r="F39" s="57">
        <f t="array" ref="F39">F151</f>
        <v>35</v>
      </c>
      <c r="G39" s="57">
        <f t="array" ref="G39">G151</f>
        <v>78</v>
      </c>
      <c r="H39" s="56">
        <f t="array" ref="H39">E39+D39</f>
        <v>358</v>
      </c>
      <c r="I39" s="56">
        <f t="array" ref="I39">G39+F39</f>
        <v>113</v>
      </c>
      <c r="J39" s="56">
        <f t="array" ref="J39">D39+F39</f>
        <v>144</v>
      </c>
      <c r="K39" s="56">
        <f t="array" ref="K39">E39+G39</f>
        <v>327</v>
      </c>
      <c r="L39" s="58"/>
      <c r="M39" s="1"/>
      <c r="N39" s="1"/>
      <c r="O39" s="1"/>
      <c r="P39" s="1"/>
      <c r="Q39" s="1"/>
      <c r="R39" s="1"/>
      <c r="S39" s="1"/>
      <c r="T39" s="1"/>
      <c r="U39" s="1"/>
      <c r="V39" s="1"/>
      <c r="W39" s="1"/>
      <c r="X39" s="1"/>
      <c r="Y39" s="1"/>
      <c r="Z39" s="1"/>
    </row>
    <row r="40" spans="1:26" ht="19.5" customHeight="1">
      <c r="A40" s="39" t="s">
        <v>471</v>
      </c>
      <c r="B40" s="12" t="s">
        <v>472</v>
      </c>
      <c r="C40" s="56">
        <f t="array" ref="C40">H40+I40</f>
        <v>503</v>
      </c>
      <c r="D40" s="57">
        <f t="array" ref="D40">D152</f>
        <v>119</v>
      </c>
      <c r="E40" s="57">
        <f t="array" ref="E40">E152</f>
        <v>262</v>
      </c>
      <c r="F40" s="57">
        <f t="array" ref="F40">F152</f>
        <v>39</v>
      </c>
      <c r="G40" s="57">
        <f t="array" ref="G40">G152</f>
        <v>83</v>
      </c>
      <c r="H40" s="56">
        <f t="array" ref="H40">E40+D40</f>
        <v>381</v>
      </c>
      <c r="I40" s="56">
        <f t="array" ref="I40">G40+F40</f>
        <v>122</v>
      </c>
      <c r="J40" s="56">
        <f t="array" ref="J40">D40+F40</f>
        <v>158</v>
      </c>
      <c r="K40" s="56">
        <f t="array" ref="K40">E40+G40</f>
        <v>345</v>
      </c>
      <c r="L40" s="58"/>
      <c r="M40" s="1"/>
      <c r="N40" s="1"/>
      <c r="O40" s="1"/>
      <c r="P40" s="1"/>
      <c r="Q40" s="1"/>
      <c r="R40" s="1"/>
      <c r="S40" s="1"/>
      <c r="T40" s="1"/>
      <c r="U40" s="1"/>
      <c r="V40" s="1"/>
      <c r="W40" s="1"/>
      <c r="X40" s="1"/>
      <c r="Y40" s="1"/>
      <c r="Z40" s="1"/>
    </row>
    <row r="41" spans="1:26" ht="19.5" customHeight="1">
      <c r="A41" s="39" t="s">
        <v>473</v>
      </c>
      <c r="B41" s="12" t="s">
        <v>474</v>
      </c>
      <c r="C41" s="56">
        <f t="array" ref="C41">H41+I41</f>
        <v>545</v>
      </c>
      <c r="D41" s="57">
        <f t="array" ref="D41">D153</f>
        <v>116</v>
      </c>
      <c r="E41" s="57">
        <f t="array" ref="E41">E153</f>
        <v>297</v>
      </c>
      <c r="F41" s="57">
        <f t="array" ref="F41">F153</f>
        <v>38</v>
      </c>
      <c r="G41" s="57">
        <f t="array" ref="G41">G153</f>
        <v>94</v>
      </c>
      <c r="H41" s="56">
        <f t="array" ref="H41">E41+D41</f>
        <v>413</v>
      </c>
      <c r="I41" s="56">
        <f t="array" ref="I41">G41+F41</f>
        <v>132</v>
      </c>
      <c r="J41" s="56">
        <f t="array" ref="J41">D41+F41</f>
        <v>154</v>
      </c>
      <c r="K41" s="56">
        <f t="array" ref="K41">E41+G41</f>
        <v>391</v>
      </c>
      <c r="L41" s="58"/>
      <c r="M41" s="1"/>
      <c r="N41" s="1"/>
      <c r="O41" s="1"/>
      <c r="P41" s="1"/>
      <c r="Q41" s="1"/>
      <c r="R41" s="1"/>
      <c r="S41" s="1"/>
      <c r="T41" s="1"/>
      <c r="U41" s="1"/>
      <c r="V41" s="1"/>
      <c r="W41" s="1"/>
      <c r="X41" s="1"/>
      <c r="Y41" s="1"/>
      <c r="Z41" s="1"/>
    </row>
    <row r="42" spans="1:26" ht="19.5" customHeight="1">
      <c r="A42" s="39" t="s">
        <v>475</v>
      </c>
      <c r="B42" s="12" t="s">
        <v>476</v>
      </c>
      <c r="C42" s="56">
        <f t="array" ref="C42">H42+I42</f>
        <v>589</v>
      </c>
      <c r="D42" s="57">
        <f t="array" ref="D42">D154</f>
        <v>126</v>
      </c>
      <c r="E42" s="57">
        <f t="array" ref="E42">E154</f>
        <v>321</v>
      </c>
      <c r="F42" s="57">
        <f t="array" ref="F42">F154</f>
        <v>41</v>
      </c>
      <c r="G42" s="57">
        <f t="array" ref="G42">G154</f>
        <v>101</v>
      </c>
      <c r="H42" s="56">
        <f t="array" ref="H42">E42+D42</f>
        <v>447</v>
      </c>
      <c r="I42" s="56">
        <f t="array" ref="I42">G42+F42</f>
        <v>142</v>
      </c>
      <c r="J42" s="56">
        <f t="array" ref="J42">D42+F42</f>
        <v>167</v>
      </c>
      <c r="K42" s="56">
        <f t="array" ref="K42">E42+G42</f>
        <v>422</v>
      </c>
      <c r="L42" s="58"/>
      <c r="M42" s="1"/>
      <c r="N42" s="1"/>
      <c r="O42" s="1"/>
      <c r="P42" s="1"/>
      <c r="Q42" s="1"/>
      <c r="R42" s="1"/>
      <c r="S42" s="1"/>
      <c r="T42" s="1"/>
      <c r="U42" s="1"/>
      <c r="V42" s="1"/>
      <c r="W42" s="1"/>
      <c r="X42" s="1"/>
      <c r="Y42" s="1"/>
      <c r="Z42" s="1"/>
    </row>
    <row r="43" spans="1:26" ht="19.5" customHeight="1">
      <c r="A43" s="39" t="s">
        <v>477</v>
      </c>
      <c r="B43" s="12" t="s">
        <v>478</v>
      </c>
      <c r="C43" s="56">
        <f t="array" ref="C43">H43+I43</f>
        <v>696</v>
      </c>
      <c r="D43" s="57">
        <f t="array" ref="D43">D155</f>
        <v>163</v>
      </c>
      <c r="E43" s="57">
        <f t="array" ref="E43">E155</f>
        <v>365</v>
      </c>
      <c r="F43" s="57">
        <f t="array" ref="F43">F155</f>
        <v>53</v>
      </c>
      <c r="G43" s="57">
        <f t="array" ref="G43">G155</f>
        <v>115</v>
      </c>
      <c r="H43" s="56">
        <f t="array" ref="H43">E43+D43</f>
        <v>528</v>
      </c>
      <c r="I43" s="56">
        <f t="array" ref="I43">G43+F43</f>
        <v>168</v>
      </c>
      <c r="J43" s="56">
        <f t="array" ref="J43">D43+F43</f>
        <v>216</v>
      </c>
      <c r="K43" s="56">
        <f t="array" ref="K43">E43+G43</f>
        <v>480</v>
      </c>
      <c r="L43" s="58"/>
      <c r="M43" s="1"/>
      <c r="N43" s="1"/>
      <c r="O43" s="1"/>
      <c r="P43" s="1"/>
      <c r="Q43" s="1"/>
      <c r="R43" s="1"/>
      <c r="S43" s="1"/>
      <c r="T43" s="1"/>
      <c r="U43" s="1"/>
      <c r="V43" s="1"/>
      <c r="W43" s="1"/>
      <c r="X43" s="1"/>
      <c r="Y43" s="1"/>
      <c r="Z43" s="1"/>
    </row>
    <row r="44" spans="1:26" ht="19.5" customHeight="1">
      <c r="A44" s="39" t="s">
        <v>479</v>
      </c>
      <c r="B44" s="12" t="s">
        <v>480</v>
      </c>
      <c r="C44" s="56">
        <f t="array" ref="C44">H44+I44</f>
        <v>724</v>
      </c>
      <c r="D44" s="57">
        <f t="array" ref="D44">D156</f>
        <v>175</v>
      </c>
      <c r="E44" s="57">
        <f t="array" ref="E44">E156</f>
        <v>374</v>
      </c>
      <c r="F44" s="57">
        <f t="array" ref="F44">F156</f>
        <v>57</v>
      </c>
      <c r="G44" s="57">
        <f t="array" ref="G44">G156</f>
        <v>118</v>
      </c>
      <c r="H44" s="56">
        <f t="array" ref="H44">E44+D44</f>
        <v>549</v>
      </c>
      <c r="I44" s="56">
        <f t="array" ref="I44">G44+F44</f>
        <v>175</v>
      </c>
      <c r="J44" s="56">
        <f t="array" ref="J44">D44+F44</f>
        <v>232</v>
      </c>
      <c r="K44" s="56">
        <f t="array" ref="K44">E44+G44</f>
        <v>492</v>
      </c>
      <c r="L44" s="58"/>
      <c r="M44" s="1"/>
      <c r="N44" s="1"/>
      <c r="O44" s="1"/>
      <c r="P44" s="1"/>
      <c r="Q44" s="1"/>
      <c r="R44" s="1"/>
      <c r="S44" s="1"/>
      <c r="T44" s="1"/>
      <c r="U44" s="1"/>
      <c r="V44" s="1"/>
      <c r="W44" s="1"/>
      <c r="X44" s="1"/>
      <c r="Y44" s="1"/>
      <c r="Z44" s="1"/>
    </row>
    <row r="45" spans="1:26" ht="19.5" customHeight="1">
      <c r="A45" s="39" t="s">
        <v>481</v>
      </c>
      <c r="B45" s="12" t="s">
        <v>482</v>
      </c>
      <c r="C45" s="56">
        <f t="array" ref="C45">H45+I45</f>
        <v>775</v>
      </c>
      <c r="D45" s="57">
        <f t="array" ref="D45">D157</f>
        <v>181</v>
      </c>
      <c r="E45" s="57">
        <f t="array" ref="E45">E157</f>
        <v>406</v>
      </c>
      <c r="F45" s="57">
        <f t="array" ref="F45">F157</f>
        <v>59</v>
      </c>
      <c r="G45" s="57">
        <f t="array" ref="G45">G157</f>
        <v>129</v>
      </c>
      <c r="H45" s="56">
        <f t="array" ref="H45">E45+D45</f>
        <v>587</v>
      </c>
      <c r="I45" s="56">
        <f t="array" ref="I45">G45+F45</f>
        <v>188</v>
      </c>
      <c r="J45" s="56">
        <f t="array" ref="J45">D45+F45</f>
        <v>240</v>
      </c>
      <c r="K45" s="56">
        <f t="array" ref="K45">E45+G45</f>
        <v>535</v>
      </c>
      <c r="L45" s="58"/>
      <c r="M45" s="1"/>
      <c r="N45" s="1"/>
      <c r="O45" s="1"/>
      <c r="P45" s="1"/>
      <c r="Q45" s="1"/>
      <c r="R45" s="1"/>
      <c r="S45" s="1"/>
      <c r="T45" s="1"/>
      <c r="U45" s="1"/>
      <c r="V45" s="1"/>
      <c r="W45" s="1"/>
      <c r="X45" s="1"/>
      <c r="Y45" s="1"/>
      <c r="Z45" s="1"/>
    </row>
    <row r="46" spans="1:26" ht="19.5" customHeight="1">
      <c r="A46" s="39" t="s">
        <v>483</v>
      </c>
      <c r="B46" s="12" t="s">
        <v>484</v>
      </c>
      <c r="C46" s="56">
        <f t="array" ref="C46">H46+I46</f>
        <v>874</v>
      </c>
      <c r="D46" s="57">
        <f t="array" ref="D46">D158</f>
        <v>213</v>
      </c>
      <c r="E46" s="57">
        <f t="array" ref="E46">E158</f>
        <v>449</v>
      </c>
      <c r="F46" s="57">
        <f t="array" ref="F46">F158</f>
        <v>70</v>
      </c>
      <c r="G46" s="57">
        <f t="array" ref="G46">G158</f>
        <v>142</v>
      </c>
      <c r="H46" s="56">
        <f t="array" ref="H46">E46+D46</f>
        <v>662</v>
      </c>
      <c r="I46" s="56">
        <f t="array" ref="I46">G46+F46</f>
        <v>212</v>
      </c>
      <c r="J46" s="56">
        <f t="array" ref="J46">D46+F46</f>
        <v>283</v>
      </c>
      <c r="K46" s="56">
        <f t="array" ref="K46">E46+G46</f>
        <v>591</v>
      </c>
      <c r="L46" s="58"/>
      <c r="M46" s="1"/>
      <c r="N46" s="1"/>
      <c r="O46" s="1"/>
      <c r="P46" s="1"/>
      <c r="Q46" s="1"/>
      <c r="R46" s="1"/>
      <c r="S46" s="1"/>
      <c r="T46" s="1"/>
      <c r="U46" s="1"/>
      <c r="V46" s="1"/>
      <c r="W46" s="1"/>
      <c r="X46" s="1"/>
      <c r="Y46" s="1"/>
      <c r="Z46" s="1"/>
    </row>
    <row r="47" spans="1:26" ht="19.5" customHeight="1">
      <c r="A47" s="39" t="s">
        <v>485</v>
      </c>
      <c r="B47" s="12" t="s">
        <v>486</v>
      </c>
      <c r="C47" s="56">
        <f t="array" ref="C47">H47+I47</f>
        <v>923</v>
      </c>
      <c r="D47" s="57">
        <f t="array" ref="D47">D159</f>
        <v>223</v>
      </c>
      <c r="E47" s="57">
        <f t="array" ref="E47">E159</f>
        <v>476</v>
      </c>
      <c r="F47" s="57">
        <f t="array" ref="F47">F159</f>
        <v>72</v>
      </c>
      <c r="G47" s="57">
        <f t="array" ref="G47">G159</f>
        <v>152</v>
      </c>
      <c r="H47" s="56">
        <f t="array" ref="H47">E47+D47</f>
        <v>699</v>
      </c>
      <c r="I47" s="56">
        <f t="array" ref="I47">G47+F47</f>
        <v>224</v>
      </c>
      <c r="J47" s="56">
        <f t="array" ref="J47">D47+F47</f>
        <v>295</v>
      </c>
      <c r="K47" s="56">
        <f t="array" ref="K47">E47+G47</f>
        <v>628</v>
      </c>
      <c r="L47" s="58"/>
      <c r="M47" s="1"/>
      <c r="N47" s="1"/>
      <c r="O47" s="1"/>
      <c r="P47" s="1"/>
      <c r="Q47" s="1"/>
      <c r="R47" s="1"/>
      <c r="S47" s="1"/>
      <c r="T47" s="1"/>
      <c r="U47" s="1"/>
      <c r="V47" s="1"/>
      <c r="W47" s="1"/>
      <c r="X47" s="1"/>
      <c r="Y47" s="1"/>
      <c r="Z47" s="1"/>
    </row>
    <row r="48" spans="1:26" ht="19.5" customHeight="1">
      <c r="A48" s="39" t="s">
        <v>487</v>
      </c>
      <c r="B48" s="12" t="s">
        <v>488</v>
      </c>
      <c r="C48" s="56">
        <f t="array" ref="C48">H48+I48</f>
        <v>980</v>
      </c>
      <c r="D48" s="57">
        <f t="array" ref="D48">D160</f>
        <v>254</v>
      </c>
      <c r="E48" s="57">
        <f t="array" ref="E48">E160</f>
        <v>489</v>
      </c>
      <c r="F48" s="57">
        <f t="array" ref="F48">F160</f>
        <v>82</v>
      </c>
      <c r="G48" s="57">
        <f t="array" ref="G48">G160</f>
        <v>155</v>
      </c>
      <c r="H48" s="56">
        <f t="array" ref="H48">E48+D48</f>
        <v>743</v>
      </c>
      <c r="I48" s="56">
        <f t="array" ref="I48">G48+F48</f>
        <v>237</v>
      </c>
      <c r="J48" s="56">
        <f t="array" ref="J48">D48+F48</f>
        <v>336</v>
      </c>
      <c r="K48" s="56">
        <f t="array" ref="K48">E48+G48</f>
        <v>644</v>
      </c>
      <c r="L48" s="58"/>
      <c r="M48" s="1"/>
      <c r="N48" s="1"/>
      <c r="O48" s="1"/>
      <c r="P48" s="1"/>
      <c r="Q48" s="1"/>
      <c r="R48" s="1"/>
      <c r="S48" s="1"/>
      <c r="T48" s="1"/>
      <c r="U48" s="1"/>
      <c r="V48" s="1"/>
      <c r="W48" s="1"/>
      <c r="X48" s="1"/>
      <c r="Y48" s="1"/>
      <c r="Z48" s="1"/>
    </row>
    <row r="49" spans="1:26" ht="19.5" customHeight="1">
      <c r="A49" s="39" t="s">
        <v>489</v>
      </c>
      <c r="B49" s="12" t="s">
        <v>490</v>
      </c>
      <c r="C49" s="56">
        <f t="array" ref="C49">H49+I49</f>
        <v>1156</v>
      </c>
      <c r="D49" s="57">
        <f t="array" ref="D49">D161</f>
        <v>312</v>
      </c>
      <c r="E49" s="57">
        <f t="array" ref="E49">E161</f>
        <v>563</v>
      </c>
      <c r="F49" s="57">
        <f t="array" ref="F49">F161</f>
        <v>102</v>
      </c>
      <c r="G49" s="57">
        <f t="array" ref="G49">G161</f>
        <v>179</v>
      </c>
      <c r="H49" s="56">
        <f t="array" ref="H49">E49+D49</f>
        <v>875</v>
      </c>
      <c r="I49" s="56">
        <f t="array" ref="I49">G49+F49</f>
        <v>281</v>
      </c>
      <c r="J49" s="56">
        <f t="array" ref="J49">D49+F49</f>
        <v>414</v>
      </c>
      <c r="K49" s="56">
        <f t="array" ref="K49">E49+G49</f>
        <v>742</v>
      </c>
      <c r="L49" s="58"/>
      <c r="M49" s="1"/>
      <c r="N49" s="1"/>
      <c r="O49" s="1"/>
      <c r="P49" s="1"/>
      <c r="Q49" s="1"/>
      <c r="R49" s="1"/>
      <c r="S49" s="1"/>
      <c r="T49" s="1"/>
      <c r="U49" s="1"/>
      <c r="V49" s="1"/>
      <c r="W49" s="1"/>
      <c r="X49" s="1"/>
      <c r="Y49" s="1"/>
      <c r="Z49" s="1"/>
    </row>
    <row r="50" spans="1:26" ht="19.5" customHeight="1">
      <c r="A50" s="39" t="s">
        <v>491</v>
      </c>
      <c r="B50" s="12" t="s">
        <v>492</v>
      </c>
      <c r="C50" s="56">
        <f t="array" ref="C50">H50+I50</f>
        <v>1197</v>
      </c>
      <c r="D50" s="57">
        <f t="array" ref="D50">D162</f>
        <v>290</v>
      </c>
      <c r="E50" s="57">
        <f t="array" ref="E50">E162</f>
        <v>617</v>
      </c>
      <c r="F50" s="57">
        <f t="array" ref="F50">F162</f>
        <v>94</v>
      </c>
      <c r="G50" s="57">
        <f t="array" ref="G50">G162</f>
        <v>196</v>
      </c>
      <c r="H50" s="56">
        <f t="array" ref="H50">E50+D50</f>
        <v>907</v>
      </c>
      <c r="I50" s="56">
        <f t="array" ref="I50">G50+F50</f>
        <v>290</v>
      </c>
      <c r="J50" s="56">
        <f t="array" ref="J50">D50+F50</f>
        <v>384</v>
      </c>
      <c r="K50" s="56">
        <f t="array" ref="K50">E50+G50</f>
        <v>813</v>
      </c>
      <c r="L50" s="58"/>
      <c r="M50" s="1"/>
      <c r="N50" s="1"/>
      <c r="O50" s="1"/>
      <c r="P50" s="1"/>
      <c r="Q50" s="1"/>
      <c r="R50" s="1"/>
      <c r="S50" s="1"/>
      <c r="T50" s="1"/>
      <c r="U50" s="1"/>
      <c r="V50" s="1"/>
      <c r="W50" s="1"/>
      <c r="X50" s="1"/>
      <c r="Y50" s="1"/>
      <c r="Z50" s="1"/>
    </row>
    <row r="51" spans="1:26" ht="19.5" customHeight="1">
      <c r="A51" s="39" t="s">
        <v>493</v>
      </c>
      <c r="B51" s="12" t="s">
        <v>494</v>
      </c>
      <c r="C51" s="56">
        <f t="array" ref="C51">H51+I51</f>
        <v>1331</v>
      </c>
      <c r="D51" s="57">
        <f t="array" ref="D51">D163</f>
        <v>321</v>
      </c>
      <c r="E51" s="57">
        <f t="array" ref="E51">E163</f>
        <v>687</v>
      </c>
      <c r="F51" s="57">
        <f t="array" ref="F51">F163</f>
        <v>105</v>
      </c>
      <c r="G51" s="57">
        <f t="array" ref="G51">G163</f>
        <v>218</v>
      </c>
      <c r="H51" s="56">
        <f t="array" ref="H51">E51+D51</f>
        <v>1008</v>
      </c>
      <c r="I51" s="56">
        <f t="array" ref="I51">G51+F51</f>
        <v>323</v>
      </c>
      <c r="J51" s="56">
        <f t="array" ref="J51">D51+F51</f>
        <v>426</v>
      </c>
      <c r="K51" s="56">
        <f t="array" ref="K51">E51+G51</f>
        <v>905</v>
      </c>
      <c r="L51" s="58"/>
      <c r="M51" s="1"/>
      <c r="N51" s="1"/>
      <c r="O51" s="1"/>
      <c r="P51" s="1"/>
      <c r="Q51" s="1"/>
      <c r="R51" s="1"/>
      <c r="S51" s="1"/>
      <c r="T51" s="1"/>
      <c r="U51" s="1"/>
      <c r="V51" s="1"/>
      <c r="W51" s="1"/>
      <c r="X51" s="1"/>
      <c r="Y51" s="1"/>
      <c r="Z51" s="1"/>
    </row>
    <row r="52" spans="1:26" ht="19.5" customHeight="1">
      <c r="A52" s="39" t="s">
        <v>495</v>
      </c>
      <c r="B52" s="12" t="s">
        <v>496</v>
      </c>
      <c r="C52" s="56">
        <f t="array" ref="C52">H52+I52</f>
        <v>1343</v>
      </c>
      <c r="D52" s="57">
        <f t="array" ref="D52">D164</f>
        <v>356</v>
      </c>
      <c r="E52" s="57">
        <f t="array" ref="E52">E164</f>
        <v>662</v>
      </c>
      <c r="F52" s="57">
        <f t="array" ref="F52">F164</f>
        <v>116</v>
      </c>
      <c r="G52" s="57">
        <f t="array" ref="G52">G164</f>
        <v>209</v>
      </c>
      <c r="H52" s="56">
        <f t="array" ref="H52">E52+D52</f>
        <v>1018</v>
      </c>
      <c r="I52" s="56">
        <f t="array" ref="I52">G52+F52</f>
        <v>325</v>
      </c>
      <c r="J52" s="56">
        <f t="array" ref="J52">D52+F52</f>
        <v>472</v>
      </c>
      <c r="K52" s="56">
        <f t="array" ref="K52">E52+G52</f>
        <v>871</v>
      </c>
      <c r="L52" s="58"/>
      <c r="M52" s="1"/>
      <c r="N52" s="1"/>
      <c r="O52" s="1"/>
      <c r="P52" s="1"/>
      <c r="Q52" s="1"/>
      <c r="R52" s="1"/>
      <c r="S52" s="1"/>
      <c r="T52" s="1"/>
      <c r="U52" s="1"/>
      <c r="V52" s="1"/>
      <c r="W52" s="1"/>
      <c r="X52" s="1"/>
      <c r="Y52" s="1"/>
      <c r="Z52" s="1"/>
    </row>
    <row r="53" spans="1:26" ht="19.5" customHeight="1">
      <c r="A53" s="39" t="s">
        <v>497</v>
      </c>
      <c r="B53" s="12" t="s">
        <v>498</v>
      </c>
      <c r="C53" s="56">
        <f t="array" ref="C53">H53+I53</f>
        <v>1510</v>
      </c>
      <c r="D53" s="57">
        <f t="array" ref="D53">D165</f>
        <v>398</v>
      </c>
      <c r="E53" s="57">
        <f t="array" ref="E53">E165</f>
        <v>746</v>
      </c>
      <c r="F53" s="57">
        <f t="array" ref="F53">F165</f>
        <v>130</v>
      </c>
      <c r="G53" s="57">
        <f t="array" ref="G53">G165</f>
        <v>236</v>
      </c>
      <c r="H53" s="56">
        <f t="array" ref="H53">E53+D53</f>
        <v>1144</v>
      </c>
      <c r="I53" s="56">
        <f t="array" ref="I53">G53+F53</f>
        <v>366</v>
      </c>
      <c r="J53" s="56">
        <f t="array" ref="J53">D53+F53</f>
        <v>528</v>
      </c>
      <c r="K53" s="56">
        <f t="array" ref="K53">E53+G53</f>
        <v>982</v>
      </c>
      <c r="L53" s="58"/>
      <c r="M53" s="1"/>
      <c r="N53" s="1"/>
      <c r="O53" s="1"/>
      <c r="P53" s="1"/>
      <c r="Q53" s="1"/>
      <c r="R53" s="1"/>
      <c r="S53" s="1"/>
      <c r="T53" s="1"/>
      <c r="U53" s="1"/>
      <c r="V53" s="1"/>
      <c r="W53" s="1"/>
      <c r="X53" s="1"/>
      <c r="Y53" s="1"/>
      <c r="Z53" s="1"/>
    </row>
    <row r="54" spans="1:26" ht="19.5" customHeight="1">
      <c r="A54" s="39" t="s">
        <v>499</v>
      </c>
      <c r="B54" s="12" t="s">
        <v>500</v>
      </c>
      <c r="C54" s="56">
        <f t="array" ref="C54">H54+I54</f>
        <v>1627</v>
      </c>
      <c r="D54" s="57">
        <f t="array" ref="D54">D166</f>
        <v>426</v>
      </c>
      <c r="E54" s="57">
        <f t="array" ref="E54">E166</f>
        <v>808</v>
      </c>
      <c r="F54" s="57">
        <f t="array" ref="F54">F166</f>
        <v>139</v>
      </c>
      <c r="G54" s="57">
        <f t="array" ref="G54">G166</f>
        <v>254</v>
      </c>
      <c r="H54" s="56">
        <f t="array" ref="H54">E54+D54</f>
        <v>1234</v>
      </c>
      <c r="I54" s="56">
        <f t="array" ref="I54">G54+F54</f>
        <v>393</v>
      </c>
      <c r="J54" s="56">
        <f t="array" ref="J54">D54+F54</f>
        <v>565</v>
      </c>
      <c r="K54" s="56">
        <f t="array" ref="K54">E54+G54</f>
        <v>1062</v>
      </c>
      <c r="L54" s="58"/>
      <c r="M54" s="1"/>
      <c r="N54" s="1"/>
      <c r="O54" s="1"/>
      <c r="P54" s="1"/>
      <c r="Q54" s="1"/>
      <c r="R54" s="1"/>
      <c r="S54" s="1"/>
      <c r="T54" s="1"/>
      <c r="U54" s="1"/>
      <c r="V54" s="1"/>
      <c r="W54" s="1"/>
      <c r="X54" s="1"/>
      <c r="Y54" s="1"/>
      <c r="Z54" s="1"/>
    </row>
    <row r="55" spans="1:26" ht="19.5" customHeight="1">
      <c r="A55" s="39" t="s">
        <v>501</v>
      </c>
      <c r="B55" s="12" t="s">
        <v>502</v>
      </c>
      <c r="C55" s="56">
        <f t="array" ref="C55">H55+I55</f>
        <v>1710</v>
      </c>
      <c r="D55" s="57">
        <f t="array" ref="D55">D167</f>
        <v>419</v>
      </c>
      <c r="E55" s="57">
        <f t="array" ref="E55">E167</f>
        <v>877</v>
      </c>
      <c r="F55" s="57">
        <f t="array" ref="F55">F167</f>
        <v>138</v>
      </c>
      <c r="G55" s="57">
        <f t="array" ref="G55">G167</f>
        <v>276</v>
      </c>
      <c r="H55" s="56">
        <f t="array" ref="H55">E55+D55</f>
        <v>1296</v>
      </c>
      <c r="I55" s="56">
        <f t="array" ref="I55">G55+F55</f>
        <v>414</v>
      </c>
      <c r="J55" s="56">
        <f t="array" ref="J55">D55+F55</f>
        <v>557</v>
      </c>
      <c r="K55" s="56">
        <f t="array" ref="K55">E55+G55</f>
        <v>1153</v>
      </c>
      <c r="L55" s="58"/>
      <c r="M55" s="1"/>
      <c r="N55" s="1"/>
      <c r="O55" s="1"/>
      <c r="P55" s="1"/>
      <c r="Q55" s="1"/>
      <c r="R55" s="1"/>
      <c r="S55" s="1"/>
      <c r="T55" s="1"/>
      <c r="U55" s="1"/>
      <c r="V55" s="1"/>
      <c r="W55" s="1"/>
      <c r="X55" s="1"/>
      <c r="Y55" s="1"/>
      <c r="Z55" s="1"/>
    </row>
    <row r="56" spans="1:26" ht="19.5" customHeight="1">
      <c r="A56" s="39" t="s">
        <v>503</v>
      </c>
      <c r="B56" s="12" t="s">
        <v>504</v>
      </c>
      <c r="C56" s="56">
        <f t="array" ref="C56">H56+I56</f>
        <v>1939</v>
      </c>
      <c r="D56" s="57">
        <f t="array" ref="D56">D168</f>
        <v>505</v>
      </c>
      <c r="E56" s="57">
        <f t="array" ref="E56">E168</f>
        <v>964</v>
      </c>
      <c r="F56" s="57">
        <f t="array" ref="F56">F168</f>
        <v>166</v>
      </c>
      <c r="G56" s="57">
        <f t="array" ref="G56">G168</f>
        <v>304</v>
      </c>
      <c r="H56" s="56">
        <f t="array" ref="H56">E56+D56</f>
        <v>1469</v>
      </c>
      <c r="I56" s="56">
        <f t="array" ref="I56">G56+F56</f>
        <v>470</v>
      </c>
      <c r="J56" s="56">
        <f t="array" ref="J56">D56+F56</f>
        <v>671</v>
      </c>
      <c r="K56" s="56">
        <f t="array" ref="K56">E56+G56</f>
        <v>1268</v>
      </c>
      <c r="L56" s="58"/>
      <c r="M56" s="1"/>
      <c r="N56" s="1"/>
      <c r="O56" s="1"/>
      <c r="P56" s="1"/>
      <c r="Q56" s="1"/>
      <c r="R56" s="1"/>
      <c r="S56" s="1"/>
      <c r="T56" s="1"/>
      <c r="U56" s="1"/>
      <c r="V56" s="1"/>
      <c r="W56" s="1"/>
      <c r="X56" s="1"/>
      <c r="Y56" s="1"/>
      <c r="Z56" s="1"/>
    </row>
    <row r="57" spans="1:26" ht="19.5" customHeight="1">
      <c r="A57" s="39" t="s">
        <v>505</v>
      </c>
      <c r="B57" s="12" t="s">
        <v>506</v>
      </c>
      <c r="C57" s="56">
        <f t="array" ref="C57">H57+I57</f>
        <v>2303</v>
      </c>
      <c r="D57" s="57">
        <f t="array" ref="D57">D169</f>
        <v>607</v>
      </c>
      <c r="E57" s="57">
        <f t="array" ref="E57">E169</f>
        <v>1139</v>
      </c>
      <c r="F57" s="57">
        <f t="array" ref="F57">F169</f>
        <v>199</v>
      </c>
      <c r="G57" s="57">
        <f t="array" ref="G57">G169</f>
        <v>358</v>
      </c>
      <c r="H57" s="56">
        <f t="array" ref="H57">E57+D57</f>
        <v>1746</v>
      </c>
      <c r="I57" s="56">
        <f t="array" ref="I57">G57+F57</f>
        <v>557</v>
      </c>
      <c r="J57" s="56">
        <f t="array" ref="J57">D57+F57</f>
        <v>806</v>
      </c>
      <c r="K57" s="56">
        <f t="array" ref="K57">E57+G57</f>
        <v>1497</v>
      </c>
      <c r="L57" s="58"/>
      <c r="M57" s="1"/>
      <c r="N57" s="1"/>
      <c r="O57" s="1"/>
      <c r="P57" s="1"/>
      <c r="Q57" s="1"/>
      <c r="R57" s="1"/>
      <c r="S57" s="1"/>
      <c r="T57" s="1"/>
      <c r="U57" s="1"/>
      <c r="V57" s="1"/>
      <c r="W57" s="1"/>
      <c r="X57" s="1"/>
      <c r="Y57" s="1"/>
      <c r="Z57" s="1"/>
    </row>
    <row r="58" spans="1:26" ht="19.5" customHeight="1">
      <c r="A58" s="39" t="s">
        <v>507</v>
      </c>
      <c r="B58" s="12" t="s">
        <v>508</v>
      </c>
      <c r="C58" s="56">
        <f t="array" ref="C58">H58+I58</f>
        <v>2616</v>
      </c>
      <c r="D58" s="57">
        <f t="array" ref="D58">D170</f>
        <v>691</v>
      </c>
      <c r="E58" s="57">
        <f t="array" ref="E58">E170</f>
        <v>1291</v>
      </c>
      <c r="F58" s="57">
        <f t="array" ref="F58">F170</f>
        <v>227</v>
      </c>
      <c r="G58" s="57">
        <f t="array" ref="G58">G170</f>
        <v>407</v>
      </c>
      <c r="H58" s="56">
        <f t="array" ref="H58">E58+D58</f>
        <v>1982</v>
      </c>
      <c r="I58" s="56">
        <f t="array" ref="I58">G58+F58</f>
        <v>634</v>
      </c>
      <c r="J58" s="56">
        <f t="array" ref="J58">D58+F58</f>
        <v>918</v>
      </c>
      <c r="K58" s="56">
        <f t="array" ref="K58">E58+G58</f>
        <v>1698</v>
      </c>
      <c r="L58" s="58"/>
      <c r="M58" s="1"/>
      <c r="N58" s="1"/>
      <c r="O58" s="1"/>
      <c r="P58" s="1"/>
      <c r="Q58" s="1"/>
      <c r="R58" s="1"/>
      <c r="S58" s="1"/>
      <c r="T58" s="1"/>
      <c r="U58" s="1"/>
      <c r="V58" s="1"/>
      <c r="W58" s="1"/>
      <c r="X58" s="1"/>
      <c r="Y58" s="1"/>
      <c r="Z58" s="1"/>
    </row>
    <row r="59" spans="1:26" ht="19.5" customHeight="1">
      <c r="A59" s="39" t="s">
        <v>509</v>
      </c>
      <c r="B59" s="12" t="s">
        <v>510</v>
      </c>
      <c r="C59" s="56">
        <f t="array" ref="C59">H59+I59</f>
        <v>2877</v>
      </c>
      <c r="D59" s="57">
        <f t="array" ref="D59">D171</f>
        <v>750</v>
      </c>
      <c r="E59" s="57">
        <f t="array" ref="E59">E171</f>
        <v>1431</v>
      </c>
      <c r="F59" s="57">
        <f t="array" ref="F59">F171</f>
        <v>246</v>
      </c>
      <c r="G59" s="57">
        <f t="array" ref="G59">G171</f>
        <v>450</v>
      </c>
      <c r="H59" s="56">
        <f t="array" ref="H59">E59+D59</f>
        <v>2181</v>
      </c>
      <c r="I59" s="56">
        <f t="array" ref="I59">G59+F59</f>
        <v>696</v>
      </c>
      <c r="J59" s="56">
        <f t="array" ref="J59">D59+F59</f>
        <v>996</v>
      </c>
      <c r="K59" s="56">
        <f t="array" ref="K59">E59+G59</f>
        <v>1881</v>
      </c>
      <c r="L59" s="58"/>
      <c r="M59" s="1"/>
      <c r="N59" s="1"/>
      <c r="O59" s="1"/>
      <c r="P59" s="1"/>
      <c r="Q59" s="1"/>
      <c r="R59" s="1"/>
      <c r="S59" s="1"/>
      <c r="T59" s="1"/>
      <c r="U59" s="1"/>
      <c r="V59" s="1"/>
      <c r="W59" s="1"/>
      <c r="X59" s="1"/>
      <c r="Y59" s="1"/>
      <c r="Z59" s="1"/>
    </row>
    <row r="60" spans="1:26" ht="19.5" customHeight="1">
      <c r="A60" s="39" t="s">
        <v>511</v>
      </c>
      <c r="B60" s="12" t="s">
        <v>512</v>
      </c>
      <c r="C60" s="56">
        <f t="array" ref="C60">H60+I60</f>
        <v>3104</v>
      </c>
      <c r="D60" s="57">
        <f t="array" ref="D60">D172</f>
        <v>786</v>
      </c>
      <c r="E60" s="57">
        <f t="array" ref="E60">E172</f>
        <v>1566</v>
      </c>
      <c r="F60" s="57">
        <f t="array" ref="F60">F172</f>
        <v>258</v>
      </c>
      <c r="G60" s="57">
        <f t="array" ref="G60">G172</f>
        <v>494</v>
      </c>
      <c r="H60" s="56">
        <f t="array" ref="H60">E60+D60</f>
        <v>2352</v>
      </c>
      <c r="I60" s="56">
        <f t="array" ref="I60">G60+F60</f>
        <v>752</v>
      </c>
      <c r="J60" s="56">
        <f t="array" ref="J60">D60+F60</f>
        <v>1044</v>
      </c>
      <c r="K60" s="56">
        <f t="array" ref="K60">E60+G60</f>
        <v>2060</v>
      </c>
      <c r="L60" s="58"/>
      <c r="M60" s="1"/>
      <c r="N60" s="1"/>
      <c r="O60" s="1"/>
      <c r="P60" s="1"/>
      <c r="Q60" s="1"/>
      <c r="R60" s="1"/>
      <c r="S60" s="1"/>
      <c r="T60" s="1"/>
      <c r="U60" s="1"/>
      <c r="V60" s="1"/>
      <c r="W60" s="1"/>
      <c r="X60" s="1"/>
      <c r="Y60" s="1"/>
      <c r="Z60" s="1"/>
    </row>
    <row r="61" spans="1:26" ht="19.5" customHeight="1">
      <c r="A61" s="39" t="s">
        <v>513</v>
      </c>
      <c r="B61" s="12" t="s">
        <v>514</v>
      </c>
      <c r="C61" s="56">
        <f t="array" ref="C61">H61+I61</f>
        <v>3255</v>
      </c>
      <c r="D61" s="57">
        <f t="array" ref="D61">D173</f>
        <v>823</v>
      </c>
      <c r="E61" s="57">
        <f t="array" ref="E61">E173</f>
        <v>1644</v>
      </c>
      <c r="F61" s="57">
        <f t="array" ref="F61">F173</f>
        <v>270</v>
      </c>
      <c r="G61" s="57">
        <f t="array" ref="G61">G173</f>
        <v>518</v>
      </c>
      <c r="H61" s="56">
        <f t="array" ref="H61">E61+D61</f>
        <v>2467</v>
      </c>
      <c r="I61" s="56">
        <f t="array" ref="I61">G61+F61</f>
        <v>788</v>
      </c>
      <c r="J61" s="56">
        <f t="array" ref="J61">D61+F61</f>
        <v>1093</v>
      </c>
      <c r="K61" s="56">
        <f t="array" ref="K61">E61+G61</f>
        <v>2162</v>
      </c>
      <c r="L61" s="58"/>
      <c r="M61" s="1"/>
      <c r="N61" s="1"/>
      <c r="O61" s="1"/>
      <c r="P61" s="1"/>
      <c r="Q61" s="1"/>
      <c r="R61" s="1"/>
      <c r="S61" s="1"/>
      <c r="T61" s="1"/>
      <c r="U61" s="1"/>
      <c r="V61" s="1"/>
      <c r="W61" s="1"/>
      <c r="X61" s="1"/>
      <c r="Y61" s="1"/>
      <c r="Z61" s="1"/>
    </row>
    <row r="62" spans="1:26" ht="19.5" customHeight="1">
      <c r="A62" s="39" t="s">
        <v>515</v>
      </c>
      <c r="B62" s="12" t="s">
        <v>516</v>
      </c>
      <c r="C62" s="56">
        <f t="array" ref="C62">H62+I62</f>
        <v>3554</v>
      </c>
      <c r="D62" s="57">
        <f t="array" ref="D62">D174</f>
        <v>1010</v>
      </c>
      <c r="E62" s="57">
        <f t="array" ref="E62">E174</f>
        <v>1951</v>
      </c>
      <c r="F62" s="57">
        <f t="array" ref="F62">F174</f>
        <v>188</v>
      </c>
      <c r="G62" s="57">
        <f t="array" ref="G62">G174</f>
        <v>405</v>
      </c>
      <c r="H62" s="56">
        <f t="array" ref="H62">E62+D62</f>
        <v>2961</v>
      </c>
      <c r="I62" s="56">
        <f t="array" ref="I62">G62+F62</f>
        <v>593</v>
      </c>
      <c r="J62" s="56">
        <f t="array" ref="J62">D62+F62</f>
        <v>1198</v>
      </c>
      <c r="K62" s="56">
        <f t="array" ref="K62">E62+G62</f>
        <v>2356</v>
      </c>
      <c r="L62" s="58"/>
      <c r="M62" s="1"/>
      <c r="N62" s="1"/>
      <c r="O62" s="1"/>
      <c r="P62" s="1"/>
      <c r="Q62" s="1"/>
      <c r="R62" s="1"/>
      <c r="S62" s="1"/>
      <c r="T62" s="1"/>
      <c r="U62" s="1"/>
      <c r="V62" s="1"/>
      <c r="W62" s="1"/>
      <c r="X62" s="1"/>
      <c r="Y62" s="1"/>
      <c r="Z62" s="1"/>
    </row>
    <row r="63" spans="1:26" ht="19.5" customHeight="1">
      <c r="A63" s="39" t="s">
        <v>517</v>
      </c>
      <c r="B63" s="12" t="s">
        <v>518</v>
      </c>
      <c r="C63" s="56">
        <f t="array" ref="C63">H63+I63</f>
        <v>3915</v>
      </c>
      <c r="D63" s="57">
        <f t="array" ref="D63">D175</f>
        <v>1128</v>
      </c>
      <c r="E63" s="57">
        <f t="array" ref="E63">E175</f>
        <v>2135</v>
      </c>
      <c r="F63" s="57">
        <f t="array" ref="F63">F175</f>
        <v>209</v>
      </c>
      <c r="G63" s="57">
        <f t="array" ref="G63">G175</f>
        <v>443</v>
      </c>
      <c r="H63" s="56">
        <f t="array" ref="H63">E63+D63</f>
        <v>3263</v>
      </c>
      <c r="I63" s="56">
        <f t="array" ref="I63">G63+F63</f>
        <v>652</v>
      </c>
      <c r="J63" s="56">
        <f t="array" ref="J63">D63+F63</f>
        <v>1337</v>
      </c>
      <c r="K63" s="56">
        <f t="array" ref="K63">E63+G63</f>
        <v>2578</v>
      </c>
      <c r="L63" s="58"/>
      <c r="M63" s="1"/>
      <c r="N63" s="1"/>
      <c r="O63" s="1"/>
      <c r="P63" s="1"/>
      <c r="Q63" s="1"/>
      <c r="R63" s="1"/>
      <c r="S63" s="1"/>
      <c r="T63" s="1"/>
      <c r="U63" s="1"/>
      <c r="V63" s="1"/>
      <c r="W63" s="1"/>
      <c r="X63" s="1"/>
      <c r="Y63" s="1"/>
      <c r="Z63" s="1"/>
    </row>
    <row r="64" spans="1:26" ht="19.5" customHeight="1">
      <c r="A64" s="39" t="s">
        <v>519</v>
      </c>
      <c r="B64" s="12" t="s">
        <v>520</v>
      </c>
      <c r="C64" s="56">
        <f t="array" ref="C64">H64+I64</f>
        <v>4342</v>
      </c>
      <c r="D64" s="57">
        <f t="array" ref="D64">D176</f>
        <v>1304</v>
      </c>
      <c r="E64" s="57">
        <f t="array" ref="E64">E176</f>
        <v>2315</v>
      </c>
      <c r="F64" s="57">
        <f t="array" ref="F64">F176</f>
        <v>242</v>
      </c>
      <c r="G64" s="57">
        <f t="array" ref="G64">G176</f>
        <v>481</v>
      </c>
      <c r="H64" s="56">
        <f t="array" ref="H64">E64+D64</f>
        <v>3619</v>
      </c>
      <c r="I64" s="56">
        <f t="array" ref="I64">G64+F64</f>
        <v>723</v>
      </c>
      <c r="J64" s="56">
        <f t="array" ref="J64">D64+F64</f>
        <v>1546</v>
      </c>
      <c r="K64" s="56">
        <f t="array" ref="K64">E64+G64</f>
        <v>2796</v>
      </c>
      <c r="L64" s="58"/>
      <c r="M64" s="1"/>
      <c r="N64" s="1"/>
      <c r="O64" s="1"/>
      <c r="P64" s="1"/>
      <c r="Q64" s="1"/>
      <c r="R64" s="1"/>
      <c r="S64" s="1"/>
      <c r="T64" s="1"/>
      <c r="U64" s="1"/>
      <c r="V64" s="1"/>
      <c r="W64" s="1"/>
      <c r="X64" s="1"/>
      <c r="Y64" s="1"/>
      <c r="Z64" s="1"/>
    </row>
    <row r="65" spans="1:26" ht="19.5" customHeight="1">
      <c r="A65" s="39" t="s">
        <v>521</v>
      </c>
      <c r="B65" s="12" t="s">
        <v>522</v>
      </c>
      <c r="C65" s="56">
        <f t="array" ref="C65">H65+I65</f>
        <v>4718</v>
      </c>
      <c r="D65" s="57">
        <f t="array" ref="D65">D177</f>
        <v>1387</v>
      </c>
      <c r="E65" s="57">
        <f t="array" ref="E65">E177</f>
        <v>2544</v>
      </c>
      <c r="F65" s="57">
        <f t="array" ref="F65">F177</f>
        <v>258</v>
      </c>
      <c r="G65" s="57">
        <f t="array" ref="G65">G177</f>
        <v>529</v>
      </c>
      <c r="H65" s="56">
        <f t="array" ref="H65">E65+D65</f>
        <v>3931</v>
      </c>
      <c r="I65" s="56">
        <f t="array" ref="I65">G65+F65</f>
        <v>787</v>
      </c>
      <c r="J65" s="56">
        <f t="array" ref="J65">D65+F65</f>
        <v>1645</v>
      </c>
      <c r="K65" s="56">
        <f t="array" ref="K65">E65+G65</f>
        <v>3073</v>
      </c>
      <c r="L65" s="58"/>
      <c r="M65" s="1"/>
      <c r="N65" s="1"/>
      <c r="O65" s="1"/>
      <c r="P65" s="1"/>
      <c r="Q65" s="1"/>
      <c r="R65" s="1"/>
      <c r="S65" s="1"/>
      <c r="T65" s="1"/>
      <c r="U65" s="1"/>
      <c r="V65" s="1"/>
      <c r="W65" s="1"/>
      <c r="X65" s="1"/>
      <c r="Y65" s="1"/>
      <c r="Z65" s="1"/>
    </row>
    <row r="66" spans="1:26" ht="19.5" customHeight="1">
      <c r="A66" s="39" t="s">
        <v>523</v>
      </c>
      <c r="B66" s="12" t="s">
        <v>524</v>
      </c>
      <c r="C66" s="56">
        <f t="array" ref="C66">H66+I66</f>
        <v>4981</v>
      </c>
      <c r="D66" s="57">
        <f t="array" ref="D66">D178</f>
        <v>1506</v>
      </c>
      <c r="E66" s="57">
        <f t="array" ref="E66">E178</f>
        <v>2646</v>
      </c>
      <c r="F66" s="57">
        <f t="array" ref="F66">F178</f>
        <v>279</v>
      </c>
      <c r="G66" s="57">
        <f t="array" ref="G66">G178</f>
        <v>550</v>
      </c>
      <c r="H66" s="56">
        <f t="array" ref="H66">E66+D66</f>
        <v>4152</v>
      </c>
      <c r="I66" s="56">
        <f t="array" ref="I66">G66+F66</f>
        <v>829</v>
      </c>
      <c r="J66" s="56">
        <f t="array" ref="J66">D66+F66</f>
        <v>1785</v>
      </c>
      <c r="K66" s="56">
        <f t="array" ref="K66">E66+G66</f>
        <v>3196</v>
      </c>
      <c r="L66" s="58"/>
      <c r="M66" s="1"/>
      <c r="N66" s="1"/>
      <c r="O66" s="1"/>
      <c r="P66" s="1"/>
      <c r="Q66" s="1"/>
      <c r="R66" s="1"/>
      <c r="S66" s="1"/>
      <c r="T66" s="1"/>
      <c r="U66" s="1"/>
      <c r="V66" s="1"/>
      <c r="W66" s="1"/>
      <c r="X66" s="1"/>
      <c r="Y66" s="1"/>
      <c r="Z66" s="1"/>
    </row>
    <row r="67" spans="1:26" ht="19.5" customHeight="1">
      <c r="A67" s="39" t="s">
        <v>525</v>
      </c>
      <c r="B67" s="12" t="s">
        <v>526</v>
      </c>
      <c r="C67" s="56">
        <f t="array" ref="C67">H67+I67</f>
        <v>5458</v>
      </c>
      <c r="D67" s="57">
        <f t="array" ref="D67">D179</f>
        <v>1638</v>
      </c>
      <c r="E67" s="57">
        <f t="array" ref="E67">E179</f>
        <v>2911</v>
      </c>
      <c r="F67" s="57">
        <f t="array" ref="F67">F179</f>
        <v>303</v>
      </c>
      <c r="G67" s="57">
        <f t="array" ref="G67">G179</f>
        <v>606</v>
      </c>
      <c r="H67" s="56">
        <f t="array" ref="H67">E67+D67</f>
        <v>4549</v>
      </c>
      <c r="I67" s="56">
        <f t="array" ref="I67">G67+F67</f>
        <v>909</v>
      </c>
      <c r="J67" s="56">
        <f t="array" ref="J67">D67+F67</f>
        <v>1941</v>
      </c>
      <c r="K67" s="56">
        <f t="array" ref="K67">E67+G67</f>
        <v>3517</v>
      </c>
      <c r="L67" s="58"/>
      <c r="M67" s="1"/>
      <c r="N67" s="1"/>
      <c r="O67" s="1"/>
      <c r="P67" s="1"/>
      <c r="Q67" s="1"/>
      <c r="R67" s="1"/>
      <c r="S67" s="1"/>
      <c r="T67" s="1"/>
      <c r="U67" s="1"/>
      <c r="V67" s="1"/>
      <c r="W67" s="1"/>
      <c r="X67" s="1"/>
      <c r="Y67" s="1"/>
      <c r="Z67" s="1"/>
    </row>
    <row r="68" spans="1:26" ht="19.5" customHeight="1">
      <c r="A68" s="39" t="s">
        <v>527</v>
      </c>
      <c r="B68" s="12" t="s">
        <v>528</v>
      </c>
      <c r="C68" s="56">
        <f t="array" ref="C68">H68+I68</f>
        <v>5723</v>
      </c>
      <c r="D68" s="57">
        <f t="array" ref="D68">D180</f>
        <v>1713</v>
      </c>
      <c r="E68" s="57">
        <f t="array" ref="E68">E180</f>
        <v>3055</v>
      </c>
      <c r="F68" s="57">
        <f t="array" ref="F68">F180</f>
        <v>316</v>
      </c>
      <c r="G68" s="57">
        <f t="array" ref="G68">G180</f>
        <v>639</v>
      </c>
      <c r="H68" s="56">
        <f t="array" ref="H68">E68+D68</f>
        <v>4768</v>
      </c>
      <c r="I68" s="56">
        <f t="array" ref="I68">G68+F68</f>
        <v>955</v>
      </c>
      <c r="J68" s="56">
        <f t="array" ref="J68">D68+F68</f>
        <v>2029</v>
      </c>
      <c r="K68" s="56">
        <f t="array" ref="K68">E68+G68</f>
        <v>3694</v>
      </c>
      <c r="L68" s="58"/>
      <c r="M68" s="1"/>
      <c r="N68" s="1"/>
      <c r="O68" s="1"/>
      <c r="P68" s="1"/>
      <c r="Q68" s="1"/>
      <c r="R68" s="1"/>
      <c r="S68" s="1"/>
      <c r="T68" s="1"/>
      <c r="U68" s="1"/>
      <c r="V68" s="1"/>
      <c r="W68" s="1"/>
      <c r="X68" s="1"/>
      <c r="Y68" s="1"/>
      <c r="Z68" s="1"/>
    </row>
    <row r="69" spans="1:26" ht="19.5" customHeight="1">
      <c r="A69" s="39" t="s">
        <v>529</v>
      </c>
      <c r="B69" s="12" t="s">
        <v>530</v>
      </c>
      <c r="C69" s="56">
        <f t="array" ref="C69">H69+I69</f>
        <v>6101</v>
      </c>
      <c r="D69" s="57">
        <f t="array" ref="D69">D181</f>
        <v>1902</v>
      </c>
      <c r="E69" s="57">
        <f t="array" ref="E69">E181</f>
        <v>3183</v>
      </c>
      <c r="F69" s="57">
        <f t="array" ref="F69">F181</f>
        <v>351</v>
      </c>
      <c r="G69" s="57">
        <f t="array" ref="G69">G181</f>
        <v>665</v>
      </c>
      <c r="H69" s="56">
        <f t="array" ref="H69">E69+D69</f>
        <v>5085</v>
      </c>
      <c r="I69" s="56">
        <f t="array" ref="I69">G69+F69</f>
        <v>1016</v>
      </c>
      <c r="J69" s="56">
        <f t="array" ref="J69">D69+F69</f>
        <v>2253</v>
      </c>
      <c r="K69" s="56">
        <f t="array" ref="K69">E69+G69</f>
        <v>3848</v>
      </c>
      <c r="L69" s="58"/>
      <c r="M69" s="1"/>
      <c r="N69" s="1"/>
      <c r="O69" s="1"/>
      <c r="P69" s="1"/>
      <c r="Q69" s="1"/>
      <c r="R69" s="1"/>
      <c r="S69" s="1"/>
      <c r="T69" s="1"/>
      <c r="U69" s="1"/>
      <c r="V69" s="1"/>
      <c r="W69" s="1"/>
      <c r="X69" s="1"/>
      <c r="Y69" s="1"/>
      <c r="Z69" s="1"/>
    </row>
    <row r="70" spans="1:26" ht="19.5" customHeight="1">
      <c r="A70" s="39" t="s">
        <v>531</v>
      </c>
      <c r="B70" s="12" t="s">
        <v>532</v>
      </c>
      <c r="C70" s="56">
        <f t="array" ref="C70">H70+I70</f>
        <v>6776</v>
      </c>
      <c r="D70" s="57">
        <f t="array" ref="D70">D182</f>
        <v>2021</v>
      </c>
      <c r="E70" s="57">
        <f t="array" ref="E70">E182</f>
        <v>3624</v>
      </c>
      <c r="F70" s="57">
        <f t="array" ref="F70">F182</f>
        <v>373</v>
      </c>
      <c r="G70" s="57">
        <f t="array" ref="G70">G182</f>
        <v>758</v>
      </c>
      <c r="H70" s="56">
        <f t="array" ref="H70">E70+D70</f>
        <v>5645</v>
      </c>
      <c r="I70" s="56">
        <f t="array" ref="I70">G70+F70</f>
        <v>1131</v>
      </c>
      <c r="J70" s="56">
        <f t="array" ref="J70">D70+F70</f>
        <v>2394</v>
      </c>
      <c r="K70" s="56">
        <f t="array" ref="K70">E70+G70</f>
        <v>4382</v>
      </c>
      <c r="L70" s="58"/>
      <c r="M70" s="1"/>
      <c r="N70" s="1"/>
      <c r="O70" s="1"/>
      <c r="P70" s="1"/>
      <c r="Q70" s="1"/>
      <c r="R70" s="1"/>
      <c r="S70" s="1"/>
      <c r="T70" s="1"/>
      <c r="U70" s="1"/>
      <c r="V70" s="1"/>
      <c r="W70" s="1"/>
      <c r="X70" s="1"/>
      <c r="Y70" s="1"/>
      <c r="Z70" s="1"/>
    </row>
    <row r="71" spans="1:26" ht="19.5" customHeight="1">
      <c r="A71" s="39" t="s">
        <v>533</v>
      </c>
      <c r="B71" s="12" t="s">
        <v>534</v>
      </c>
      <c r="C71" s="56">
        <f t="array" ref="C71">H71+I71</f>
        <v>7204</v>
      </c>
      <c r="D71" s="57">
        <f t="array" ref="D71">D183</f>
        <v>2198</v>
      </c>
      <c r="E71" s="57">
        <f t="array" ref="E71">E183</f>
        <v>3804</v>
      </c>
      <c r="F71" s="57">
        <f t="array" ref="F71">F183</f>
        <v>404</v>
      </c>
      <c r="G71" s="57">
        <f t="array" ref="G71">G183</f>
        <v>798</v>
      </c>
      <c r="H71" s="56">
        <f t="array" ref="H71">E71+D71</f>
        <v>6002</v>
      </c>
      <c r="I71" s="56">
        <f t="array" ref="I71">G71+F71</f>
        <v>1202</v>
      </c>
      <c r="J71" s="56">
        <f t="array" ref="J71">D71+F71</f>
        <v>2602</v>
      </c>
      <c r="K71" s="56">
        <f t="array" ref="K71">E71+G71</f>
        <v>4602</v>
      </c>
      <c r="L71" s="58"/>
      <c r="M71" s="1"/>
      <c r="N71" s="1"/>
      <c r="O71" s="1"/>
      <c r="P71" s="1"/>
      <c r="Q71" s="1"/>
      <c r="R71" s="1"/>
      <c r="S71" s="1"/>
      <c r="T71" s="1"/>
      <c r="U71" s="1"/>
      <c r="V71" s="1"/>
      <c r="W71" s="1"/>
      <c r="X71" s="1"/>
      <c r="Y71" s="1"/>
      <c r="Z71" s="1"/>
    </row>
    <row r="72" spans="1:26" ht="19.5" customHeight="1">
      <c r="A72" s="39" t="s">
        <v>535</v>
      </c>
      <c r="B72" s="12" t="s">
        <v>536</v>
      </c>
      <c r="C72" s="56">
        <f t="array" ref="C72">H72+I72</f>
        <v>7612</v>
      </c>
      <c r="D72" s="57">
        <f t="array" ref="D72">D184</f>
        <v>2237</v>
      </c>
      <c r="E72" s="57">
        <f t="array" ref="E72">E184</f>
        <v>4102</v>
      </c>
      <c r="F72" s="57">
        <f t="array" ref="F72">F184</f>
        <v>411</v>
      </c>
      <c r="G72" s="57">
        <f t="array" ref="G72">G184</f>
        <v>862</v>
      </c>
      <c r="H72" s="56">
        <f t="array" ref="H72">E72+D72</f>
        <v>6339</v>
      </c>
      <c r="I72" s="56">
        <f t="array" ref="I72">G72+F72</f>
        <v>1273</v>
      </c>
      <c r="J72" s="56">
        <f t="array" ref="J72">D72+F72</f>
        <v>2648</v>
      </c>
      <c r="K72" s="56">
        <f t="array" ref="K72">E72+G72</f>
        <v>4964</v>
      </c>
      <c r="L72" s="58"/>
      <c r="M72" s="1"/>
      <c r="N72" s="1"/>
      <c r="O72" s="1"/>
      <c r="P72" s="1"/>
      <c r="Q72" s="1"/>
      <c r="R72" s="1"/>
      <c r="S72" s="1"/>
      <c r="T72" s="1"/>
      <c r="U72" s="1"/>
      <c r="V72" s="1"/>
      <c r="W72" s="1"/>
      <c r="X72" s="1"/>
      <c r="Y72" s="1"/>
      <c r="Z72" s="1"/>
    </row>
    <row r="73" spans="1:26" ht="19.5" customHeight="1">
      <c r="A73" s="39" t="s">
        <v>537</v>
      </c>
      <c r="B73" s="12" t="s">
        <v>538</v>
      </c>
      <c r="C73" s="56">
        <f t="array" ref="C73">H73+I73</f>
        <v>7963</v>
      </c>
      <c r="D73" s="57">
        <f t="array" ref="D73">D185</f>
        <v>2413</v>
      </c>
      <c r="E73" s="57">
        <f t="array" ref="E73">E185</f>
        <v>4218</v>
      </c>
      <c r="F73" s="57">
        <f t="array" ref="F73">F185</f>
        <v>441</v>
      </c>
      <c r="G73" s="57">
        <f t="array" ref="G73">G185</f>
        <v>891</v>
      </c>
      <c r="H73" s="56">
        <f t="array" ref="H73">E73+D73</f>
        <v>6631</v>
      </c>
      <c r="I73" s="56">
        <f t="array" ref="I73">G73+F73</f>
        <v>1332</v>
      </c>
      <c r="J73" s="56">
        <f t="array" ref="J73">D73+F73</f>
        <v>2854</v>
      </c>
      <c r="K73" s="56">
        <f t="array" ref="K73">E73+G73</f>
        <v>5109</v>
      </c>
      <c r="L73" s="58"/>
      <c r="M73" s="1"/>
      <c r="N73" s="1"/>
      <c r="O73" s="1"/>
      <c r="P73" s="1"/>
      <c r="Q73" s="1"/>
      <c r="R73" s="1"/>
      <c r="S73" s="1"/>
      <c r="T73" s="1"/>
      <c r="U73" s="1"/>
      <c r="V73" s="1"/>
      <c r="W73" s="1"/>
      <c r="X73" s="1"/>
      <c r="Y73" s="1"/>
      <c r="Z73" s="1"/>
    </row>
    <row r="74" spans="1:26" ht="19.5" customHeight="1">
      <c r="A74" s="39" t="s">
        <v>539</v>
      </c>
      <c r="B74" s="12" t="s">
        <v>540</v>
      </c>
      <c r="C74" s="56">
        <f t="array" ref="C74">H74+I74</f>
        <v>8524</v>
      </c>
      <c r="D74" s="57">
        <f t="array" ref="D74">D186</f>
        <v>2456</v>
      </c>
      <c r="E74" s="57">
        <f t="array" ref="E74">E186</f>
        <v>4638</v>
      </c>
      <c r="F74" s="57">
        <f t="array" ref="F74">F186</f>
        <v>448</v>
      </c>
      <c r="G74" s="57">
        <f t="array" ref="G74">G186</f>
        <v>982</v>
      </c>
      <c r="H74" s="56">
        <f t="array" ref="H74">E74+D74</f>
        <v>7094</v>
      </c>
      <c r="I74" s="56">
        <f t="array" ref="I74">G74+F74</f>
        <v>1430</v>
      </c>
      <c r="J74" s="56">
        <f t="array" ref="J74">D74+F74</f>
        <v>2904</v>
      </c>
      <c r="K74" s="56">
        <f t="array" ref="K74">E74+G74</f>
        <v>5620</v>
      </c>
      <c r="L74" s="58"/>
      <c r="M74" s="1"/>
      <c r="N74" s="1"/>
      <c r="O74" s="1"/>
      <c r="P74" s="1"/>
      <c r="Q74" s="1"/>
      <c r="R74" s="1"/>
      <c r="S74" s="1"/>
      <c r="T74" s="1"/>
      <c r="U74" s="1"/>
      <c r="V74" s="1"/>
      <c r="W74" s="1"/>
      <c r="X74" s="1"/>
      <c r="Y74" s="1"/>
      <c r="Z74" s="1"/>
    </row>
    <row r="75" spans="1:26" ht="19.5" customHeight="1">
      <c r="A75" s="39" t="s">
        <v>541</v>
      </c>
      <c r="B75" s="12" t="s">
        <v>542</v>
      </c>
      <c r="C75" s="56">
        <f t="array" ref="C75">H75+I75</f>
        <v>9094</v>
      </c>
      <c r="D75" s="57">
        <f t="array" ref="D75">D187</f>
        <v>2811</v>
      </c>
      <c r="E75" s="57">
        <f t="array" ref="E75">E187</f>
        <v>4760</v>
      </c>
      <c r="F75" s="57">
        <f t="array" ref="F75">F187</f>
        <v>511</v>
      </c>
      <c r="G75" s="57">
        <f t="array" ref="G75">G187</f>
        <v>1012</v>
      </c>
      <c r="H75" s="56">
        <f t="array" ref="H75">E75+D75</f>
        <v>7571</v>
      </c>
      <c r="I75" s="56">
        <f t="array" ref="I75">G75+F75</f>
        <v>1523</v>
      </c>
      <c r="J75" s="56">
        <f t="array" ref="J75">D75+F75</f>
        <v>3322</v>
      </c>
      <c r="K75" s="56">
        <f t="array" ref="K75">E75+G75</f>
        <v>5772</v>
      </c>
      <c r="L75" s="58"/>
      <c r="M75" s="1"/>
      <c r="N75" s="1"/>
      <c r="O75" s="1"/>
      <c r="P75" s="1"/>
      <c r="Q75" s="1"/>
      <c r="R75" s="1"/>
      <c r="S75" s="1"/>
      <c r="T75" s="1"/>
      <c r="U75" s="1"/>
      <c r="V75" s="1"/>
      <c r="W75" s="1"/>
      <c r="X75" s="1"/>
      <c r="Y75" s="1"/>
      <c r="Z75" s="1"/>
    </row>
    <row r="76" spans="1:26" ht="19.5" customHeight="1">
      <c r="A76" s="39" t="s">
        <v>543</v>
      </c>
      <c r="B76" s="12" t="s">
        <v>544</v>
      </c>
      <c r="C76" s="56">
        <f t="array" ref="C76">H76+I76</f>
        <v>9644</v>
      </c>
      <c r="D76" s="57">
        <f t="array" ref="D76">D188</f>
        <v>2987</v>
      </c>
      <c r="E76" s="57">
        <f t="array" ref="E76">E188</f>
        <v>5041</v>
      </c>
      <c r="F76" s="57">
        <f t="array" ref="F76">F188</f>
        <v>542</v>
      </c>
      <c r="G76" s="57">
        <f t="array" ref="G76">G188</f>
        <v>1074</v>
      </c>
      <c r="H76" s="56">
        <f t="array" ref="H76">E76+D76</f>
        <v>8028</v>
      </c>
      <c r="I76" s="56">
        <f t="array" ref="I76">G76+F76</f>
        <v>1616</v>
      </c>
      <c r="J76" s="56">
        <f t="array" ref="J76">D76+F76</f>
        <v>3529</v>
      </c>
      <c r="K76" s="56">
        <f t="array" ref="K76">E76+G76</f>
        <v>6115</v>
      </c>
      <c r="L76" s="58"/>
      <c r="M76" s="1"/>
      <c r="N76" s="1"/>
      <c r="O76" s="1"/>
      <c r="P76" s="1"/>
      <c r="Q76" s="1"/>
      <c r="R76" s="1"/>
      <c r="S76" s="1"/>
      <c r="T76" s="1"/>
      <c r="U76" s="1"/>
      <c r="V76" s="1"/>
      <c r="W76" s="1"/>
      <c r="X76" s="1"/>
      <c r="Y76" s="1"/>
      <c r="Z76" s="1"/>
    </row>
    <row r="77" spans="1:26" ht="19.5" customHeight="1">
      <c r="A77" s="39" t="s">
        <v>545</v>
      </c>
      <c r="B77" s="12" t="s">
        <v>546</v>
      </c>
      <c r="C77" s="56">
        <f t="array" ref="C77">H77+I77</f>
        <v>10023</v>
      </c>
      <c r="D77" s="57">
        <f t="array" ref="D77">D189</f>
        <v>3161</v>
      </c>
      <c r="E77" s="57">
        <f t="array" ref="E77">E189</f>
        <v>5184</v>
      </c>
      <c r="F77" s="57">
        <f t="array" ref="F77">F189</f>
        <v>573</v>
      </c>
      <c r="G77" s="57">
        <f t="array" ref="G77">G189</f>
        <v>1105</v>
      </c>
      <c r="H77" s="56">
        <f t="array" ref="H77">E77+D77</f>
        <v>8345</v>
      </c>
      <c r="I77" s="56">
        <f t="array" ref="I77">G77+F77</f>
        <v>1678</v>
      </c>
      <c r="J77" s="56">
        <f t="array" ref="J77">D77+F77</f>
        <v>3734</v>
      </c>
      <c r="K77" s="56">
        <f t="array" ref="K77">E77+G77</f>
        <v>6289</v>
      </c>
      <c r="L77" s="58"/>
      <c r="M77" s="1"/>
      <c r="N77" s="1"/>
      <c r="O77" s="1"/>
      <c r="P77" s="1"/>
      <c r="Q77" s="1"/>
      <c r="R77" s="1"/>
      <c r="S77" s="1"/>
      <c r="T77" s="1"/>
      <c r="U77" s="1"/>
      <c r="V77" s="1"/>
      <c r="W77" s="1"/>
      <c r="X77" s="1"/>
      <c r="Y77" s="1"/>
      <c r="Z77" s="1"/>
    </row>
    <row r="78" spans="1:26" ht="19.5" customHeight="1">
      <c r="A78" s="39" t="s">
        <v>547</v>
      </c>
      <c r="B78" s="12" t="s">
        <v>548</v>
      </c>
      <c r="C78" s="56">
        <f t="array" ref="C78">H78+I78</f>
        <v>10759</v>
      </c>
      <c r="D78" s="57">
        <f t="array" ref="D78">D190</f>
        <v>3384</v>
      </c>
      <c r="E78" s="57">
        <f t="array" ref="E78">E190</f>
        <v>5571</v>
      </c>
      <c r="F78" s="57">
        <f t="array" ref="F78">F190</f>
        <v>612</v>
      </c>
      <c r="G78" s="57">
        <f t="array" ref="G78">G190</f>
        <v>1192</v>
      </c>
      <c r="H78" s="56">
        <f t="array" ref="H78">E78+D78</f>
        <v>8955</v>
      </c>
      <c r="I78" s="56">
        <f t="array" ref="I78">G78+F78</f>
        <v>1804</v>
      </c>
      <c r="J78" s="56">
        <f t="array" ref="J78">D78+F78</f>
        <v>3996</v>
      </c>
      <c r="K78" s="56">
        <f t="array" ref="K78">E78+G78</f>
        <v>6763</v>
      </c>
      <c r="L78" s="58"/>
      <c r="M78" s="1"/>
      <c r="N78" s="1"/>
      <c r="O78" s="1"/>
      <c r="P78" s="1"/>
      <c r="Q78" s="1"/>
      <c r="R78" s="1"/>
      <c r="S78" s="1"/>
      <c r="T78" s="1"/>
      <c r="U78" s="1"/>
      <c r="V78" s="1"/>
      <c r="W78" s="1"/>
      <c r="X78" s="1"/>
      <c r="Y78" s="1"/>
      <c r="Z78" s="1"/>
    </row>
    <row r="79" spans="1:26" ht="19.5" customHeight="1">
      <c r="A79" s="39" t="s">
        <v>549</v>
      </c>
      <c r="B79" s="12" t="s">
        <v>550</v>
      </c>
      <c r="C79" s="56">
        <f t="array" ref="C79">H79+I79</f>
        <v>11434</v>
      </c>
      <c r="D79" s="57">
        <f t="array" ref="D79">D191</f>
        <v>3702</v>
      </c>
      <c r="E79" s="57">
        <f t="array" ref="E79">E191</f>
        <v>5816</v>
      </c>
      <c r="F79" s="57">
        <f t="array" ref="F79">F191</f>
        <v>668</v>
      </c>
      <c r="G79" s="57">
        <f t="array" ref="G79">G191</f>
        <v>1248</v>
      </c>
      <c r="H79" s="56">
        <f t="array" ref="H79">E79+D79</f>
        <v>9518</v>
      </c>
      <c r="I79" s="56">
        <f t="array" ref="I79">G79+F79</f>
        <v>1916</v>
      </c>
      <c r="J79" s="56">
        <f t="array" ref="J79">D79+F79</f>
        <v>4370</v>
      </c>
      <c r="K79" s="56">
        <f t="array" ref="K79">E79+G79</f>
        <v>7064</v>
      </c>
      <c r="L79" s="58"/>
      <c r="M79" s="1"/>
      <c r="N79" s="1"/>
      <c r="O79" s="1"/>
      <c r="P79" s="1"/>
      <c r="Q79" s="1"/>
      <c r="R79" s="1"/>
      <c r="S79" s="1"/>
      <c r="T79" s="1"/>
      <c r="U79" s="1"/>
      <c r="V79" s="1"/>
      <c r="W79" s="1"/>
      <c r="X79" s="1"/>
      <c r="Y79" s="1"/>
      <c r="Z79" s="1"/>
    </row>
    <row r="80" spans="1:26" ht="19.5" customHeight="1">
      <c r="A80" s="39" t="s">
        <v>551</v>
      </c>
      <c r="B80" s="12" t="s">
        <v>552</v>
      </c>
      <c r="C80" s="56">
        <f t="array" ref="C80">H80+I80</f>
        <v>12362</v>
      </c>
      <c r="D80" s="57">
        <f t="array" ref="D80">D192</f>
        <v>3964</v>
      </c>
      <c r="E80" s="57">
        <f t="array" ref="E80">E192</f>
        <v>6325</v>
      </c>
      <c r="F80" s="57">
        <f t="array" ref="F80">F192</f>
        <v>714</v>
      </c>
      <c r="G80" s="57">
        <f t="array" ref="G80">G192</f>
        <v>1359</v>
      </c>
      <c r="H80" s="56">
        <f t="array" ref="H80">E80+D80</f>
        <v>10289</v>
      </c>
      <c r="I80" s="56">
        <f t="array" ref="I80">G80+F80</f>
        <v>2073</v>
      </c>
      <c r="J80" s="56">
        <f t="array" ref="J80">D80+F80</f>
        <v>4678</v>
      </c>
      <c r="K80" s="56">
        <f t="array" ref="K80">E80+G80</f>
        <v>7684</v>
      </c>
      <c r="L80" s="58"/>
      <c r="M80" s="1"/>
      <c r="N80" s="1"/>
      <c r="O80" s="1"/>
      <c r="P80" s="1"/>
      <c r="Q80" s="1"/>
      <c r="R80" s="1"/>
      <c r="S80" s="1"/>
      <c r="T80" s="1"/>
      <c r="U80" s="1"/>
      <c r="V80" s="1"/>
      <c r="W80" s="1"/>
      <c r="X80" s="1"/>
      <c r="Y80" s="1"/>
      <c r="Z80" s="1"/>
    </row>
    <row r="81" spans="1:26" ht="19.5" customHeight="1">
      <c r="A81" s="39" t="s">
        <v>553</v>
      </c>
      <c r="B81" s="12" t="s">
        <v>554</v>
      </c>
      <c r="C81" s="56">
        <f t="array" ref="C81">H81+I81</f>
        <v>13483</v>
      </c>
      <c r="D81" s="57">
        <f t="array" ref="D81">D193</f>
        <v>4376</v>
      </c>
      <c r="E81" s="57">
        <f t="array" ref="E81">E193</f>
        <v>6847</v>
      </c>
      <c r="F81" s="57">
        <f t="array" ref="F81">F193</f>
        <v>789</v>
      </c>
      <c r="G81" s="57">
        <f t="array" ref="G81">G193</f>
        <v>1471</v>
      </c>
      <c r="H81" s="56">
        <f t="array" ref="H81">E81+D81</f>
        <v>11223</v>
      </c>
      <c r="I81" s="56">
        <f t="array" ref="I81">G81+F81</f>
        <v>2260</v>
      </c>
      <c r="J81" s="56">
        <f t="array" ref="J81">D81+F81</f>
        <v>5165</v>
      </c>
      <c r="K81" s="56">
        <f t="array" ref="K81">E81+G81</f>
        <v>8318</v>
      </c>
      <c r="L81" s="58"/>
      <c r="M81" s="1"/>
      <c r="N81" s="1"/>
      <c r="O81" s="1"/>
      <c r="P81" s="1"/>
      <c r="Q81" s="1"/>
      <c r="R81" s="1"/>
      <c r="S81" s="1"/>
      <c r="T81" s="1"/>
      <c r="U81" s="1"/>
      <c r="V81" s="1"/>
      <c r="W81" s="1"/>
      <c r="X81" s="1"/>
      <c r="Y81" s="1"/>
      <c r="Z81" s="1"/>
    </row>
    <row r="82" spans="1:26" ht="19.5" customHeight="1">
      <c r="A82" s="39" t="s">
        <v>555</v>
      </c>
      <c r="B82" s="12" t="s">
        <v>556</v>
      </c>
      <c r="C82" s="56">
        <f t="array" ref="C82">H82+I82</f>
        <v>13992</v>
      </c>
      <c r="D82" s="57">
        <f t="array" ref="D82">D194</f>
        <v>4626</v>
      </c>
      <c r="E82" s="57">
        <f t="array" ref="E82">E194</f>
        <v>7019</v>
      </c>
      <c r="F82" s="57">
        <f t="array" ref="F82">F194</f>
        <v>830</v>
      </c>
      <c r="G82" s="57">
        <f t="array" ref="G82">G194</f>
        <v>1517</v>
      </c>
      <c r="H82" s="56">
        <f t="array" ref="H82">E82+D82</f>
        <v>11645</v>
      </c>
      <c r="I82" s="56">
        <f t="array" ref="I82">G82+F82</f>
        <v>2347</v>
      </c>
      <c r="J82" s="56">
        <f t="array" ref="J82">D82+F82</f>
        <v>5456</v>
      </c>
      <c r="K82" s="56">
        <f t="array" ref="K82">E82+G82</f>
        <v>8536</v>
      </c>
      <c r="L82" s="58"/>
      <c r="M82" s="1"/>
      <c r="N82" s="1"/>
      <c r="O82" s="1"/>
      <c r="P82" s="1"/>
      <c r="Q82" s="1"/>
      <c r="R82" s="1"/>
      <c r="S82" s="1"/>
      <c r="T82" s="1"/>
      <c r="U82" s="1"/>
      <c r="V82" s="1"/>
      <c r="W82" s="1"/>
      <c r="X82" s="1"/>
      <c r="Y82" s="1"/>
      <c r="Z82" s="1"/>
    </row>
    <row r="83" spans="1:26" ht="19.5" customHeight="1">
      <c r="A83" s="39" t="s">
        <v>557</v>
      </c>
      <c r="B83" s="12" t="s">
        <v>558</v>
      </c>
      <c r="C83" s="56">
        <f t="array" ref="C83">H83+I83</f>
        <v>15055</v>
      </c>
      <c r="D83" s="57">
        <f t="array" ref="D83">D195</f>
        <v>4970</v>
      </c>
      <c r="E83" s="57">
        <f t="array" ref="E83">E195</f>
        <v>7561</v>
      </c>
      <c r="F83" s="57">
        <f t="array" ref="F83">F195</f>
        <v>893</v>
      </c>
      <c r="G83" s="57">
        <f t="array" ref="G83">G195</f>
        <v>1631</v>
      </c>
      <c r="H83" s="56">
        <f t="array" ref="H83">E83+D83</f>
        <v>12531</v>
      </c>
      <c r="I83" s="56">
        <f t="array" ref="I83">G83+F83</f>
        <v>2524</v>
      </c>
      <c r="J83" s="56">
        <f t="array" ref="J83">D83+F83</f>
        <v>5863</v>
      </c>
      <c r="K83" s="56">
        <f t="array" ref="K83">E83+G83</f>
        <v>9192</v>
      </c>
      <c r="L83" s="58"/>
      <c r="M83" s="1"/>
      <c r="N83" s="1"/>
      <c r="O83" s="1"/>
      <c r="P83" s="1"/>
      <c r="Q83" s="1"/>
      <c r="R83" s="1"/>
      <c r="S83" s="1"/>
      <c r="T83" s="1"/>
      <c r="U83" s="1"/>
      <c r="V83" s="1"/>
      <c r="W83" s="1"/>
      <c r="X83" s="1"/>
      <c r="Y83" s="1"/>
      <c r="Z83" s="1"/>
    </row>
    <row r="84" spans="1:26" ht="19.5" customHeight="1">
      <c r="A84" s="39" t="s">
        <v>559</v>
      </c>
      <c r="B84" s="12" t="s">
        <v>560</v>
      </c>
      <c r="C84" s="56">
        <f t="array" ref="C84">H84+I84</f>
        <v>15821</v>
      </c>
      <c r="D84" s="57">
        <f t="array" ref="D84">D196</f>
        <v>5334</v>
      </c>
      <c r="E84" s="57">
        <f t="array" ref="E84">E196</f>
        <v>7833</v>
      </c>
      <c r="F84" s="57">
        <f t="array" ref="F84">F196</f>
        <v>954</v>
      </c>
      <c r="G84" s="57">
        <f t="array" ref="G84">G196</f>
        <v>1700</v>
      </c>
      <c r="H84" s="56">
        <f t="array" ref="H84">E84+D84</f>
        <v>13167</v>
      </c>
      <c r="I84" s="56">
        <f t="array" ref="I84">G84+F84</f>
        <v>2654</v>
      </c>
      <c r="J84" s="56">
        <f t="array" ref="J84">D84+F84</f>
        <v>6288</v>
      </c>
      <c r="K84" s="56">
        <f t="array" ref="K84">E84+G84</f>
        <v>9533</v>
      </c>
      <c r="L84" s="58"/>
      <c r="M84" s="1"/>
      <c r="N84" s="1"/>
      <c r="O84" s="1"/>
      <c r="P84" s="1"/>
      <c r="Q84" s="1"/>
      <c r="R84" s="1"/>
      <c r="S84" s="1"/>
      <c r="T84" s="1"/>
      <c r="U84" s="1"/>
      <c r="V84" s="1"/>
      <c r="W84" s="1"/>
      <c r="X84" s="1"/>
      <c r="Y84" s="1"/>
      <c r="Z84" s="1"/>
    </row>
    <row r="85" spans="1:26" ht="19.5" customHeight="1">
      <c r="A85" s="39" t="s">
        <v>561</v>
      </c>
      <c r="B85" s="12" t="s">
        <v>562</v>
      </c>
      <c r="C85" s="56">
        <f t="array" ref="C85">H85+I85</f>
        <v>14641</v>
      </c>
      <c r="D85" s="57">
        <f t="array" ref="D85">D197</f>
        <v>5220</v>
      </c>
      <c r="E85" s="57">
        <f t="array" ref="E85">E197</f>
        <v>6972</v>
      </c>
      <c r="F85" s="57">
        <f t="array" ref="F85">F197</f>
        <v>932</v>
      </c>
      <c r="G85" s="57">
        <f t="array" ref="G85">G197</f>
        <v>1517</v>
      </c>
      <c r="H85" s="56">
        <f t="array" ref="H85">E85+D85</f>
        <v>12192</v>
      </c>
      <c r="I85" s="56">
        <f t="array" ref="I85">G85+F85</f>
        <v>2449</v>
      </c>
      <c r="J85" s="56">
        <f t="array" ref="J85">D85+F85</f>
        <v>6152</v>
      </c>
      <c r="K85" s="56">
        <f t="array" ref="K85">E85+G85</f>
        <v>8489</v>
      </c>
      <c r="L85" s="58"/>
      <c r="M85" s="1"/>
      <c r="N85" s="1"/>
      <c r="O85" s="1"/>
      <c r="P85" s="1"/>
      <c r="Q85" s="1"/>
      <c r="R85" s="1"/>
      <c r="S85" s="1"/>
      <c r="T85" s="1"/>
      <c r="U85" s="1"/>
      <c r="V85" s="1"/>
      <c r="W85" s="1"/>
      <c r="X85" s="1"/>
      <c r="Y85" s="1"/>
      <c r="Z85" s="1"/>
    </row>
    <row r="86" spans="1:26" ht="19.5" customHeight="1">
      <c r="A86" s="39" t="s">
        <v>563</v>
      </c>
      <c r="B86" s="12" t="s">
        <v>564</v>
      </c>
      <c r="C86" s="56">
        <f t="array" ref="C86">H86+I86</f>
        <v>13518</v>
      </c>
      <c r="D86" s="57">
        <f t="array" ref="D86">D198</f>
        <v>4896</v>
      </c>
      <c r="E86" s="57">
        <f t="array" ref="E86">E198</f>
        <v>6359</v>
      </c>
      <c r="F86" s="57">
        <f t="array" ref="F86">F198</f>
        <v>870</v>
      </c>
      <c r="G86" s="57">
        <f t="array" ref="G86">G198</f>
        <v>1393</v>
      </c>
      <c r="H86" s="56">
        <f t="array" ref="H86">E86+D86</f>
        <v>11255</v>
      </c>
      <c r="I86" s="56">
        <f t="array" ref="I86">G86+F86</f>
        <v>2263</v>
      </c>
      <c r="J86" s="56">
        <f t="array" ref="J86">D86+F86</f>
        <v>5766</v>
      </c>
      <c r="K86" s="56">
        <f t="array" ref="K86">E86+G86</f>
        <v>7752</v>
      </c>
      <c r="L86" s="58"/>
      <c r="M86" s="1"/>
      <c r="N86" s="1"/>
      <c r="O86" s="1"/>
      <c r="P86" s="1"/>
      <c r="Q86" s="1"/>
      <c r="R86" s="1"/>
      <c r="S86" s="1"/>
      <c r="T86" s="1"/>
      <c r="U86" s="1"/>
      <c r="V86" s="1"/>
      <c r="W86" s="1"/>
      <c r="X86" s="1"/>
      <c r="Y86" s="1"/>
      <c r="Z86" s="1"/>
    </row>
    <row r="87" spans="1:26" ht="19.5" customHeight="1">
      <c r="A87" s="39" t="s">
        <v>565</v>
      </c>
      <c r="B87" s="12" t="s">
        <v>566</v>
      </c>
      <c r="C87" s="56">
        <f t="array" ref="C87">H87+I87</f>
        <v>14256</v>
      </c>
      <c r="D87" s="57">
        <f t="array" ref="D87">D199</f>
        <v>5273</v>
      </c>
      <c r="E87" s="57">
        <f t="array" ref="E87">E199</f>
        <v>6598</v>
      </c>
      <c r="F87" s="57">
        <f t="array" ref="F87">F199</f>
        <v>933</v>
      </c>
      <c r="G87" s="57">
        <f t="array" ref="G87">G199</f>
        <v>1452</v>
      </c>
      <c r="H87" s="56">
        <f t="array" ref="H87">E87+D87</f>
        <v>11871</v>
      </c>
      <c r="I87" s="56">
        <f t="array" ref="I87">G87+F87</f>
        <v>2385</v>
      </c>
      <c r="J87" s="56">
        <f t="array" ref="J87">D87+F87</f>
        <v>6206</v>
      </c>
      <c r="K87" s="56">
        <f t="array" ref="K87">E87+G87</f>
        <v>8050</v>
      </c>
      <c r="L87" s="58"/>
      <c r="M87" s="1"/>
      <c r="N87" s="1"/>
      <c r="O87" s="1"/>
      <c r="P87" s="1"/>
      <c r="Q87" s="1"/>
      <c r="R87" s="1"/>
      <c r="S87" s="1"/>
      <c r="T87" s="1"/>
      <c r="U87" s="1"/>
      <c r="V87" s="1"/>
      <c r="W87" s="1"/>
      <c r="X87" s="1"/>
      <c r="Y87" s="1"/>
      <c r="Z87" s="1"/>
    </row>
    <row r="88" spans="1:26" ht="19.5" customHeight="1">
      <c r="A88" s="39" t="s">
        <v>567</v>
      </c>
      <c r="B88" s="12" t="s">
        <v>568</v>
      </c>
      <c r="C88" s="56">
        <f t="array" ref="C88">H88+I88</f>
        <v>15042</v>
      </c>
      <c r="D88" s="57">
        <f t="array" ref="D88">D200</f>
        <v>5666</v>
      </c>
      <c r="E88" s="57">
        <f t="array" ref="E88">E200</f>
        <v>6859</v>
      </c>
      <c r="F88" s="57">
        <f t="array" ref="F88">F200</f>
        <v>1000</v>
      </c>
      <c r="G88" s="57">
        <f t="array" ref="G88">G200</f>
        <v>1517</v>
      </c>
      <c r="H88" s="56">
        <f t="array" ref="H88">E88+D88</f>
        <v>12525</v>
      </c>
      <c r="I88" s="56">
        <f t="array" ref="I88">G88+F88</f>
        <v>2517</v>
      </c>
      <c r="J88" s="56">
        <f t="array" ref="J88">D88+F88</f>
        <v>6666</v>
      </c>
      <c r="K88" s="56">
        <f t="array" ref="K88">E88+G88</f>
        <v>8376</v>
      </c>
      <c r="L88" s="58"/>
      <c r="M88" s="1"/>
      <c r="N88" s="1"/>
      <c r="O88" s="1"/>
      <c r="P88" s="1"/>
      <c r="Q88" s="1"/>
      <c r="R88" s="1"/>
      <c r="S88" s="1"/>
      <c r="T88" s="1"/>
      <c r="U88" s="1"/>
      <c r="V88" s="1"/>
      <c r="W88" s="1"/>
      <c r="X88" s="1"/>
      <c r="Y88" s="1"/>
      <c r="Z88" s="1"/>
    </row>
    <row r="89" spans="1:26" ht="19.5" customHeight="1">
      <c r="A89" s="39" t="s">
        <v>569</v>
      </c>
      <c r="B89" s="12" t="s">
        <v>570</v>
      </c>
      <c r="C89" s="56">
        <f t="array" ref="C89">H89+I89</f>
        <v>15307</v>
      </c>
      <c r="D89" s="57">
        <f t="array" ref="D89">D201</f>
        <v>6038</v>
      </c>
      <c r="E89" s="57">
        <f t="array" ref="E89">E201</f>
        <v>6713</v>
      </c>
      <c r="F89" s="57">
        <f t="array" ref="F89">F201</f>
        <v>1059</v>
      </c>
      <c r="G89" s="57">
        <f t="array" ref="G89">G201</f>
        <v>1497</v>
      </c>
      <c r="H89" s="56">
        <f t="array" ref="H89">E89+D89</f>
        <v>12751</v>
      </c>
      <c r="I89" s="56">
        <f t="array" ref="I89">G89+F89</f>
        <v>2556</v>
      </c>
      <c r="J89" s="56">
        <f t="array" ref="J89">D89+F89</f>
        <v>7097</v>
      </c>
      <c r="K89" s="56">
        <f t="array" ref="K89">E89+G89</f>
        <v>8210</v>
      </c>
      <c r="L89" s="58"/>
      <c r="M89" s="1"/>
      <c r="N89" s="1"/>
      <c r="O89" s="1"/>
      <c r="P89" s="1"/>
      <c r="Q89" s="1"/>
      <c r="R89" s="1"/>
      <c r="S89" s="1"/>
      <c r="T89" s="1"/>
      <c r="U89" s="1"/>
      <c r="V89" s="1"/>
      <c r="W89" s="1"/>
      <c r="X89" s="1"/>
      <c r="Y89" s="1"/>
      <c r="Z89" s="1"/>
    </row>
    <row r="90" spans="1:26" ht="19.5" customHeight="1">
      <c r="A90" s="39" t="s">
        <v>571</v>
      </c>
      <c r="B90" s="12" t="s">
        <v>572</v>
      </c>
      <c r="C90" s="56">
        <f t="array" ref="C90">H90+I90</f>
        <v>14885</v>
      </c>
      <c r="D90" s="57">
        <f t="array" ref="D90">D202</f>
        <v>5916</v>
      </c>
      <c r="E90" s="57">
        <f t="array" ref="E90">E202</f>
        <v>6478</v>
      </c>
      <c r="F90" s="57">
        <f t="array" ref="F90">F202</f>
        <v>1032</v>
      </c>
      <c r="G90" s="57">
        <f t="array" ref="G90">G202</f>
        <v>1459</v>
      </c>
      <c r="H90" s="56">
        <f t="array" ref="H90">E90+D90</f>
        <v>12394</v>
      </c>
      <c r="I90" s="56">
        <f t="array" ref="I90">G90+F90</f>
        <v>2491</v>
      </c>
      <c r="J90" s="56">
        <f t="array" ref="J90">D90+F90</f>
        <v>6948</v>
      </c>
      <c r="K90" s="56">
        <f t="array" ref="K90">E90+G90</f>
        <v>7937</v>
      </c>
      <c r="L90" s="58"/>
      <c r="M90" s="1"/>
      <c r="N90" s="1"/>
      <c r="O90" s="1"/>
      <c r="P90" s="1"/>
      <c r="Q90" s="1"/>
      <c r="R90" s="1"/>
      <c r="S90" s="1"/>
      <c r="T90" s="1"/>
      <c r="U90" s="1"/>
      <c r="V90" s="1"/>
      <c r="W90" s="1"/>
      <c r="X90" s="1"/>
      <c r="Y90" s="1"/>
      <c r="Z90" s="1"/>
    </row>
    <row r="91" spans="1:26" ht="19.5" customHeight="1">
      <c r="A91" s="39" t="s">
        <v>573</v>
      </c>
      <c r="B91" s="12" t="s">
        <v>574</v>
      </c>
      <c r="C91" s="56">
        <f t="array" ref="C91">H91+I91</f>
        <v>18191</v>
      </c>
      <c r="D91" s="57">
        <f t="array" ref="D91">D203</f>
        <v>7523</v>
      </c>
      <c r="E91" s="57">
        <f t="array" ref="E91">E203</f>
        <v>7629</v>
      </c>
      <c r="F91" s="57">
        <f t="array" ref="F91">F203</f>
        <v>1305</v>
      </c>
      <c r="G91" s="57">
        <f t="array" ref="G91">G203</f>
        <v>1734</v>
      </c>
      <c r="H91" s="56">
        <f t="array" ref="H91">E91+D91</f>
        <v>15152</v>
      </c>
      <c r="I91" s="56">
        <f t="array" ref="I91">G91+F91</f>
        <v>3039</v>
      </c>
      <c r="J91" s="56">
        <f t="array" ref="J91">D91+F91</f>
        <v>8828</v>
      </c>
      <c r="K91" s="56">
        <f t="array" ref="K91">E91+G91</f>
        <v>9363</v>
      </c>
      <c r="L91" s="58"/>
      <c r="M91" s="1"/>
      <c r="N91" s="1"/>
      <c r="O91" s="1"/>
      <c r="P91" s="1"/>
      <c r="Q91" s="1"/>
      <c r="R91" s="1"/>
      <c r="S91" s="1"/>
      <c r="T91" s="1"/>
      <c r="U91" s="1"/>
      <c r="V91" s="1"/>
      <c r="W91" s="1"/>
      <c r="X91" s="1"/>
      <c r="Y91" s="1"/>
      <c r="Z91" s="1"/>
    </row>
    <row r="92" spans="1:26" ht="19.5" customHeight="1">
      <c r="A92" s="39" t="s">
        <v>575</v>
      </c>
      <c r="B92" s="12" t="s">
        <v>576</v>
      </c>
      <c r="C92" s="56">
        <f t="array" ref="C92">H92+I92</f>
        <v>19767</v>
      </c>
      <c r="D92" s="57">
        <f t="array" ref="D92">D204</f>
        <v>8484</v>
      </c>
      <c r="E92" s="57">
        <f t="array" ref="E92">E204</f>
        <v>7979</v>
      </c>
      <c r="F92" s="57">
        <f t="array" ref="F92">F204</f>
        <v>1458</v>
      </c>
      <c r="G92" s="57">
        <f t="array" ref="G92">G204</f>
        <v>1846</v>
      </c>
      <c r="H92" s="56">
        <f t="array" ref="H92">E92+D92</f>
        <v>16463</v>
      </c>
      <c r="I92" s="56">
        <f t="array" ref="I92">G92+F92</f>
        <v>3304</v>
      </c>
      <c r="J92" s="56">
        <f t="array" ref="J92">D92+F92</f>
        <v>9942</v>
      </c>
      <c r="K92" s="56">
        <f t="array" ref="K92">E92+G92</f>
        <v>9825</v>
      </c>
      <c r="L92" s="58"/>
      <c r="M92" s="1"/>
      <c r="N92" s="1"/>
      <c r="O92" s="1"/>
      <c r="P92" s="1"/>
      <c r="Q92" s="1"/>
      <c r="R92" s="1"/>
      <c r="S92" s="1"/>
      <c r="T92" s="1"/>
      <c r="U92" s="1"/>
      <c r="V92" s="1"/>
      <c r="W92" s="1"/>
      <c r="X92" s="1"/>
      <c r="Y92" s="1"/>
      <c r="Z92" s="1"/>
    </row>
    <row r="93" spans="1:26" ht="19.5" customHeight="1">
      <c r="A93" s="39" t="s">
        <v>577</v>
      </c>
      <c r="B93" s="12" t="s">
        <v>578</v>
      </c>
      <c r="C93" s="56">
        <f t="array" ref="C93">H93+I93</f>
        <v>20699</v>
      </c>
      <c r="D93" s="57">
        <f t="array" ref="D93">D205</f>
        <v>9102</v>
      </c>
      <c r="E93" s="57">
        <f t="array" ref="E93">E205</f>
        <v>8138</v>
      </c>
      <c r="F93" s="57">
        <f t="array" ref="F93">F205</f>
        <v>1554</v>
      </c>
      <c r="G93" s="57">
        <f t="array" ref="G93">G205</f>
        <v>1905</v>
      </c>
      <c r="H93" s="56">
        <f t="array" ref="H93">E93+D93</f>
        <v>17240</v>
      </c>
      <c r="I93" s="56">
        <f t="array" ref="I93">G93+F93</f>
        <v>3459</v>
      </c>
      <c r="J93" s="56">
        <f t="array" ref="J93">D93+F93</f>
        <v>10656</v>
      </c>
      <c r="K93" s="56">
        <f t="array" ref="K93">E93+G93</f>
        <v>10043</v>
      </c>
      <c r="L93" s="58"/>
      <c r="M93" s="1"/>
      <c r="N93" s="1"/>
      <c r="O93" s="1"/>
      <c r="P93" s="1"/>
      <c r="Q93" s="1"/>
      <c r="R93" s="1"/>
      <c r="S93" s="1"/>
      <c r="T93" s="1"/>
      <c r="U93" s="1"/>
      <c r="V93" s="1"/>
      <c r="W93" s="1"/>
      <c r="X93" s="1"/>
      <c r="Y93" s="1"/>
      <c r="Z93" s="1"/>
    </row>
    <row r="94" spans="1:26" ht="19.5" customHeight="1">
      <c r="A94" s="39" t="s">
        <v>579</v>
      </c>
      <c r="B94" s="12" t="s">
        <v>580</v>
      </c>
      <c r="C94" s="56">
        <f t="array" ref="C94">H94+I94</f>
        <v>21925</v>
      </c>
      <c r="D94" s="57">
        <f t="array" ref="D94">D206</f>
        <v>10111</v>
      </c>
      <c r="E94" s="57">
        <f t="array" ref="E94">E206</f>
        <v>8160</v>
      </c>
      <c r="F94" s="57">
        <f t="array" ref="F94">F206</f>
        <v>1713</v>
      </c>
      <c r="G94" s="57">
        <f t="array" ref="G94">G206</f>
        <v>1941</v>
      </c>
      <c r="H94" s="56">
        <f t="array" ref="H94">E94+D94</f>
        <v>18271</v>
      </c>
      <c r="I94" s="56">
        <f t="array" ref="I94">G94+F94</f>
        <v>3654</v>
      </c>
      <c r="J94" s="56">
        <f t="array" ref="J94">D94+F94</f>
        <v>11824</v>
      </c>
      <c r="K94" s="56">
        <f t="array" ref="K94">E94+G94</f>
        <v>10101</v>
      </c>
      <c r="L94" s="58"/>
      <c r="M94" s="1"/>
      <c r="N94" s="1"/>
      <c r="O94" s="1"/>
      <c r="P94" s="1"/>
      <c r="Q94" s="1"/>
      <c r="R94" s="1"/>
      <c r="S94" s="1"/>
      <c r="T94" s="1"/>
      <c r="U94" s="1"/>
      <c r="V94" s="1"/>
      <c r="W94" s="1"/>
      <c r="X94" s="1"/>
      <c r="Y94" s="1"/>
      <c r="Z94" s="1"/>
    </row>
    <row r="95" spans="1:26" ht="19.5" customHeight="1">
      <c r="A95" s="39" t="s">
        <v>581</v>
      </c>
      <c r="B95" s="12" t="s">
        <v>582</v>
      </c>
      <c r="C95" s="56">
        <f t="array" ref="C95">H95+I95</f>
        <v>22892</v>
      </c>
      <c r="D95" s="57">
        <f t="array" ref="D95">D207</f>
        <v>10839</v>
      </c>
      <c r="E95" s="57">
        <f t="array" ref="E95">E207</f>
        <v>8232</v>
      </c>
      <c r="F95" s="57">
        <f t="array" ref="F95">F207</f>
        <v>1820</v>
      </c>
      <c r="G95" s="57">
        <f t="array" ref="G95">G207</f>
        <v>2001</v>
      </c>
      <c r="H95" s="56">
        <f t="array" ref="H95">E95+D95</f>
        <v>19071</v>
      </c>
      <c r="I95" s="56">
        <f t="array" ref="I95">G95+F95</f>
        <v>3821</v>
      </c>
      <c r="J95" s="56">
        <f t="array" ref="J95">D95+F95</f>
        <v>12659</v>
      </c>
      <c r="K95" s="56">
        <f t="array" ref="K95">E95+G95</f>
        <v>10233</v>
      </c>
      <c r="L95" s="58"/>
      <c r="M95" s="1"/>
      <c r="N95" s="1"/>
      <c r="O95" s="1"/>
      <c r="P95" s="1"/>
      <c r="Q95" s="1"/>
      <c r="R95" s="1"/>
      <c r="S95" s="1"/>
      <c r="T95" s="1"/>
      <c r="U95" s="1"/>
      <c r="V95" s="1"/>
      <c r="W95" s="1"/>
      <c r="X95" s="1"/>
      <c r="Y95" s="1"/>
      <c r="Z95" s="1"/>
    </row>
    <row r="96" spans="1:26" ht="19.5" customHeight="1">
      <c r="A96" s="39" t="s">
        <v>583</v>
      </c>
      <c r="B96" s="12" t="s">
        <v>584</v>
      </c>
      <c r="C96" s="56">
        <f t="array" ref="C96">H96+I96</f>
        <v>24006</v>
      </c>
      <c r="D96" s="57">
        <f t="array" ref="D96">D208</f>
        <v>11856</v>
      </c>
      <c r="E96" s="57">
        <f t="array" ref="E96">E208</f>
        <v>8147</v>
      </c>
      <c r="F96" s="57">
        <f t="array" ref="F96">F208</f>
        <v>1970</v>
      </c>
      <c r="G96" s="57">
        <f t="array" ref="G96">G208</f>
        <v>2033</v>
      </c>
      <c r="H96" s="56">
        <f t="array" ref="H96">E96+D96</f>
        <v>20003</v>
      </c>
      <c r="I96" s="56">
        <f t="array" ref="I96">G96+F96</f>
        <v>4003</v>
      </c>
      <c r="J96" s="56">
        <f t="array" ref="J96">D96+F96</f>
        <v>13826</v>
      </c>
      <c r="K96" s="56">
        <f t="array" ref="K96">E96+G96</f>
        <v>10180</v>
      </c>
      <c r="L96" s="58"/>
      <c r="M96" s="1"/>
      <c r="N96" s="1"/>
      <c r="O96" s="1"/>
      <c r="P96" s="1"/>
      <c r="Q96" s="1"/>
      <c r="R96" s="1"/>
      <c r="S96" s="1"/>
      <c r="T96" s="1"/>
      <c r="U96" s="1"/>
      <c r="V96" s="1"/>
      <c r="W96" s="1"/>
      <c r="X96" s="1"/>
      <c r="Y96" s="1"/>
      <c r="Z96" s="1"/>
    </row>
    <row r="97" spans="1:26" ht="19.5" customHeight="1">
      <c r="A97" s="39" t="s">
        <v>585</v>
      </c>
      <c r="B97" s="12" t="s">
        <v>586</v>
      </c>
      <c r="C97" s="56">
        <f t="array" ref="C97">H97+I97</f>
        <v>24311</v>
      </c>
      <c r="D97" s="57">
        <f t="array" ref="D97">D209</f>
        <v>12433</v>
      </c>
      <c r="E97" s="57">
        <f t="array" ref="E97">E209</f>
        <v>7831</v>
      </c>
      <c r="F97" s="57">
        <f t="array" ref="F97">F209</f>
        <v>2051</v>
      </c>
      <c r="G97" s="57">
        <f t="array" ref="G97">G209</f>
        <v>1996</v>
      </c>
      <c r="H97" s="56">
        <f t="array" ref="H97">E97+D97</f>
        <v>20264</v>
      </c>
      <c r="I97" s="56">
        <f t="array" ref="I97">G97+F97</f>
        <v>4047</v>
      </c>
      <c r="J97" s="56">
        <f t="array" ref="J97">D97+F97</f>
        <v>14484</v>
      </c>
      <c r="K97" s="56">
        <f t="array" ref="K97">E97+G97</f>
        <v>9827</v>
      </c>
      <c r="L97" s="58"/>
      <c r="M97" s="1"/>
      <c r="N97" s="1"/>
      <c r="O97" s="1"/>
      <c r="P97" s="1"/>
      <c r="Q97" s="1"/>
      <c r="R97" s="1"/>
      <c r="S97" s="1"/>
      <c r="T97" s="1"/>
      <c r="U97" s="1"/>
      <c r="V97" s="1"/>
      <c r="W97" s="1"/>
      <c r="X97" s="1"/>
      <c r="Y97" s="1"/>
      <c r="Z97" s="1"/>
    </row>
    <row r="98" spans="1:26" ht="19.5" customHeight="1">
      <c r="A98" s="39" t="s">
        <v>587</v>
      </c>
      <c r="B98" s="12" t="s">
        <v>588</v>
      </c>
      <c r="C98" s="56">
        <f t="array" ref="C98">H98+I98</f>
        <v>24264</v>
      </c>
      <c r="D98" s="57">
        <f t="array" ref="D98">D210</f>
        <v>12840</v>
      </c>
      <c r="E98" s="57">
        <f t="array" ref="E98">E210</f>
        <v>7379</v>
      </c>
      <c r="F98" s="57">
        <f t="array" ref="F98">F210</f>
        <v>2093</v>
      </c>
      <c r="G98" s="57">
        <f t="array" ref="G98">G210</f>
        <v>1952</v>
      </c>
      <c r="H98" s="56">
        <f t="array" ref="H98">E98+D98</f>
        <v>20219</v>
      </c>
      <c r="I98" s="56">
        <f t="array" ref="I98">G98+F98</f>
        <v>4045</v>
      </c>
      <c r="J98" s="56">
        <f t="array" ref="J98">D98+F98</f>
        <v>14933</v>
      </c>
      <c r="K98" s="56">
        <f t="array" ref="K98">E98+G98</f>
        <v>9331</v>
      </c>
      <c r="L98" s="58"/>
      <c r="M98" s="1"/>
      <c r="N98" s="1"/>
      <c r="O98" s="1"/>
      <c r="P98" s="1"/>
      <c r="Q98" s="1"/>
      <c r="R98" s="1"/>
      <c r="S98" s="1"/>
      <c r="T98" s="1"/>
      <c r="U98" s="1"/>
      <c r="V98" s="1"/>
      <c r="W98" s="1"/>
      <c r="X98" s="1"/>
      <c r="Y98" s="1"/>
      <c r="Z98" s="1"/>
    </row>
    <row r="99" spans="1:26" ht="19.5" customHeight="1">
      <c r="A99" s="39" t="s">
        <v>589</v>
      </c>
      <c r="B99" s="12" t="s">
        <v>590</v>
      </c>
      <c r="C99" s="56">
        <f t="array" ref="C99">H99+I99</f>
        <v>23427</v>
      </c>
      <c r="D99" s="57">
        <f t="array" ref="D99">D211</f>
        <v>12813</v>
      </c>
      <c r="E99" s="57">
        <f t="array" ref="E99">E211</f>
        <v>6713</v>
      </c>
      <c r="F99" s="57">
        <f t="array" ref="F99">F211</f>
        <v>2072</v>
      </c>
      <c r="G99" s="57">
        <f t="array" ref="G99">G211</f>
        <v>1829</v>
      </c>
      <c r="H99" s="56">
        <f t="array" ref="H99">E99+D99</f>
        <v>19526</v>
      </c>
      <c r="I99" s="56">
        <f t="array" ref="I99">G99+F99</f>
        <v>3901</v>
      </c>
      <c r="J99" s="56">
        <f t="array" ref="J99">D99+F99</f>
        <v>14885</v>
      </c>
      <c r="K99" s="56">
        <f t="array" ref="K99">E99+G99</f>
        <v>8542</v>
      </c>
      <c r="L99" s="58"/>
      <c r="M99" s="1"/>
      <c r="N99" s="1"/>
      <c r="O99" s="1"/>
      <c r="P99" s="1"/>
      <c r="Q99" s="1"/>
      <c r="R99" s="1"/>
      <c r="S99" s="1"/>
      <c r="T99" s="1"/>
      <c r="U99" s="1"/>
      <c r="V99" s="1"/>
      <c r="W99" s="1"/>
      <c r="X99" s="1"/>
      <c r="Y99" s="1"/>
      <c r="Z99" s="1"/>
    </row>
    <row r="100" spans="1:26" ht="19.5" customHeight="1">
      <c r="A100" s="39" t="s">
        <v>591</v>
      </c>
      <c r="B100" s="12" t="s">
        <v>592</v>
      </c>
      <c r="C100" s="56">
        <f t="array" ref="C100">H100+I100</f>
        <v>21997</v>
      </c>
      <c r="D100" s="57">
        <f t="array" ref="D100">D212</f>
        <v>12434</v>
      </c>
      <c r="E100" s="57">
        <f t="array" ref="E100">E212</f>
        <v>5905</v>
      </c>
      <c r="F100" s="57">
        <f t="array" ref="F100">F212</f>
        <v>1995</v>
      </c>
      <c r="G100" s="57">
        <f t="array" ref="G100">G212</f>
        <v>1663</v>
      </c>
      <c r="H100" s="56">
        <f t="array" ref="H100">E100+D100</f>
        <v>18339</v>
      </c>
      <c r="I100" s="56">
        <f t="array" ref="I100">G100+F100</f>
        <v>3658</v>
      </c>
      <c r="J100" s="56">
        <f t="array" ref="J100">D100+F100</f>
        <v>14429</v>
      </c>
      <c r="K100" s="56">
        <f t="array" ref="K100">E100+G100</f>
        <v>7568</v>
      </c>
      <c r="L100" s="58"/>
      <c r="M100" s="1"/>
      <c r="N100" s="1"/>
      <c r="O100" s="1"/>
      <c r="P100" s="1"/>
      <c r="Q100" s="1"/>
      <c r="R100" s="1"/>
      <c r="S100" s="1"/>
      <c r="T100" s="1"/>
      <c r="U100" s="1"/>
      <c r="V100" s="1"/>
      <c r="W100" s="1"/>
      <c r="X100" s="1"/>
      <c r="Y100" s="1"/>
      <c r="Z100" s="1"/>
    </row>
    <row r="101" spans="1:26" ht="19.5" customHeight="1">
      <c r="A101" s="39" t="s">
        <v>593</v>
      </c>
      <c r="B101" s="12" t="s">
        <v>594</v>
      </c>
      <c r="C101" s="56">
        <f t="array" ref="C101">H101+I101</f>
        <v>19563</v>
      </c>
      <c r="D101" s="57">
        <f t="array" ref="D101">D213</f>
        <v>11481</v>
      </c>
      <c r="E101" s="57">
        <f t="array" ref="E101">E213</f>
        <v>4830</v>
      </c>
      <c r="F101" s="57">
        <f t="array" ref="F101">F213</f>
        <v>1823</v>
      </c>
      <c r="G101" s="57">
        <f t="array" ref="G101">G213</f>
        <v>1429</v>
      </c>
      <c r="H101" s="56">
        <f t="array" ref="H101">E101+D101</f>
        <v>16311</v>
      </c>
      <c r="I101" s="56">
        <f t="array" ref="I101">G101+F101</f>
        <v>3252</v>
      </c>
      <c r="J101" s="56">
        <f t="array" ref="J101">D101+F101</f>
        <v>13304</v>
      </c>
      <c r="K101" s="56">
        <f t="array" ref="K101">E101+G101</f>
        <v>6259</v>
      </c>
      <c r="L101" s="58"/>
      <c r="M101" s="1"/>
      <c r="N101" s="1"/>
      <c r="O101" s="1"/>
      <c r="P101" s="1"/>
      <c r="Q101" s="1"/>
      <c r="R101" s="1"/>
      <c r="S101" s="1"/>
      <c r="T101" s="1"/>
      <c r="U101" s="1"/>
      <c r="V101" s="1"/>
      <c r="W101" s="1"/>
      <c r="X101" s="1"/>
      <c r="Y101" s="1"/>
      <c r="Z101" s="1"/>
    </row>
    <row r="102" spans="1:26" ht="19.5" customHeight="1">
      <c r="A102" s="39" t="s">
        <v>595</v>
      </c>
      <c r="B102" s="12" t="s">
        <v>596</v>
      </c>
      <c r="C102" s="56">
        <f t="array" ref="C102">H102+I102</f>
        <v>16929</v>
      </c>
      <c r="D102" s="57">
        <f t="array" ref="D102">D214</f>
        <v>10300</v>
      </c>
      <c r="E102" s="57">
        <f t="array" ref="E102">E214</f>
        <v>3825</v>
      </c>
      <c r="F102" s="57">
        <f t="array" ref="F102">F214</f>
        <v>1622</v>
      </c>
      <c r="G102" s="57">
        <f t="array" ref="G102">G214</f>
        <v>1182</v>
      </c>
      <c r="H102" s="56">
        <f t="array" ref="H102">E102+D102</f>
        <v>14125</v>
      </c>
      <c r="I102" s="56">
        <f t="array" ref="I102">G102+F102</f>
        <v>2804</v>
      </c>
      <c r="J102" s="56">
        <f t="array" ref="J102">D102+F102</f>
        <v>11922</v>
      </c>
      <c r="K102" s="56">
        <f t="array" ref="K102">E102+G102</f>
        <v>5007</v>
      </c>
      <c r="L102" s="58"/>
      <c r="M102" s="1"/>
      <c r="N102" s="1"/>
      <c r="O102" s="1"/>
      <c r="P102" s="1"/>
      <c r="Q102" s="1"/>
      <c r="R102" s="1"/>
      <c r="S102" s="1"/>
      <c r="T102" s="1"/>
      <c r="U102" s="1"/>
      <c r="V102" s="1"/>
      <c r="W102" s="1"/>
      <c r="X102" s="1"/>
      <c r="Y102" s="1"/>
      <c r="Z102" s="1"/>
    </row>
    <row r="103" spans="1:26" ht="19.5" customHeight="1">
      <c r="A103" s="39" t="s">
        <v>597</v>
      </c>
      <c r="B103" s="12" t="s">
        <v>598</v>
      </c>
      <c r="C103" s="56">
        <f t="array" ref="C103">H103+I103</f>
        <v>14381</v>
      </c>
      <c r="D103" s="57">
        <f t="array" ref="D103">D215</f>
        <v>8928</v>
      </c>
      <c r="E103" s="57">
        <f t="array" ref="E103">E215</f>
        <v>3051</v>
      </c>
      <c r="F103" s="57">
        <f t="array" ref="F103">F215</f>
        <v>1391</v>
      </c>
      <c r="G103" s="57">
        <f t="array" ref="G103">G215</f>
        <v>1011</v>
      </c>
      <c r="H103" s="56">
        <f t="array" ref="H103">E103+D103</f>
        <v>11979</v>
      </c>
      <c r="I103" s="56">
        <f t="array" ref="I103">G103+F103</f>
        <v>2402</v>
      </c>
      <c r="J103" s="56">
        <f t="array" ref="J103">D103+F103</f>
        <v>10319</v>
      </c>
      <c r="K103" s="56">
        <f t="array" ref="K103">E103+G103</f>
        <v>4062</v>
      </c>
      <c r="L103" s="58"/>
      <c r="M103" s="1"/>
      <c r="N103" s="1"/>
      <c r="O103" s="1"/>
      <c r="P103" s="1"/>
      <c r="Q103" s="1"/>
      <c r="R103" s="1"/>
      <c r="S103" s="1"/>
      <c r="T103" s="1"/>
      <c r="U103" s="1"/>
      <c r="V103" s="1"/>
      <c r="W103" s="1"/>
      <c r="X103" s="1"/>
      <c r="Y103" s="1"/>
      <c r="Z103" s="1"/>
    </row>
    <row r="104" spans="1:26" ht="19.5" customHeight="1">
      <c r="A104" s="39" t="s">
        <v>599</v>
      </c>
      <c r="B104" s="12" t="s">
        <v>600</v>
      </c>
      <c r="C104" s="56">
        <f t="array" ref="C104">H104+I104</f>
        <v>11834</v>
      </c>
      <c r="D104" s="57">
        <f t="array" ref="D104">D216</f>
        <v>7713</v>
      </c>
      <c r="E104" s="57">
        <f t="array" ref="E104">E216</f>
        <v>2158</v>
      </c>
      <c r="F104" s="57">
        <f t="array" ref="F104">F216</f>
        <v>1190</v>
      </c>
      <c r="G104" s="57">
        <f t="array" ref="G104">G216</f>
        <v>773</v>
      </c>
      <c r="H104" s="56">
        <f t="array" ref="H104">E104+D104</f>
        <v>9871</v>
      </c>
      <c r="I104" s="56">
        <f t="array" ref="I104">G104+F104</f>
        <v>1963</v>
      </c>
      <c r="J104" s="56">
        <f t="array" ref="J104">D104+F104</f>
        <v>8903</v>
      </c>
      <c r="K104" s="56">
        <f t="array" ref="K104">E104+G104</f>
        <v>2931</v>
      </c>
      <c r="L104" s="58"/>
      <c r="M104" s="1"/>
      <c r="N104" s="1"/>
      <c r="O104" s="1"/>
      <c r="P104" s="1"/>
      <c r="Q104" s="1"/>
      <c r="R104" s="1"/>
      <c r="S104" s="1"/>
      <c r="T104" s="1"/>
      <c r="U104" s="1"/>
      <c r="V104" s="1"/>
      <c r="W104" s="1"/>
      <c r="X104" s="1"/>
      <c r="Y104" s="1"/>
      <c r="Z104" s="1"/>
    </row>
    <row r="105" spans="1:26" ht="19.5" customHeight="1">
      <c r="A105" s="39" t="s">
        <v>601</v>
      </c>
      <c r="B105" s="12" t="s">
        <v>602</v>
      </c>
      <c r="C105" s="56">
        <f t="array" ref="C105">H105+I105</f>
        <v>9373</v>
      </c>
      <c r="D105" s="57">
        <f t="array" ref="D105">D217</f>
        <v>6221</v>
      </c>
      <c r="E105" s="57">
        <f t="array" ref="E105">E217</f>
        <v>1598</v>
      </c>
      <c r="F105" s="57">
        <f t="array" ref="F105">F217</f>
        <v>955</v>
      </c>
      <c r="G105" s="57">
        <f t="array" ref="G105">G217</f>
        <v>599</v>
      </c>
      <c r="H105" s="56">
        <f t="array" ref="H105">E105+D105</f>
        <v>7819</v>
      </c>
      <c r="I105" s="56">
        <f t="array" ref="I105">G105+F105</f>
        <v>1554</v>
      </c>
      <c r="J105" s="56">
        <f t="array" ref="J105">D105+F105</f>
        <v>7176</v>
      </c>
      <c r="K105" s="56">
        <f t="array" ref="K105">E105+G105</f>
        <v>2197</v>
      </c>
      <c r="L105" s="58"/>
      <c r="M105" s="1"/>
      <c r="N105" s="1"/>
      <c r="O105" s="1"/>
      <c r="P105" s="1"/>
      <c r="Q105" s="1"/>
      <c r="R105" s="1"/>
      <c r="S105" s="1"/>
      <c r="T105" s="1"/>
      <c r="U105" s="1"/>
      <c r="V105" s="1"/>
      <c r="W105" s="1"/>
      <c r="X105" s="1"/>
      <c r="Y105" s="1"/>
      <c r="Z105" s="1"/>
    </row>
    <row r="106" spans="1:26" ht="19.5" customHeight="1">
      <c r="A106" s="39" t="s">
        <v>603</v>
      </c>
      <c r="B106" s="29" t="s">
        <v>604</v>
      </c>
      <c r="C106" s="56">
        <f t="array" ref="C106">H106+I106</f>
        <v>21142</v>
      </c>
      <c r="D106" s="57">
        <f t="array" ref="D106">D218</f>
        <v>15113</v>
      </c>
      <c r="E106" s="57">
        <f t="array" ref="E106">E218</f>
        <v>2573</v>
      </c>
      <c r="F106" s="57">
        <f t="array" ref="F106">F218</f>
        <v>2283</v>
      </c>
      <c r="G106" s="57">
        <f t="array" ref="G106">G218</f>
        <v>1173</v>
      </c>
      <c r="H106" s="56">
        <f t="array" ref="H106">E106+D106</f>
        <v>17686</v>
      </c>
      <c r="I106" s="56">
        <f t="array" ref="I106">G106+F106</f>
        <v>3456</v>
      </c>
      <c r="J106" s="56">
        <f t="array" ref="J106">D106+F106</f>
        <v>17396</v>
      </c>
      <c r="K106" s="56">
        <f t="array" ref="K106">E106+G106</f>
        <v>3746</v>
      </c>
      <c r="L106" s="58"/>
      <c r="M106" s="1"/>
      <c r="N106" s="1"/>
      <c r="O106" s="1"/>
      <c r="P106" s="1"/>
      <c r="Q106" s="1"/>
      <c r="R106" s="1"/>
      <c r="S106" s="1"/>
      <c r="T106" s="1"/>
      <c r="U106" s="1"/>
      <c r="V106" s="1"/>
      <c r="W106" s="1"/>
      <c r="X106" s="1"/>
      <c r="Y106" s="1"/>
      <c r="Z106" s="1"/>
    </row>
    <row r="107" spans="1:26" ht="19.5" customHeight="1">
      <c r="A107" s="39" t="s">
        <v>605</v>
      </c>
      <c r="B107" s="22" t="s">
        <v>300</v>
      </c>
      <c r="C107" s="56">
        <f t="array" ref="C107">SUM(C7:C106)</f>
        <v>642646</v>
      </c>
      <c r="D107" s="56">
        <f t="array" ref="D107">SUM(D7:D106)</f>
        <v>274220</v>
      </c>
      <c r="E107" s="56">
        <f t="array" ref="E107">SUM(E7:E106)</f>
        <v>258536</v>
      </c>
      <c r="F107" s="56">
        <f t="array" ref="F107">SUM(F7:F106)</f>
        <v>47991</v>
      </c>
      <c r="G107" s="56">
        <f t="array" ref="G107">SUM(G7:G106)</f>
        <v>62585</v>
      </c>
      <c r="H107" s="56">
        <f t="array" ref="H107">SUM(H7:H106)</f>
        <v>532756</v>
      </c>
      <c r="I107" s="56">
        <f t="array" ref="I107">SUM(I7:I106)</f>
        <v>110576</v>
      </c>
      <c r="J107" s="56">
        <f t="array" ref="J107">D107+F107</f>
        <v>322211</v>
      </c>
      <c r="K107" s="56">
        <f t="array" ref="K107">E107+G107</f>
        <v>321121</v>
      </c>
      <c r="L107" s="58"/>
      <c r="M107" s="1"/>
      <c r="N107" s="1"/>
      <c r="O107" s="1"/>
      <c r="P107" s="1"/>
      <c r="Q107" s="1"/>
      <c r="R107" s="1"/>
      <c r="S107" s="1"/>
      <c r="T107" s="1"/>
      <c r="U107" s="1"/>
      <c r="V107" s="1"/>
      <c r="W107" s="1"/>
      <c r="X107" s="1"/>
      <c r="Y107" s="1"/>
      <c r="Z107" s="1"/>
    </row>
    <row r="108" spans="1:26" ht="19.5" customHeight="1">
      <c r="A108" s="11"/>
      <c r="B108" s="17"/>
      <c r="C108" s="13"/>
      <c r="D108" s="13"/>
      <c r="E108" s="13"/>
      <c r="F108" s="13"/>
      <c r="G108" s="13"/>
      <c r="H108" s="13"/>
      <c r="I108" s="13"/>
      <c r="J108" s="13"/>
      <c r="K108" s="13"/>
      <c r="L108" s="13"/>
      <c r="M108" s="1"/>
      <c r="N108" s="1"/>
      <c r="O108" s="1"/>
      <c r="P108" s="1"/>
      <c r="Q108" s="1"/>
      <c r="R108" s="1"/>
      <c r="S108" s="1"/>
      <c r="T108" s="1"/>
      <c r="U108" s="1"/>
      <c r="V108" s="1"/>
      <c r="W108" s="1"/>
      <c r="X108" s="1"/>
      <c r="Y108" s="1"/>
      <c r="Z108" s="1"/>
    </row>
    <row r="109" spans="1:26" ht="19.5" customHeight="1">
      <c r="A109" s="39" t="s">
        <v>606</v>
      </c>
      <c r="B109" s="22" t="s">
        <v>76</v>
      </c>
      <c r="C109" s="163" t="str">
        <f t="array" ref="C109">IF(C110="","?",C110)&amp;IF(C111="","","; downloaded "&amp;C111)&amp;IF(C112="","","; "&amp;C112)</f>
        <v>https://ec.europa.eu/eurostat/databrowser/view/demo_magec; downloaded 2026-05-22</v>
      </c>
      <c r="D109" s="164"/>
      <c r="E109" s="164"/>
      <c r="F109" s="164"/>
      <c r="G109" s="164"/>
      <c r="H109" s="164"/>
      <c r="I109" s="164"/>
      <c r="J109" s="164"/>
      <c r="K109" s="165"/>
      <c r="L109" s="13"/>
      <c r="M109" s="1"/>
      <c r="N109" s="1"/>
      <c r="O109" s="1"/>
      <c r="P109" s="1"/>
      <c r="Q109" s="1"/>
      <c r="R109" s="1"/>
      <c r="S109" s="1"/>
      <c r="T109" s="1"/>
      <c r="U109" s="1"/>
      <c r="V109" s="1"/>
      <c r="W109" s="1"/>
      <c r="X109" s="1"/>
      <c r="Y109" s="1"/>
      <c r="Z109" s="1"/>
    </row>
    <row r="110" spans="1:26" ht="19.5" customHeight="1">
      <c r="A110" s="15"/>
      <c r="B110" s="22" t="s">
        <v>77</v>
      </c>
      <c r="C110" s="166" t="s">
        <v>607</v>
      </c>
      <c r="D110" s="164"/>
      <c r="E110" s="164"/>
      <c r="F110" s="164"/>
      <c r="G110" s="164"/>
      <c r="H110" s="164"/>
      <c r="I110" s="164"/>
      <c r="J110" s="164"/>
      <c r="K110" s="165"/>
      <c r="L110" s="13"/>
      <c r="M110" s="1"/>
      <c r="N110" s="1"/>
      <c r="O110" s="1"/>
      <c r="P110" s="1"/>
      <c r="Q110" s="1"/>
      <c r="R110" s="1"/>
      <c r="S110" s="1"/>
      <c r="T110" s="1"/>
      <c r="U110" s="1"/>
      <c r="V110" s="1"/>
      <c r="W110" s="1"/>
      <c r="X110" s="1"/>
      <c r="Y110" s="1"/>
      <c r="Z110" s="1"/>
    </row>
    <row r="111" spans="1:26" ht="19.5" customHeight="1">
      <c r="A111" s="23"/>
      <c r="B111" s="33" t="s">
        <v>79</v>
      </c>
      <c r="C111" s="166" t="s">
        <v>80</v>
      </c>
      <c r="D111" s="164"/>
      <c r="E111" s="164"/>
      <c r="F111" s="164"/>
      <c r="G111" s="164"/>
      <c r="H111" s="164"/>
      <c r="I111" s="164"/>
      <c r="J111" s="164"/>
      <c r="K111" s="165"/>
      <c r="L111" s="13"/>
      <c r="M111" s="1"/>
      <c r="N111" s="1"/>
      <c r="O111" s="1"/>
      <c r="P111" s="1"/>
      <c r="Q111" s="1"/>
      <c r="R111" s="1"/>
      <c r="S111" s="1"/>
      <c r="T111" s="1"/>
      <c r="U111" s="1"/>
      <c r="V111" s="1"/>
      <c r="W111" s="1"/>
      <c r="X111" s="1"/>
      <c r="Y111" s="1"/>
      <c r="Z111" s="1"/>
    </row>
    <row r="112" spans="1:26" ht="19.5" customHeight="1">
      <c r="A112" s="11"/>
      <c r="B112" s="12" t="s">
        <v>81</v>
      </c>
      <c r="C112" s="171"/>
      <c r="D112" s="164"/>
      <c r="E112" s="164"/>
      <c r="F112" s="164"/>
      <c r="G112" s="164"/>
      <c r="H112" s="164"/>
      <c r="I112" s="164"/>
      <c r="J112" s="164"/>
      <c r="K112" s="165"/>
      <c r="L112" s="13"/>
      <c r="M112" s="1"/>
      <c r="N112" s="1"/>
      <c r="O112" s="1"/>
      <c r="P112" s="1"/>
      <c r="Q112" s="1"/>
      <c r="R112" s="1"/>
      <c r="S112" s="1"/>
      <c r="T112" s="1"/>
      <c r="U112" s="1"/>
      <c r="V112" s="1"/>
      <c r="W112" s="1"/>
      <c r="X112" s="1"/>
      <c r="Y112" s="1"/>
      <c r="Z112" s="1"/>
    </row>
    <row r="113" spans="1:26" ht="19.5" customHeight="1">
      <c r="A113" s="11"/>
      <c r="B113" s="12" t="s">
        <v>82</v>
      </c>
      <c r="C113" s="171" t="s">
        <v>608</v>
      </c>
      <c r="D113" s="164"/>
      <c r="E113" s="164"/>
      <c r="F113" s="164"/>
      <c r="G113" s="164"/>
      <c r="H113" s="164"/>
      <c r="I113" s="164"/>
      <c r="J113" s="164"/>
      <c r="K113" s="165"/>
      <c r="L113" s="13"/>
      <c r="M113" s="1"/>
      <c r="N113" s="1"/>
      <c r="O113" s="1"/>
      <c r="P113" s="1"/>
      <c r="Q113" s="1"/>
      <c r="R113" s="1"/>
      <c r="S113" s="1"/>
      <c r="T113" s="1"/>
      <c r="U113" s="1"/>
      <c r="V113" s="1"/>
      <c r="W113" s="1"/>
      <c r="X113" s="1"/>
      <c r="Y113" s="1"/>
      <c r="Z113" s="1"/>
    </row>
    <row r="114" spans="1:26" ht="19.5" customHeight="1">
      <c r="A114" s="11"/>
      <c r="B114" s="12" t="s">
        <v>84</v>
      </c>
      <c r="C114" s="171"/>
      <c r="D114" s="164"/>
      <c r="E114" s="164"/>
      <c r="F114" s="164"/>
      <c r="G114" s="164"/>
      <c r="H114" s="164"/>
      <c r="I114" s="164"/>
      <c r="J114" s="164"/>
      <c r="K114" s="165"/>
      <c r="L114" s="13"/>
      <c r="M114" s="1"/>
      <c r="N114" s="1"/>
      <c r="O114" s="1"/>
      <c r="P114" s="1"/>
      <c r="Q114" s="1"/>
      <c r="R114" s="1"/>
      <c r="S114" s="1"/>
      <c r="T114" s="1"/>
      <c r="U114" s="1"/>
      <c r="V114" s="1"/>
      <c r="W114" s="1"/>
      <c r="X114" s="1"/>
      <c r="Y114" s="1"/>
      <c r="Z114" s="1"/>
    </row>
    <row r="115" spans="1:26" ht="19.5" customHeight="1">
      <c r="A115" s="15"/>
      <c r="B115" s="16"/>
      <c r="C115" s="13"/>
      <c r="D115" s="13"/>
      <c r="E115" s="13"/>
      <c r="F115" s="13"/>
      <c r="G115" s="13"/>
      <c r="H115" s="13"/>
      <c r="I115" s="13"/>
      <c r="J115" s="13"/>
      <c r="K115" s="13"/>
      <c r="L115" s="13"/>
      <c r="M115" s="1"/>
      <c r="N115" s="1"/>
      <c r="O115" s="1"/>
      <c r="P115" s="1"/>
      <c r="Q115" s="1"/>
      <c r="R115" s="1"/>
      <c r="S115" s="1"/>
      <c r="T115" s="1"/>
      <c r="U115" s="1"/>
      <c r="V115" s="1"/>
      <c r="W115" s="1"/>
      <c r="X115" s="1"/>
      <c r="Y115" s="1"/>
      <c r="Z115" s="1"/>
    </row>
    <row r="116" spans="1:26" ht="33" customHeight="1">
      <c r="A116" s="95"/>
      <c r="B116" s="96" t="s">
        <v>304</v>
      </c>
      <c r="C116" s="186" t="s">
        <v>305</v>
      </c>
      <c r="D116" s="164"/>
      <c r="E116" s="164"/>
      <c r="F116" s="164"/>
      <c r="G116" s="164"/>
      <c r="H116" s="164"/>
      <c r="I116" s="164"/>
      <c r="J116" s="164"/>
      <c r="K116" s="165"/>
      <c r="L116" s="59"/>
      <c r="M116" s="1"/>
      <c r="N116" s="1"/>
      <c r="O116" s="1"/>
      <c r="P116" s="1"/>
      <c r="Q116" s="1"/>
      <c r="R116" s="1"/>
      <c r="S116" s="1"/>
      <c r="T116" s="1"/>
      <c r="U116" s="1"/>
      <c r="V116" s="1"/>
      <c r="W116" s="1"/>
      <c r="X116" s="1"/>
      <c r="Y116" s="1"/>
      <c r="Z116" s="1"/>
    </row>
    <row r="117" spans="1:26" ht="26.25" customHeight="1">
      <c r="A117" s="97"/>
      <c r="B117" s="98" t="s">
        <v>403</v>
      </c>
      <c r="C117" s="187" t="s">
        <v>609</v>
      </c>
      <c r="D117" s="164"/>
      <c r="E117" s="164"/>
      <c r="F117" s="164"/>
      <c r="G117" s="164"/>
      <c r="H117" s="164"/>
      <c r="I117" s="164"/>
      <c r="J117" s="164"/>
      <c r="K117" s="188"/>
      <c r="L117" s="99"/>
      <c r="M117" s="1"/>
      <c r="N117" s="1"/>
      <c r="O117" s="1"/>
      <c r="P117" s="1"/>
      <c r="Q117" s="1"/>
      <c r="R117" s="1"/>
      <c r="S117" s="1"/>
      <c r="T117" s="1"/>
      <c r="U117" s="1"/>
      <c r="V117" s="1"/>
      <c r="W117" s="1"/>
      <c r="X117" s="1"/>
      <c r="Y117" s="1"/>
      <c r="Z117" s="1"/>
    </row>
    <row r="118" spans="1:26" ht="20.25" customHeight="1">
      <c r="A118" s="100"/>
      <c r="B118" s="101"/>
      <c r="C118" s="102"/>
      <c r="D118" s="58"/>
      <c r="E118" s="58"/>
      <c r="F118" s="58"/>
      <c r="G118" s="58"/>
      <c r="H118" s="103"/>
      <c r="I118" s="63"/>
      <c r="J118" s="63"/>
      <c r="K118" s="63"/>
      <c r="L118" s="63"/>
      <c r="M118" s="1"/>
      <c r="N118" s="1"/>
      <c r="O118" s="1"/>
      <c r="P118" s="1"/>
      <c r="Q118" s="1"/>
      <c r="R118" s="1"/>
      <c r="S118" s="1"/>
      <c r="T118" s="1"/>
      <c r="U118" s="1"/>
      <c r="V118" s="1"/>
      <c r="W118" s="1"/>
      <c r="X118" s="1"/>
      <c r="Y118" s="1"/>
      <c r="Z118" s="1"/>
    </row>
    <row r="119" spans="1:26" ht="20.25" customHeight="1">
      <c r="A119" s="88"/>
      <c r="B119" s="104" t="s">
        <v>100</v>
      </c>
      <c r="C119" s="90"/>
      <c r="D119" s="65">
        <v>891</v>
      </c>
      <c r="E119" s="65">
        <v>1141</v>
      </c>
      <c r="F119" s="65">
        <v>306</v>
      </c>
      <c r="G119" s="65">
        <v>372</v>
      </c>
      <c r="H119" s="63"/>
      <c r="I119" s="63"/>
      <c r="J119" s="63"/>
      <c r="K119" s="63"/>
      <c r="L119" s="63"/>
      <c r="M119" s="1"/>
      <c r="N119" s="1"/>
      <c r="O119" s="1"/>
      <c r="P119" s="1"/>
      <c r="Q119" s="1"/>
      <c r="R119" s="1"/>
      <c r="S119" s="1"/>
      <c r="T119" s="1"/>
      <c r="U119" s="1"/>
      <c r="V119" s="1"/>
      <c r="W119" s="1"/>
      <c r="X119" s="1"/>
      <c r="Y119" s="1"/>
      <c r="Z119" s="1"/>
    </row>
    <row r="120" spans="1:26" ht="20.25" customHeight="1">
      <c r="A120" s="88"/>
      <c r="B120" s="104" t="s">
        <v>102</v>
      </c>
      <c r="C120" s="90"/>
      <c r="D120" s="65">
        <v>67</v>
      </c>
      <c r="E120" s="65">
        <v>75</v>
      </c>
      <c r="F120" s="65">
        <v>23</v>
      </c>
      <c r="G120" s="65">
        <v>25</v>
      </c>
      <c r="H120" s="63"/>
      <c r="I120" s="63"/>
      <c r="J120" s="63"/>
      <c r="K120" s="63"/>
      <c r="L120" s="63"/>
      <c r="M120" s="1"/>
      <c r="N120" s="1"/>
      <c r="O120" s="1"/>
      <c r="P120" s="1"/>
      <c r="Q120" s="1"/>
      <c r="R120" s="1"/>
      <c r="S120" s="1"/>
      <c r="T120" s="1"/>
      <c r="U120" s="1"/>
      <c r="V120" s="1"/>
      <c r="W120" s="1"/>
      <c r="X120" s="1"/>
      <c r="Y120" s="1"/>
      <c r="Z120" s="1"/>
    </row>
    <row r="121" spans="1:26" ht="20.25" customHeight="1">
      <c r="A121" s="88"/>
      <c r="B121" s="104" t="s">
        <v>104</v>
      </c>
      <c r="C121" s="90"/>
      <c r="D121" s="65">
        <v>42</v>
      </c>
      <c r="E121" s="65">
        <v>58</v>
      </c>
      <c r="F121" s="65">
        <v>15</v>
      </c>
      <c r="G121" s="65">
        <v>19</v>
      </c>
      <c r="H121" s="63"/>
      <c r="I121" s="63"/>
      <c r="J121" s="63"/>
      <c r="K121" s="63"/>
      <c r="L121" s="63"/>
      <c r="M121" s="1"/>
      <c r="N121" s="1"/>
      <c r="O121" s="1"/>
      <c r="P121" s="1"/>
      <c r="Q121" s="1"/>
      <c r="R121" s="1"/>
      <c r="S121" s="1"/>
      <c r="T121" s="1"/>
      <c r="U121" s="1"/>
      <c r="V121" s="1"/>
      <c r="W121" s="1"/>
      <c r="X121" s="1"/>
      <c r="Y121" s="1"/>
      <c r="Z121" s="1"/>
    </row>
    <row r="122" spans="1:26" ht="20.25" customHeight="1">
      <c r="A122" s="88"/>
      <c r="B122" s="104" t="s">
        <v>106</v>
      </c>
      <c r="C122" s="90"/>
      <c r="D122" s="65">
        <v>23</v>
      </c>
      <c r="E122" s="65">
        <v>42</v>
      </c>
      <c r="F122" s="65">
        <v>8</v>
      </c>
      <c r="G122" s="65">
        <v>14</v>
      </c>
      <c r="H122" s="63"/>
      <c r="I122" s="63"/>
      <c r="J122" s="63"/>
      <c r="K122" s="63"/>
      <c r="L122" s="63"/>
      <c r="M122" s="1"/>
      <c r="N122" s="1"/>
      <c r="O122" s="1"/>
      <c r="P122" s="1"/>
      <c r="Q122" s="1"/>
      <c r="R122" s="1"/>
      <c r="S122" s="1"/>
      <c r="T122" s="1"/>
      <c r="U122" s="1"/>
      <c r="V122" s="1"/>
      <c r="W122" s="1"/>
      <c r="X122" s="1"/>
      <c r="Y122" s="1"/>
      <c r="Z122" s="1"/>
    </row>
    <row r="123" spans="1:26" ht="20.25" customHeight="1">
      <c r="A123" s="88"/>
      <c r="B123" s="104" t="s">
        <v>108</v>
      </c>
      <c r="C123" s="90"/>
      <c r="D123" s="65">
        <v>31</v>
      </c>
      <c r="E123" s="65">
        <v>42</v>
      </c>
      <c r="F123" s="65">
        <v>11</v>
      </c>
      <c r="G123" s="65">
        <v>14</v>
      </c>
      <c r="H123" s="63"/>
      <c r="I123" s="63"/>
      <c r="J123" s="63"/>
      <c r="K123" s="63"/>
      <c r="L123" s="63"/>
      <c r="M123" s="1"/>
      <c r="N123" s="1"/>
      <c r="O123" s="1"/>
      <c r="P123" s="1"/>
      <c r="Q123" s="1"/>
      <c r="R123" s="1"/>
      <c r="S123" s="1"/>
      <c r="T123" s="1"/>
      <c r="U123" s="1"/>
      <c r="V123" s="1"/>
      <c r="W123" s="1"/>
      <c r="X123" s="1"/>
      <c r="Y123" s="1"/>
      <c r="Z123" s="1"/>
    </row>
    <row r="124" spans="1:26" ht="20.25" customHeight="1">
      <c r="A124" s="88"/>
      <c r="B124" s="104" t="s">
        <v>110</v>
      </c>
      <c r="C124" s="90"/>
      <c r="D124" s="65">
        <v>23</v>
      </c>
      <c r="E124" s="65">
        <v>26</v>
      </c>
      <c r="F124" s="65">
        <v>8</v>
      </c>
      <c r="G124" s="65">
        <v>8</v>
      </c>
      <c r="H124" s="63"/>
      <c r="I124" s="63"/>
      <c r="J124" s="63"/>
      <c r="K124" s="63"/>
      <c r="L124" s="63"/>
      <c r="M124" s="1"/>
      <c r="N124" s="1"/>
      <c r="O124" s="1"/>
      <c r="P124" s="1"/>
      <c r="Q124" s="1"/>
      <c r="R124" s="1"/>
      <c r="S124" s="1"/>
      <c r="T124" s="1"/>
      <c r="U124" s="1"/>
      <c r="V124" s="1"/>
      <c r="W124" s="1"/>
      <c r="X124" s="1"/>
      <c r="Y124" s="1"/>
      <c r="Z124" s="1"/>
    </row>
    <row r="125" spans="1:26" ht="20.25" customHeight="1">
      <c r="A125" s="88"/>
      <c r="B125" s="104" t="s">
        <v>112</v>
      </c>
      <c r="C125" s="90"/>
      <c r="D125" s="65">
        <v>21</v>
      </c>
      <c r="E125" s="65">
        <v>29</v>
      </c>
      <c r="F125" s="65">
        <v>7</v>
      </c>
      <c r="G125" s="65">
        <v>9</v>
      </c>
      <c r="H125" s="63"/>
      <c r="I125" s="63"/>
      <c r="J125" s="63"/>
      <c r="K125" s="63"/>
      <c r="L125" s="63"/>
      <c r="M125" s="1"/>
      <c r="N125" s="1"/>
      <c r="O125" s="1"/>
      <c r="P125" s="1"/>
      <c r="Q125" s="1"/>
      <c r="R125" s="1"/>
      <c r="S125" s="1"/>
      <c r="T125" s="1"/>
      <c r="U125" s="1"/>
      <c r="V125" s="1"/>
      <c r="W125" s="1"/>
      <c r="X125" s="1"/>
      <c r="Y125" s="1"/>
      <c r="Z125" s="1"/>
    </row>
    <row r="126" spans="1:26" ht="20.25" customHeight="1">
      <c r="A126" s="88"/>
      <c r="B126" s="104" t="s">
        <v>114</v>
      </c>
      <c r="C126" s="90"/>
      <c r="D126" s="65">
        <v>24</v>
      </c>
      <c r="E126" s="65">
        <v>21</v>
      </c>
      <c r="F126" s="65">
        <v>8</v>
      </c>
      <c r="G126" s="65">
        <v>7</v>
      </c>
      <c r="H126" s="63"/>
      <c r="I126" s="63"/>
      <c r="J126" s="63"/>
      <c r="K126" s="63"/>
      <c r="L126" s="63"/>
      <c r="M126" s="1"/>
      <c r="N126" s="1"/>
      <c r="O126" s="1"/>
      <c r="P126" s="1"/>
      <c r="Q126" s="1"/>
      <c r="R126" s="1"/>
      <c r="S126" s="1"/>
      <c r="T126" s="1"/>
      <c r="U126" s="1"/>
      <c r="V126" s="1"/>
      <c r="W126" s="1"/>
      <c r="X126" s="1"/>
      <c r="Y126" s="1"/>
      <c r="Z126" s="1"/>
    </row>
    <row r="127" spans="1:26" ht="20.25" customHeight="1">
      <c r="A127" s="88"/>
      <c r="B127" s="104" t="s">
        <v>116</v>
      </c>
      <c r="C127" s="90"/>
      <c r="D127" s="65">
        <v>22</v>
      </c>
      <c r="E127" s="65">
        <v>26</v>
      </c>
      <c r="F127" s="65">
        <v>8</v>
      </c>
      <c r="G127" s="65">
        <v>9</v>
      </c>
      <c r="H127" s="63"/>
      <c r="I127" s="63"/>
      <c r="J127" s="63"/>
      <c r="K127" s="63"/>
      <c r="L127" s="63"/>
      <c r="M127" s="1"/>
      <c r="N127" s="1"/>
      <c r="O127" s="1"/>
      <c r="P127" s="1"/>
      <c r="Q127" s="1"/>
      <c r="R127" s="1"/>
      <c r="S127" s="1"/>
      <c r="T127" s="1"/>
      <c r="U127" s="1"/>
      <c r="V127" s="1"/>
      <c r="W127" s="1"/>
      <c r="X127" s="1"/>
      <c r="Y127" s="1"/>
      <c r="Z127" s="1"/>
    </row>
    <row r="128" spans="1:26" ht="20.25" customHeight="1">
      <c r="A128" s="88"/>
      <c r="B128" s="104" t="s">
        <v>118</v>
      </c>
      <c r="C128" s="90"/>
      <c r="D128" s="65">
        <v>15</v>
      </c>
      <c r="E128" s="65">
        <v>24</v>
      </c>
      <c r="F128" s="65">
        <v>5</v>
      </c>
      <c r="G128" s="65">
        <v>8</v>
      </c>
      <c r="H128" s="63"/>
      <c r="I128" s="63"/>
      <c r="J128" s="63"/>
      <c r="K128" s="63"/>
      <c r="L128" s="63"/>
      <c r="M128" s="1"/>
      <c r="N128" s="1"/>
      <c r="O128" s="1"/>
      <c r="P128" s="1"/>
      <c r="Q128" s="1"/>
      <c r="R128" s="1"/>
      <c r="S128" s="1"/>
      <c r="T128" s="1"/>
      <c r="U128" s="1"/>
      <c r="V128" s="1"/>
      <c r="W128" s="1"/>
      <c r="X128" s="1"/>
      <c r="Y128" s="1"/>
      <c r="Z128" s="1"/>
    </row>
    <row r="129" spans="1:26" ht="20.25" customHeight="1">
      <c r="A129" s="88"/>
      <c r="B129" s="104" t="s">
        <v>120</v>
      </c>
      <c r="C129" s="90"/>
      <c r="D129" s="65">
        <v>28</v>
      </c>
      <c r="E129" s="65">
        <v>28</v>
      </c>
      <c r="F129" s="65">
        <v>9</v>
      </c>
      <c r="G129" s="65">
        <v>9</v>
      </c>
      <c r="H129" s="63"/>
      <c r="I129" s="63"/>
      <c r="J129" s="63"/>
      <c r="K129" s="63"/>
      <c r="L129" s="63"/>
      <c r="M129" s="1"/>
      <c r="N129" s="1"/>
      <c r="O129" s="1"/>
      <c r="P129" s="1"/>
      <c r="Q129" s="1"/>
      <c r="R129" s="1"/>
      <c r="S129" s="1"/>
      <c r="T129" s="1"/>
      <c r="U129" s="1"/>
      <c r="V129" s="1"/>
      <c r="W129" s="1"/>
      <c r="X129" s="1"/>
      <c r="Y129" s="1"/>
      <c r="Z129" s="1"/>
    </row>
    <row r="130" spans="1:26" ht="20.25" customHeight="1">
      <c r="A130" s="88"/>
      <c r="B130" s="104" t="s">
        <v>122</v>
      </c>
      <c r="C130" s="90"/>
      <c r="D130" s="65">
        <v>20</v>
      </c>
      <c r="E130" s="65">
        <v>26</v>
      </c>
      <c r="F130" s="65">
        <v>7</v>
      </c>
      <c r="G130" s="65">
        <v>9</v>
      </c>
      <c r="H130" s="63"/>
      <c r="I130" s="63"/>
      <c r="J130" s="63"/>
      <c r="K130" s="63"/>
      <c r="L130" s="63"/>
      <c r="M130" s="1"/>
      <c r="N130" s="1"/>
      <c r="O130" s="1"/>
      <c r="P130" s="1"/>
      <c r="Q130" s="1"/>
      <c r="R130" s="1"/>
      <c r="S130" s="1"/>
      <c r="T130" s="1"/>
      <c r="U130" s="1"/>
      <c r="V130" s="1"/>
      <c r="W130" s="1"/>
      <c r="X130" s="1"/>
      <c r="Y130" s="1"/>
      <c r="Z130" s="1"/>
    </row>
    <row r="131" spans="1:26" ht="20.25" customHeight="1">
      <c r="A131" s="88"/>
      <c r="B131" s="104" t="s">
        <v>124</v>
      </c>
      <c r="C131" s="90"/>
      <c r="D131" s="65">
        <v>19</v>
      </c>
      <c r="E131" s="65">
        <v>36</v>
      </c>
      <c r="F131" s="65">
        <v>7</v>
      </c>
      <c r="G131" s="65">
        <v>12</v>
      </c>
      <c r="H131" s="63"/>
      <c r="I131" s="63"/>
      <c r="J131" s="63"/>
      <c r="K131" s="63"/>
      <c r="L131" s="63"/>
      <c r="M131" s="1"/>
      <c r="N131" s="1"/>
      <c r="O131" s="1"/>
      <c r="P131" s="1"/>
      <c r="Q131" s="1"/>
      <c r="R131" s="1"/>
      <c r="S131" s="1"/>
      <c r="T131" s="1"/>
      <c r="U131" s="1"/>
      <c r="V131" s="1"/>
      <c r="W131" s="1"/>
      <c r="X131" s="1"/>
      <c r="Y131" s="1"/>
      <c r="Z131" s="1"/>
    </row>
    <row r="132" spans="1:26" ht="20.25" customHeight="1">
      <c r="A132" s="88"/>
      <c r="B132" s="104" t="s">
        <v>126</v>
      </c>
      <c r="C132" s="90"/>
      <c r="D132" s="65">
        <v>36</v>
      </c>
      <c r="E132" s="65">
        <v>43</v>
      </c>
      <c r="F132" s="65">
        <v>12</v>
      </c>
      <c r="G132" s="65">
        <v>14</v>
      </c>
      <c r="H132" s="63"/>
      <c r="I132" s="63"/>
      <c r="J132" s="63"/>
      <c r="K132" s="63"/>
      <c r="L132" s="63"/>
      <c r="M132" s="1"/>
      <c r="N132" s="1"/>
      <c r="O132" s="1"/>
      <c r="P132" s="1"/>
      <c r="Q132" s="1"/>
      <c r="R132" s="1"/>
      <c r="S132" s="1"/>
      <c r="T132" s="1"/>
      <c r="U132" s="1"/>
      <c r="V132" s="1"/>
      <c r="W132" s="1"/>
      <c r="X132" s="1"/>
      <c r="Y132" s="1"/>
      <c r="Z132" s="1"/>
    </row>
    <row r="133" spans="1:26" ht="20.25" customHeight="1">
      <c r="A133" s="88"/>
      <c r="B133" s="104" t="s">
        <v>128</v>
      </c>
      <c r="C133" s="90"/>
      <c r="D133" s="65">
        <v>36</v>
      </c>
      <c r="E133" s="65">
        <v>39</v>
      </c>
      <c r="F133" s="65">
        <v>13</v>
      </c>
      <c r="G133" s="65">
        <v>13</v>
      </c>
      <c r="H133" s="63"/>
      <c r="I133" s="63"/>
      <c r="J133" s="63"/>
      <c r="K133" s="63"/>
      <c r="L133" s="63"/>
      <c r="M133" s="1"/>
      <c r="N133" s="1"/>
      <c r="O133" s="1"/>
      <c r="P133" s="1"/>
      <c r="Q133" s="1"/>
      <c r="R133" s="1"/>
      <c r="S133" s="1"/>
      <c r="T133" s="1"/>
      <c r="U133" s="1"/>
      <c r="V133" s="1"/>
      <c r="W133" s="1"/>
      <c r="X133" s="1"/>
      <c r="Y133" s="1"/>
      <c r="Z133" s="1"/>
    </row>
    <row r="134" spans="1:26" ht="20.25" customHeight="1">
      <c r="A134" s="88"/>
      <c r="B134" s="104" t="s">
        <v>130</v>
      </c>
      <c r="C134" s="90"/>
      <c r="D134" s="65">
        <v>44</v>
      </c>
      <c r="E134" s="65">
        <v>62</v>
      </c>
      <c r="F134" s="65">
        <v>15</v>
      </c>
      <c r="G134" s="65">
        <v>20</v>
      </c>
      <c r="H134" s="63"/>
      <c r="I134" s="63"/>
      <c r="J134" s="63"/>
      <c r="K134" s="63"/>
      <c r="L134" s="63"/>
      <c r="M134" s="1"/>
      <c r="N134" s="1"/>
      <c r="O134" s="1"/>
      <c r="P134" s="1"/>
      <c r="Q134" s="1"/>
      <c r="R134" s="1"/>
      <c r="S134" s="1"/>
      <c r="T134" s="1"/>
      <c r="U134" s="1"/>
      <c r="V134" s="1"/>
      <c r="W134" s="1"/>
      <c r="X134" s="1"/>
      <c r="Y134" s="1"/>
      <c r="Z134" s="1"/>
    </row>
    <row r="135" spans="1:26" ht="20.25" customHeight="1">
      <c r="A135" s="88"/>
      <c r="B135" s="104" t="s">
        <v>132</v>
      </c>
      <c r="C135" s="90"/>
      <c r="D135" s="65">
        <v>46</v>
      </c>
      <c r="E135" s="65">
        <v>82</v>
      </c>
      <c r="F135" s="65">
        <v>16</v>
      </c>
      <c r="G135" s="65">
        <v>27</v>
      </c>
      <c r="H135" s="63"/>
      <c r="I135" s="63"/>
      <c r="J135" s="63"/>
      <c r="K135" s="63"/>
      <c r="L135" s="63"/>
      <c r="M135" s="1"/>
      <c r="N135" s="1"/>
      <c r="O135" s="1"/>
      <c r="P135" s="1"/>
      <c r="Q135" s="1"/>
      <c r="R135" s="1"/>
      <c r="S135" s="1"/>
      <c r="T135" s="1"/>
      <c r="U135" s="1"/>
      <c r="V135" s="1"/>
      <c r="W135" s="1"/>
      <c r="X135" s="1"/>
      <c r="Y135" s="1"/>
      <c r="Z135" s="1"/>
    </row>
    <row r="136" spans="1:26" ht="20.25" customHeight="1">
      <c r="A136" s="88"/>
      <c r="B136" s="104" t="s">
        <v>134</v>
      </c>
      <c r="C136" s="90"/>
      <c r="D136" s="65">
        <v>37</v>
      </c>
      <c r="E136" s="65">
        <v>106</v>
      </c>
      <c r="F136" s="65">
        <v>13</v>
      </c>
      <c r="G136" s="65">
        <v>35</v>
      </c>
      <c r="H136" s="63"/>
      <c r="I136" s="63"/>
      <c r="J136" s="63"/>
      <c r="K136" s="63"/>
      <c r="L136" s="63"/>
      <c r="M136" s="1"/>
      <c r="N136" s="1"/>
      <c r="O136" s="1"/>
      <c r="P136" s="1"/>
      <c r="Q136" s="1"/>
      <c r="R136" s="1"/>
      <c r="S136" s="1"/>
      <c r="T136" s="1"/>
      <c r="U136" s="1"/>
      <c r="V136" s="1"/>
      <c r="W136" s="1"/>
      <c r="X136" s="1"/>
      <c r="Y136" s="1"/>
      <c r="Z136" s="1"/>
    </row>
    <row r="137" spans="1:26" ht="20.25" customHeight="1">
      <c r="A137" s="88"/>
      <c r="B137" s="104" t="s">
        <v>136</v>
      </c>
      <c r="C137" s="90"/>
      <c r="D137" s="65">
        <v>62</v>
      </c>
      <c r="E137" s="65">
        <v>152</v>
      </c>
      <c r="F137" s="65">
        <v>21</v>
      </c>
      <c r="G137" s="65">
        <v>49</v>
      </c>
      <c r="H137" s="63"/>
      <c r="I137" s="63"/>
      <c r="J137" s="63"/>
      <c r="K137" s="63"/>
      <c r="L137" s="63"/>
      <c r="M137" s="1"/>
      <c r="N137" s="1"/>
      <c r="O137" s="1"/>
      <c r="P137" s="1"/>
      <c r="Q137" s="1"/>
      <c r="R137" s="1"/>
      <c r="S137" s="1"/>
      <c r="T137" s="1"/>
      <c r="U137" s="1"/>
      <c r="V137" s="1"/>
      <c r="W137" s="1"/>
      <c r="X137" s="1"/>
      <c r="Y137" s="1"/>
      <c r="Z137" s="1"/>
    </row>
    <row r="138" spans="1:26" ht="20.25" customHeight="1">
      <c r="A138" s="88"/>
      <c r="B138" s="104" t="s">
        <v>138</v>
      </c>
      <c r="C138" s="90"/>
      <c r="D138" s="65">
        <v>70</v>
      </c>
      <c r="E138" s="65">
        <v>155</v>
      </c>
      <c r="F138" s="65">
        <v>24</v>
      </c>
      <c r="G138" s="65">
        <v>50</v>
      </c>
      <c r="H138" s="63"/>
      <c r="I138" s="63"/>
      <c r="J138" s="63"/>
      <c r="K138" s="63"/>
      <c r="L138" s="63"/>
      <c r="M138" s="1"/>
      <c r="N138" s="1"/>
      <c r="O138" s="1"/>
      <c r="P138" s="1"/>
      <c r="Q138" s="1"/>
      <c r="R138" s="1"/>
      <c r="S138" s="1"/>
      <c r="T138" s="1"/>
      <c r="U138" s="1"/>
      <c r="V138" s="1"/>
      <c r="W138" s="1"/>
      <c r="X138" s="1"/>
      <c r="Y138" s="1"/>
      <c r="Z138" s="1"/>
    </row>
    <row r="139" spans="1:26" ht="20.25" customHeight="1">
      <c r="A139" s="88"/>
      <c r="B139" s="104" t="s">
        <v>140</v>
      </c>
      <c r="C139" s="90"/>
      <c r="D139" s="65">
        <v>73</v>
      </c>
      <c r="E139" s="65">
        <v>152</v>
      </c>
      <c r="F139" s="65">
        <v>25</v>
      </c>
      <c r="G139" s="65">
        <v>49</v>
      </c>
      <c r="H139" s="63"/>
      <c r="I139" s="63"/>
      <c r="J139" s="63"/>
      <c r="K139" s="63"/>
      <c r="L139" s="63"/>
      <c r="M139" s="1"/>
      <c r="N139" s="1"/>
      <c r="O139" s="1"/>
      <c r="P139" s="1"/>
      <c r="Q139" s="1"/>
      <c r="R139" s="1"/>
      <c r="S139" s="1"/>
      <c r="T139" s="1"/>
      <c r="U139" s="1"/>
      <c r="V139" s="1"/>
      <c r="W139" s="1"/>
      <c r="X139" s="1"/>
      <c r="Y139" s="1"/>
      <c r="Z139" s="1"/>
    </row>
    <row r="140" spans="1:26" ht="20.25" customHeight="1">
      <c r="A140" s="88"/>
      <c r="B140" s="104" t="s">
        <v>142</v>
      </c>
      <c r="C140" s="90"/>
      <c r="D140" s="65">
        <v>57</v>
      </c>
      <c r="E140" s="65">
        <v>204</v>
      </c>
      <c r="F140" s="65">
        <v>19</v>
      </c>
      <c r="G140" s="65">
        <v>67</v>
      </c>
      <c r="H140" s="63"/>
      <c r="I140" s="63"/>
      <c r="J140" s="63"/>
      <c r="K140" s="63"/>
      <c r="L140" s="63"/>
      <c r="M140" s="1"/>
      <c r="N140" s="1"/>
      <c r="O140" s="1"/>
      <c r="P140" s="1"/>
      <c r="Q140" s="1"/>
      <c r="R140" s="1"/>
      <c r="S140" s="1"/>
      <c r="T140" s="1"/>
      <c r="U140" s="1"/>
      <c r="V140" s="1"/>
      <c r="W140" s="1"/>
      <c r="X140" s="1"/>
      <c r="Y140" s="1"/>
      <c r="Z140" s="1"/>
    </row>
    <row r="141" spans="1:26" ht="20.25" customHeight="1">
      <c r="A141" s="88"/>
      <c r="B141" s="104" t="s">
        <v>144</v>
      </c>
      <c r="C141" s="90"/>
      <c r="D141" s="65">
        <v>65</v>
      </c>
      <c r="E141" s="65">
        <v>187</v>
      </c>
      <c r="F141" s="65">
        <v>22</v>
      </c>
      <c r="G141" s="65">
        <v>61</v>
      </c>
      <c r="H141" s="63"/>
      <c r="I141" s="63"/>
      <c r="J141" s="63"/>
      <c r="K141" s="63"/>
      <c r="L141" s="63"/>
      <c r="M141" s="1"/>
      <c r="N141" s="1"/>
      <c r="O141" s="1"/>
      <c r="P141" s="1"/>
      <c r="Q141" s="1"/>
      <c r="R141" s="1"/>
      <c r="S141" s="1"/>
      <c r="T141" s="1"/>
      <c r="U141" s="1"/>
      <c r="V141" s="1"/>
      <c r="W141" s="1"/>
      <c r="X141" s="1"/>
      <c r="Y141" s="1"/>
      <c r="Z141" s="1"/>
    </row>
    <row r="142" spans="1:26" ht="20.25" customHeight="1">
      <c r="A142" s="88"/>
      <c r="B142" s="104" t="s">
        <v>146</v>
      </c>
      <c r="C142" s="90"/>
      <c r="D142" s="65">
        <v>64</v>
      </c>
      <c r="E142" s="65">
        <v>192</v>
      </c>
      <c r="F142" s="65">
        <v>21</v>
      </c>
      <c r="G142" s="65">
        <v>64</v>
      </c>
      <c r="H142" s="63"/>
      <c r="I142" s="63"/>
      <c r="J142" s="63"/>
      <c r="K142" s="63"/>
      <c r="L142" s="63"/>
      <c r="M142" s="1"/>
      <c r="N142" s="1"/>
      <c r="O142" s="1"/>
      <c r="P142" s="1"/>
      <c r="Q142" s="1"/>
      <c r="R142" s="1"/>
      <c r="S142" s="1"/>
      <c r="T142" s="1"/>
      <c r="U142" s="1"/>
      <c r="V142" s="1"/>
      <c r="W142" s="1"/>
      <c r="X142" s="1"/>
      <c r="Y142" s="1"/>
      <c r="Z142" s="1"/>
    </row>
    <row r="143" spans="1:26" ht="20.25" customHeight="1">
      <c r="A143" s="88"/>
      <c r="B143" s="104" t="s">
        <v>148</v>
      </c>
      <c r="C143" s="90"/>
      <c r="D143" s="65">
        <v>56</v>
      </c>
      <c r="E143" s="65">
        <v>182</v>
      </c>
      <c r="F143" s="65">
        <v>19</v>
      </c>
      <c r="G143" s="65">
        <v>60</v>
      </c>
      <c r="H143" s="63"/>
      <c r="I143" s="63"/>
      <c r="J143" s="63"/>
      <c r="K143" s="63"/>
      <c r="L143" s="63"/>
      <c r="M143" s="1"/>
      <c r="N143" s="1"/>
      <c r="O143" s="1"/>
      <c r="P143" s="1"/>
      <c r="Q143" s="1"/>
      <c r="R143" s="1"/>
      <c r="S143" s="1"/>
      <c r="T143" s="1"/>
      <c r="U143" s="1"/>
      <c r="V143" s="1"/>
      <c r="W143" s="1"/>
      <c r="X143" s="1"/>
      <c r="Y143" s="1"/>
      <c r="Z143" s="1"/>
    </row>
    <row r="144" spans="1:26" ht="20.25" customHeight="1">
      <c r="A144" s="88"/>
      <c r="B144" s="104" t="s">
        <v>150</v>
      </c>
      <c r="C144" s="90"/>
      <c r="D144" s="65">
        <v>77</v>
      </c>
      <c r="E144" s="65">
        <v>166</v>
      </c>
      <c r="F144" s="65">
        <v>26</v>
      </c>
      <c r="G144" s="65">
        <v>51</v>
      </c>
      <c r="H144" s="63"/>
      <c r="I144" s="63"/>
      <c r="J144" s="63"/>
      <c r="K144" s="63"/>
      <c r="L144" s="63"/>
      <c r="M144" s="1"/>
      <c r="N144" s="1"/>
      <c r="O144" s="1"/>
      <c r="P144" s="1"/>
      <c r="Q144" s="1"/>
      <c r="R144" s="1"/>
      <c r="S144" s="1"/>
      <c r="T144" s="1"/>
      <c r="U144" s="1"/>
      <c r="V144" s="1"/>
      <c r="W144" s="1"/>
      <c r="X144" s="1"/>
      <c r="Y144" s="1"/>
      <c r="Z144" s="1"/>
    </row>
    <row r="145" spans="1:26" ht="20.25" customHeight="1">
      <c r="A145" s="88"/>
      <c r="B145" s="104" t="s">
        <v>152</v>
      </c>
      <c r="C145" s="90"/>
      <c r="D145" s="65">
        <v>71</v>
      </c>
      <c r="E145" s="65">
        <v>211</v>
      </c>
      <c r="F145" s="65">
        <v>23</v>
      </c>
      <c r="G145" s="65">
        <v>66</v>
      </c>
      <c r="H145" s="63"/>
      <c r="I145" s="63"/>
      <c r="J145" s="63"/>
      <c r="K145" s="63"/>
      <c r="L145" s="63"/>
      <c r="M145" s="1"/>
      <c r="N145" s="1"/>
      <c r="O145" s="1"/>
      <c r="P145" s="1"/>
      <c r="Q145" s="1"/>
      <c r="R145" s="1"/>
      <c r="S145" s="1"/>
      <c r="T145" s="1"/>
      <c r="U145" s="1"/>
      <c r="V145" s="1"/>
      <c r="W145" s="1"/>
      <c r="X145" s="1"/>
      <c r="Y145" s="1"/>
      <c r="Z145" s="1"/>
    </row>
    <row r="146" spans="1:26" ht="20.25" customHeight="1">
      <c r="A146" s="88"/>
      <c r="B146" s="104" t="s">
        <v>154</v>
      </c>
      <c r="C146" s="90"/>
      <c r="D146" s="65">
        <v>71</v>
      </c>
      <c r="E146" s="65">
        <v>209</v>
      </c>
      <c r="F146" s="65">
        <v>24</v>
      </c>
      <c r="G146" s="65">
        <v>66</v>
      </c>
      <c r="H146" s="63"/>
      <c r="I146" s="63"/>
      <c r="J146" s="63"/>
      <c r="K146" s="63"/>
      <c r="L146" s="63"/>
      <c r="M146" s="1"/>
      <c r="N146" s="1"/>
      <c r="O146" s="1"/>
      <c r="P146" s="1"/>
      <c r="Q146" s="1"/>
      <c r="R146" s="1"/>
      <c r="S146" s="1"/>
      <c r="T146" s="1"/>
      <c r="U146" s="1"/>
      <c r="V146" s="1"/>
      <c r="W146" s="1"/>
      <c r="X146" s="1"/>
      <c r="Y146" s="1"/>
      <c r="Z146" s="1"/>
    </row>
    <row r="147" spans="1:26" ht="20.25" customHeight="1">
      <c r="A147" s="88"/>
      <c r="B147" s="104" t="s">
        <v>156</v>
      </c>
      <c r="C147" s="90"/>
      <c r="D147" s="65">
        <v>76</v>
      </c>
      <c r="E147" s="65">
        <v>241</v>
      </c>
      <c r="F147" s="65">
        <v>25</v>
      </c>
      <c r="G147" s="65">
        <v>75</v>
      </c>
      <c r="H147" s="63"/>
      <c r="I147" s="63"/>
      <c r="J147" s="63"/>
      <c r="K147" s="63"/>
      <c r="L147" s="63"/>
      <c r="M147" s="1"/>
      <c r="N147" s="1"/>
      <c r="O147" s="1"/>
      <c r="P147" s="1"/>
      <c r="Q147" s="1"/>
      <c r="R147" s="1"/>
      <c r="S147" s="1"/>
      <c r="T147" s="1"/>
      <c r="U147" s="1"/>
      <c r="V147" s="1"/>
      <c r="W147" s="1"/>
      <c r="X147" s="1"/>
      <c r="Y147" s="1"/>
      <c r="Z147" s="1"/>
    </row>
    <row r="148" spans="1:26" ht="20.25" customHeight="1">
      <c r="A148" s="88"/>
      <c r="B148" s="104" t="s">
        <v>158</v>
      </c>
      <c r="C148" s="90"/>
      <c r="D148" s="65">
        <v>85</v>
      </c>
      <c r="E148" s="65">
        <v>224</v>
      </c>
      <c r="F148" s="65">
        <v>28</v>
      </c>
      <c r="G148" s="65">
        <v>71</v>
      </c>
      <c r="H148" s="63"/>
      <c r="I148" s="63"/>
      <c r="J148" s="63"/>
      <c r="K148" s="63"/>
      <c r="L148" s="63"/>
      <c r="M148" s="1"/>
      <c r="N148" s="1"/>
      <c r="O148" s="1"/>
      <c r="P148" s="1"/>
      <c r="Q148" s="1"/>
      <c r="R148" s="1"/>
      <c r="S148" s="1"/>
      <c r="T148" s="1"/>
      <c r="U148" s="1"/>
      <c r="V148" s="1"/>
      <c r="W148" s="1"/>
      <c r="X148" s="1"/>
      <c r="Y148" s="1"/>
      <c r="Z148" s="1"/>
    </row>
    <row r="149" spans="1:26" ht="20.25" customHeight="1">
      <c r="A149" s="88"/>
      <c r="B149" s="104" t="s">
        <v>160</v>
      </c>
      <c r="C149" s="90"/>
      <c r="D149" s="65">
        <v>87</v>
      </c>
      <c r="E149" s="65">
        <v>225</v>
      </c>
      <c r="F149" s="65">
        <v>28</v>
      </c>
      <c r="G149" s="65">
        <v>71</v>
      </c>
      <c r="H149" s="63"/>
      <c r="I149" s="63"/>
      <c r="J149" s="63"/>
      <c r="K149" s="63"/>
      <c r="L149" s="63"/>
      <c r="M149" s="1"/>
      <c r="N149" s="1"/>
      <c r="O149" s="1"/>
      <c r="P149" s="1"/>
      <c r="Q149" s="1"/>
      <c r="R149" s="1"/>
      <c r="S149" s="1"/>
      <c r="T149" s="1"/>
      <c r="U149" s="1"/>
      <c r="V149" s="1"/>
      <c r="W149" s="1"/>
      <c r="X149" s="1"/>
      <c r="Y149" s="1"/>
      <c r="Z149" s="1"/>
    </row>
    <row r="150" spans="1:26" ht="20.25" customHeight="1">
      <c r="A150" s="88"/>
      <c r="B150" s="104" t="s">
        <v>162</v>
      </c>
      <c r="C150" s="90"/>
      <c r="D150" s="65">
        <v>90</v>
      </c>
      <c r="E150" s="65">
        <v>237</v>
      </c>
      <c r="F150" s="65">
        <v>29</v>
      </c>
      <c r="G150" s="65">
        <v>75</v>
      </c>
      <c r="H150" s="63"/>
      <c r="I150" s="63"/>
      <c r="J150" s="63"/>
      <c r="K150" s="63"/>
      <c r="L150" s="63"/>
      <c r="M150" s="1"/>
      <c r="N150" s="1"/>
      <c r="O150" s="1"/>
      <c r="P150" s="1"/>
      <c r="Q150" s="1"/>
      <c r="R150" s="1"/>
      <c r="S150" s="1"/>
      <c r="T150" s="1"/>
      <c r="U150" s="1"/>
      <c r="V150" s="1"/>
      <c r="W150" s="1"/>
      <c r="X150" s="1"/>
      <c r="Y150" s="1"/>
      <c r="Z150" s="1"/>
    </row>
    <row r="151" spans="1:26" ht="20.25" customHeight="1">
      <c r="A151" s="88"/>
      <c r="B151" s="104" t="s">
        <v>164</v>
      </c>
      <c r="C151" s="90"/>
      <c r="D151" s="65">
        <v>109</v>
      </c>
      <c r="E151" s="65">
        <v>249</v>
      </c>
      <c r="F151" s="65">
        <v>35</v>
      </c>
      <c r="G151" s="65">
        <v>78</v>
      </c>
      <c r="H151" s="63"/>
      <c r="I151" s="63"/>
      <c r="J151" s="63"/>
      <c r="K151" s="63"/>
      <c r="L151" s="63"/>
      <c r="M151" s="1"/>
      <c r="N151" s="1"/>
      <c r="O151" s="1"/>
      <c r="P151" s="1"/>
      <c r="Q151" s="1"/>
      <c r="R151" s="1"/>
      <c r="S151" s="1"/>
      <c r="T151" s="1"/>
      <c r="U151" s="1"/>
      <c r="V151" s="1"/>
      <c r="W151" s="1"/>
      <c r="X151" s="1"/>
      <c r="Y151" s="1"/>
      <c r="Z151" s="1"/>
    </row>
    <row r="152" spans="1:26" ht="20.25" customHeight="1">
      <c r="A152" s="88"/>
      <c r="B152" s="104" t="s">
        <v>166</v>
      </c>
      <c r="C152" s="90"/>
      <c r="D152" s="65">
        <v>119</v>
      </c>
      <c r="E152" s="65">
        <v>262</v>
      </c>
      <c r="F152" s="65">
        <v>39</v>
      </c>
      <c r="G152" s="65">
        <v>83</v>
      </c>
      <c r="H152" s="63"/>
      <c r="I152" s="63"/>
      <c r="J152" s="63"/>
      <c r="K152" s="63"/>
      <c r="L152" s="63"/>
      <c r="M152" s="1"/>
      <c r="N152" s="1"/>
      <c r="O152" s="1"/>
      <c r="P152" s="1"/>
      <c r="Q152" s="1"/>
      <c r="R152" s="1"/>
      <c r="S152" s="1"/>
      <c r="T152" s="1"/>
      <c r="U152" s="1"/>
      <c r="V152" s="1"/>
      <c r="W152" s="1"/>
      <c r="X152" s="1"/>
      <c r="Y152" s="1"/>
      <c r="Z152" s="1"/>
    </row>
    <row r="153" spans="1:26" ht="20.25" customHeight="1">
      <c r="A153" s="88"/>
      <c r="B153" s="104" t="s">
        <v>168</v>
      </c>
      <c r="C153" s="90"/>
      <c r="D153" s="65">
        <v>116</v>
      </c>
      <c r="E153" s="65">
        <v>297</v>
      </c>
      <c r="F153" s="65">
        <v>38</v>
      </c>
      <c r="G153" s="65">
        <v>94</v>
      </c>
      <c r="H153" s="63"/>
      <c r="I153" s="63"/>
      <c r="J153" s="63"/>
      <c r="K153" s="63"/>
      <c r="L153" s="63"/>
      <c r="M153" s="1"/>
      <c r="N153" s="1"/>
      <c r="O153" s="1"/>
      <c r="P153" s="1"/>
      <c r="Q153" s="1"/>
      <c r="R153" s="1"/>
      <c r="S153" s="1"/>
      <c r="T153" s="1"/>
      <c r="U153" s="1"/>
      <c r="V153" s="1"/>
      <c r="W153" s="1"/>
      <c r="X153" s="1"/>
      <c r="Y153" s="1"/>
      <c r="Z153" s="1"/>
    </row>
    <row r="154" spans="1:26" ht="20.25" customHeight="1">
      <c r="A154" s="88"/>
      <c r="B154" s="104" t="s">
        <v>170</v>
      </c>
      <c r="C154" s="90"/>
      <c r="D154" s="65">
        <v>126</v>
      </c>
      <c r="E154" s="65">
        <v>321</v>
      </c>
      <c r="F154" s="65">
        <v>41</v>
      </c>
      <c r="G154" s="65">
        <v>101</v>
      </c>
      <c r="H154" s="63"/>
      <c r="I154" s="63"/>
      <c r="J154" s="63"/>
      <c r="K154" s="63"/>
      <c r="L154" s="63"/>
      <c r="M154" s="1"/>
      <c r="N154" s="1"/>
      <c r="O154" s="1"/>
      <c r="P154" s="1"/>
      <c r="Q154" s="1"/>
      <c r="R154" s="1"/>
      <c r="S154" s="1"/>
      <c r="T154" s="1"/>
      <c r="U154" s="1"/>
      <c r="V154" s="1"/>
      <c r="W154" s="1"/>
      <c r="X154" s="1"/>
      <c r="Y154" s="1"/>
      <c r="Z154" s="1"/>
    </row>
    <row r="155" spans="1:26" ht="20.25" customHeight="1">
      <c r="A155" s="88"/>
      <c r="B155" s="104" t="s">
        <v>172</v>
      </c>
      <c r="C155" s="90"/>
      <c r="D155" s="65">
        <v>163</v>
      </c>
      <c r="E155" s="65">
        <v>365</v>
      </c>
      <c r="F155" s="65">
        <v>53</v>
      </c>
      <c r="G155" s="65">
        <v>115</v>
      </c>
      <c r="H155" s="63"/>
      <c r="I155" s="63"/>
      <c r="J155" s="63"/>
      <c r="K155" s="63"/>
      <c r="L155" s="63"/>
      <c r="M155" s="1"/>
      <c r="N155" s="1"/>
      <c r="O155" s="1"/>
      <c r="P155" s="1"/>
      <c r="Q155" s="1"/>
      <c r="R155" s="1"/>
      <c r="S155" s="1"/>
      <c r="T155" s="1"/>
      <c r="U155" s="1"/>
      <c r="V155" s="1"/>
      <c r="W155" s="1"/>
      <c r="X155" s="1"/>
      <c r="Y155" s="1"/>
      <c r="Z155" s="1"/>
    </row>
    <row r="156" spans="1:26" ht="20.25" customHeight="1">
      <c r="A156" s="88"/>
      <c r="B156" s="104" t="s">
        <v>174</v>
      </c>
      <c r="C156" s="90"/>
      <c r="D156" s="65">
        <v>175</v>
      </c>
      <c r="E156" s="65">
        <v>374</v>
      </c>
      <c r="F156" s="65">
        <v>57</v>
      </c>
      <c r="G156" s="65">
        <v>118</v>
      </c>
      <c r="H156" s="63"/>
      <c r="I156" s="63"/>
      <c r="J156" s="63"/>
      <c r="K156" s="63"/>
      <c r="L156" s="63"/>
      <c r="M156" s="1"/>
      <c r="N156" s="1"/>
      <c r="O156" s="1"/>
      <c r="P156" s="1"/>
      <c r="Q156" s="1"/>
      <c r="R156" s="1"/>
      <c r="S156" s="1"/>
      <c r="T156" s="1"/>
      <c r="U156" s="1"/>
      <c r="V156" s="1"/>
      <c r="W156" s="1"/>
      <c r="X156" s="1"/>
      <c r="Y156" s="1"/>
      <c r="Z156" s="1"/>
    </row>
    <row r="157" spans="1:26" ht="20.25" customHeight="1">
      <c r="A157" s="88"/>
      <c r="B157" s="104" t="s">
        <v>176</v>
      </c>
      <c r="C157" s="90"/>
      <c r="D157" s="65">
        <v>181</v>
      </c>
      <c r="E157" s="65">
        <v>406</v>
      </c>
      <c r="F157" s="65">
        <v>59</v>
      </c>
      <c r="G157" s="65">
        <v>129</v>
      </c>
      <c r="H157" s="63"/>
      <c r="I157" s="63"/>
      <c r="J157" s="63"/>
      <c r="K157" s="63"/>
      <c r="L157" s="63"/>
      <c r="M157" s="1"/>
      <c r="N157" s="1"/>
      <c r="O157" s="1"/>
      <c r="P157" s="1"/>
      <c r="Q157" s="1"/>
      <c r="R157" s="1"/>
      <c r="S157" s="1"/>
      <c r="T157" s="1"/>
      <c r="U157" s="1"/>
      <c r="V157" s="1"/>
      <c r="W157" s="1"/>
      <c r="X157" s="1"/>
      <c r="Y157" s="1"/>
      <c r="Z157" s="1"/>
    </row>
    <row r="158" spans="1:26" ht="20.25" customHeight="1">
      <c r="A158" s="88"/>
      <c r="B158" s="104" t="s">
        <v>178</v>
      </c>
      <c r="C158" s="90"/>
      <c r="D158" s="65">
        <v>213</v>
      </c>
      <c r="E158" s="65">
        <v>449</v>
      </c>
      <c r="F158" s="65">
        <v>70</v>
      </c>
      <c r="G158" s="65">
        <v>142</v>
      </c>
      <c r="H158" s="63"/>
      <c r="I158" s="63"/>
      <c r="J158" s="63"/>
      <c r="K158" s="63"/>
      <c r="L158" s="63"/>
      <c r="M158" s="1"/>
      <c r="N158" s="1"/>
      <c r="O158" s="1"/>
      <c r="P158" s="1"/>
      <c r="Q158" s="1"/>
      <c r="R158" s="1"/>
      <c r="S158" s="1"/>
      <c r="T158" s="1"/>
      <c r="U158" s="1"/>
      <c r="V158" s="1"/>
      <c r="W158" s="1"/>
      <c r="X158" s="1"/>
      <c r="Y158" s="1"/>
      <c r="Z158" s="1"/>
    </row>
    <row r="159" spans="1:26" ht="20.25" customHeight="1">
      <c r="A159" s="88"/>
      <c r="B159" s="104" t="s">
        <v>180</v>
      </c>
      <c r="C159" s="90"/>
      <c r="D159" s="65">
        <v>223</v>
      </c>
      <c r="E159" s="65">
        <v>476</v>
      </c>
      <c r="F159" s="65">
        <v>72</v>
      </c>
      <c r="G159" s="65">
        <v>152</v>
      </c>
      <c r="H159" s="63"/>
      <c r="I159" s="63"/>
      <c r="J159" s="63"/>
      <c r="K159" s="63"/>
      <c r="L159" s="63"/>
      <c r="M159" s="1"/>
      <c r="N159" s="1"/>
      <c r="O159" s="1"/>
      <c r="P159" s="1"/>
      <c r="Q159" s="1"/>
      <c r="R159" s="1"/>
      <c r="S159" s="1"/>
      <c r="T159" s="1"/>
      <c r="U159" s="1"/>
      <c r="V159" s="1"/>
      <c r="W159" s="1"/>
      <c r="X159" s="1"/>
      <c r="Y159" s="1"/>
      <c r="Z159" s="1"/>
    </row>
    <row r="160" spans="1:26" ht="20.25" customHeight="1">
      <c r="A160" s="88"/>
      <c r="B160" s="104" t="s">
        <v>182</v>
      </c>
      <c r="C160" s="90"/>
      <c r="D160" s="65">
        <v>254</v>
      </c>
      <c r="E160" s="65">
        <v>489</v>
      </c>
      <c r="F160" s="65">
        <v>82</v>
      </c>
      <c r="G160" s="65">
        <v>155</v>
      </c>
      <c r="H160" s="63"/>
      <c r="I160" s="63"/>
      <c r="J160" s="63"/>
      <c r="K160" s="63"/>
      <c r="L160" s="63"/>
      <c r="M160" s="1"/>
      <c r="N160" s="1"/>
      <c r="O160" s="1"/>
      <c r="P160" s="1"/>
      <c r="Q160" s="1"/>
      <c r="R160" s="1"/>
      <c r="S160" s="1"/>
      <c r="T160" s="1"/>
      <c r="U160" s="1"/>
      <c r="V160" s="1"/>
      <c r="W160" s="1"/>
      <c r="X160" s="1"/>
      <c r="Y160" s="1"/>
      <c r="Z160" s="1"/>
    </row>
    <row r="161" spans="1:26" ht="20.25" customHeight="1">
      <c r="A161" s="88"/>
      <c r="B161" s="104" t="s">
        <v>184</v>
      </c>
      <c r="C161" s="90"/>
      <c r="D161" s="65">
        <v>312</v>
      </c>
      <c r="E161" s="65">
        <v>563</v>
      </c>
      <c r="F161" s="65">
        <v>102</v>
      </c>
      <c r="G161" s="65">
        <v>179</v>
      </c>
      <c r="H161" s="63"/>
      <c r="I161" s="63"/>
      <c r="J161" s="63"/>
      <c r="K161" s="63"/>
      <c r="L161" s="63"/>
      <c r="M161" s="1"/>
      <c r="N161" s="1"/>
      <c r="O161" s="1"/>
      <c r="P161" s="1"/>
      <c r="Q161" s="1"/>
      <c r="R161" s="1"/>
      <c r="S161" s="1"/>
      <c r="T161" s="1"/>
      <c r="U161" s="1"/>
      <c r="V161" s="1"/>
      <c r="W161" s="1"/>
      <c r="X161" s="1"/>
      <c r="Y161" s="1"/>
      <c r="Z161" s="1"/>
    </row>
    <row r="162" spans="1:26" ht="20.25" customHeight="1">
      <c r="A162" s="88"/>
      <c r="B162" s="104" t="s">
        <v>186</v>
      </c>
      <c r="C162" s="90"/>
      <c r="D162" s="65">
        <v>290</v>
      </c>
      <c r="E162" s="65">
        <v>617</v>
      </c>
      <c r="F162" s="65">
        <v>94</v>
      </c>
      <c r="G162" s="65">
        <v>196</v>
      </c>
      <c r="H162" s="63"/>
      <c r="I162" s="63"/>
      <c r="J162" s="63"/>
      <c r="K162" s="63"/>
      <c r="L162" s="63"/>
      <c r="M162" s="1"/>
      <c r="N162" s="1"/>
      <c r="O162" s="1"/>
      <c r="P162" s="1"/>
      <c r="Q162" s="1"/>
      <c r="R162" s="1"/>
      <c r="S162" s="1"/>
      <c r="T162" s="1"/>
      <c r="U162" s="1"/>
      <c r="V162" s="1"/>
      <c r="W162" s="1"/>
      <c r="X162" s="1"/>
      <c r="Y162" s="1"/>
      <c r="Z162" s="1"/>
    </row>
    <row r="163" spans="1:26" ht="20.25" customHeight="1">
      <c r="A163" s="88"/>
      <c r="B163" s="104" t="s">
        <v>188</v>
      </c>
      <c r="C163" s="90"/>
      <c r="D163" s="65">
        <v>321</v>
      </c>
      <c r="E163" s="65">
        <v>687</v>
      </c>
      <c r="F163" s="65">
        <v>105</v>
      </c>
      <c r="G163" s="65">
        <v>218</v>
      </c>
      <c r="H163" s="63"/>
      <c r="I163" s="63"/>
      <c r="J163" s="63"/>
      <c r="K163" s="63"/>
      <c r="L163" s="63"/>
      <c r="M163" s="1"/>
      <c r="N163" s="1"/>
      <c r="O163" s="1"/>
      <c r="P163" s="1"/>
      <c r="Q163" s="1"/>
      <c r="R163" s="1"/>
      <c r="S163" s="1"/>
      <c r="T163" s="1"/>
      <c r="U163" s="1"/>
      <c r="V163" s="1"/>
      <c r="W163" s="1"/>
      <c r="X163" s="1"/>
      <c r="Y163" s="1"/>
      <c r="Z163" s="1"/>
    </row>
    <row r="164" spans="1:26" ht="20.25" customHeight="1">
      <c r="A164" s="88"/>
      <c r="B164" s="104" t="s">
        <v>190</v>
      </c>
      <c r="C164" s="90"/>
      <c r="D164" s="65">
        <v>356</v>
      </c>
      <c r="E164" s="65">
        <v>662</v>
      </c>
      <c r="F164" s="65">
        <v>116</v>
      </c>
      <c r="G164" s="65">
        <v>209</v>
      </c>
      <c r="H164" s="63"/>
      <c r="I164" s="63"/>
      <c r="J164" s="63"/>
      <c r="K164" s="63"/>
      <c r="L164" s="63"/>
      <c r="M164" s="1"/>
      <c r="N164" s="1"/>
      <c r="O164" s="1"/>
      <c r="P164" s="1"/>
      <c r="Q164" s="1"/>
      <c r="R164" s="1"/>
      <c r="S164" s="1"/>
      <c r="T164" s="1"/>
      <c r="U164" s="1"/>
      <c r="V164" s="1"/>
      <c r="W164" s="1"/>
      <c r="X164" s="1"/>
      <c r="Y164" s="1"/>
      <c r="Z164" s="1"/>
    </row>
    <row r="165" spans="1:26" ht="20.25" customHeight="1">
      <c r="A165" s="88"/>
      <c r="B165" s="104" t="s">
        <v>192</v>
      </c>
      <c r="C165" s="90"/>
      <c r="D165" s="65">
        <v>398</v>
      </c>
      <c r="E165" s="65">
        <v>746</v>
      </c>
      <c r="F165" s="65">
        <v>130</v>
      </c>
      <c r="G165" s="65">
        <v>236</v>
      </c>
      <c r="H165" s="63"/>
      <c r="I165" s="63"/>
      <c r="J165" s="63"/>
      <c r="K165" s="63"/>
      <c r="L165" s="63"/>
      <c r="M165" s="1"/>
      <c r="N165" s="1"/>
      <c r="O165" s="1"/>
      <c r="P165" s="1"/>
      <c r="Q165" s="1"/>
      <c r="R165" s="1"/>
      <c r="S165" s="1"/>
      <c r="T165" s="1"/>
      <c r="U165" s="1"/>
      <c r="V165" s="1"/>
      <c r="W165" s="1"/>
      <c r="X165" s="1"/>
      <c r="Y165" s="1"/>
      <c r="Z165" s="1"/>
    </row>
    <row r="166" spans="1:26" ht="20.25" customHeight="1">
      <c r="A166" s="88"/>
      <c r="B166" s="104" t="s">
        <v>194</v>
      </c>
      <c r="C166" s="90"/>
      <c r="D166" s="65">
        <v>426</v>
      </c>
      <c r="E166" s="65">
        <v>808</v>
      </c>
      <c r="F166" s="65">
        <v>139</v>
      </c>
      <c r="G166" s="65">
        <v>254</v>
      </c>
      <c r="H166" s="63"/>
      <c r="I166" s="63"/>
      <c r="J166" s="63"/>
      <c r="K166" s="63"/>
      <c r="L166" s="63"/>
      <c r="M166" s="1"/>
      <c r="N166" s="1"/>
      <c r="O166" s="1"/>
      <c r="P166" s="1"/>
      <c r="Q166" s="1"/>
      <c r="R166" s="1"/>
      <c r="S166" s="1"/>
      <c r="T166" s="1"/>
      <c r="U166" s="1"/>
      <c r="V166" s="1"/>
      <c r="W166" s="1"/>
      <c r="X166" s="1"/>
      <c r="Y166" s="1"/>
      <c r="Z166" s="1"/>
    </row>
    <row r="167" spans="1:26" ht="20.25" customHeight="1">
      <c r="A167" s="88"/>
      <c r="B167" s="104" t="s">
        <v>196</v>
      </c>
      <c r="C167" s="90"/>
      <c r="D167" s="65">
        <v>419</v>
      </c>
      <c r="E167" s="65">
        <v>877</v>
      </c>
      <c r="F167" s="65">
        <v>138</v>
      </c>
      <c r="G167" s="65">
        <v>276</v>
      </c>
      <c r="H167" s="63"/>
      <c r="I167" s="63"/>
      <c r="J167" s="63"/>
      <c r="K167" s="63"/>
      <c r="L167" s="63"/>
      <c r="M167" s="1"/>
      <c r="N167" s="1"/>
      <c r="O167" s="1"/>
      <c r="P167" s="1"/>
      <c r="Q167" s="1"/>
      <c r="R167" s="1"/>
      <c r="S167" s="1"/>
      <c r="T167" s="1"/>
      <c r="U167" s="1"/>
      <c r="V167" s="1"/>
      <c r="W167" s="1"/>
      <c r="X167" s="1"/>
      <c r="Y167" s="1"/>
      <c r="Z167" s="1"/>
    </row>
    <row r="168" spans="1:26" ht="20.25" customHeight="1">
      <c r="A168" s="88"/>
      <c r="B168" s="104" t="s">
        <v>198</v>
      </c>
      <c r="C168" s="90"/>
      <c r="D168" s="65">
        <v>505</v>
      </c>
      <c r="E168" s="65">
        <v>964</v>
      </c>
      <c r="F168" s="65">
        <v>166</v>
      </c>
      <c r="G168" s="65">
        <v>304</v>
      </c>
      <c r="H168" s="63"/>
      <c r="I168" s="63"/>
      <c r="J168" s="63"/>
      <c r="K168" s="63"/>
      <c r="L168" s="63"/>
      <c r="M168" s="1"/>
      <c r="N168" s="1"/>
      <c r="O168" s="1"/>
      <c r="P168" s="1"/>
      <c r="Q168" s="1"/>
      <c r="R168" s="1"/>
      <c r="S168" s="1"/>
      <c r="T168" s="1"/>
      <c r="U168" s="1"/>
      <c r="V168" s="1"/>
      <c r="W168" s="1"/>
      <c r="X168" s="1"/>
      <c r="Y168" s="1"/>
      <c r="Z168" s="1"/>
    </row>
    <row r="169" spans="1:26" ht="20.25" customHeight="1">
      <c r="A169" s="88"/>
      <c r="B169" s="104" t="s">
        <v>200</v>
      </c>
      <c r="C169" s="90"/>
      <c r="D169" s="65">
        <v>607</v>
      </c>
      <c r="E169" s="65">
        <v>1139</v>
      </c>
      <c r="F169" s="65">
        <v>199</v>
      </c>
      <c r="G169" s="65">
        <v>358</v>
      </c>
      <c r="H169" s="63"/>
      <c r="I169" s="63"/>
      <c r="J169" s="63"/>
      <c r="K169" s="63"/>
      <c r="L169" s="63"/>
      <c r="M169" s="1"/>
      <c r="N169" s="1"/>
      <c r="O169" s="1"/>
      <c r="P169" s="1"/>
      <c r="Q169" s="1"/>
      <c r="R169" s="1"/>
      <c r="S169" s="1"/>
      <c r="T169" s="1"/>
      <c r="U169" s="1"/>
      <c r="V169" s="1"/>
      <c r="W169" s="1"/>
      <c r="X169" s="1"/>
      <c r="Y169" s="1"/>
      <c r="Z169" s="1"/>
    </row>
    <row r="170" spans="1:26" ht="20.25" customHeight="1">
      <c r="A170" s="88"/>
      <c r="B170" s="104" t="s">
        <v>202</v>
      </c>
      <c r="C170" s="90"/>
      <c r="D170" s="65">
        <v>691</v>
      </c>
      <c r="E170" s="65">
        <v>1291</v>
      </c>
      <c r="F170" s="65">
        <v>227</v>
      </c>
      <c r="G170" s="65">
        <v>407</v>
      </c>
      <c r="H170" s="63"/>
      <c r="I170" s="63"/>
      <c r="J170" s="63"/>
      <c r="K170" s="63"/>
      <c r="L170" s="63"/>
      <c r="M170" s="1"/>
      <c r="N170" s="1"/>
      <c r="O170" s="1"/>
      <c r="P170" s="1"/>
      <c r="Q170" s="1"/>
      <c r="R170" s="1"/>
      <c r="S170" s="1"/>
      <c r="T170" s="1"/>
      <c r="U170" s="1"/>
      <c r="V170" s="1"/>
      <c r="W170" s="1"/>
      <c r="X170" s="1"/>
      <c r="Y170" s="1"/>
      <c r="Z170" s="1"/>
    </row>
    <row r="171" spans="1:26" ht="20.25" customHeight="1">
      <c r="A171" s="88"/>
      <c r="B171" s="104" t="s">
        <v>204</v>
      </c>
      <c r="C171" s="90"/>
      <c r="D171" s="65">
        <v>750</v>
      </c>
      <c r="E171" s="65">
        <v>1431</v>
      </c>
      <c r="F171" s="65">
        <v>246</v>
      </c>
      <c r="G171" s="65">
        <v>450</v>
      </c>
      <c r="H171" s="63"/>
      <c r="I171" s="63"/>
      <c r="J171" s="63"/>
      <c r="K171" s="63"/>
      <c r="L171" s="63"/>
      <c r="M171" s="1"/>
      <c r="N171" s="1"/>
      <c r="O171" s="1"/>
      <c r="P171" s="1"/>
      <c r="Q171" s="1"/>
      <c r="R171" s="1"/>
      <c r="S171" s="1"/>
      <c r="T171" s="1"/>
      <c r="U171" s="1"/>
      <c r="V171" s="1"/>
      <c r="W171" s="1"/>
      <c r="X171" s="1"/>
      <c r="Y171" s="1"/>
      <c r="Z171" s="1"/>
    </row>
    <row r="172" spans="1:26" ht="20.25" customHeight="1">
      <c r="A172" s="88"/>
      <c r="B172" s="104" t="s">
        <v>206</v>
      </c>
      <c r="C172" s="90"/>
      <c r="D172" s="65">
        <v>786</v>
      </c>
      <c r="E172" s="65">
        <v>1566</v>
      </c>
      <c r="F172" s="65">
        <v>258</v>
      </c>
      <c r="G172" s="65">
        <v>494</v>
      </c>
      <c r="H172" s="63"/>
      <c r="I172" s="63"/>
      <c r="J172" s="63"/>
      <c r="K172" s="63"/>
      <c r="L172" s="63"/>
      <c r="M172" s="1"/>
      <c r="N172" s="1"/>
      <c r="O172" s="1"/>
      <c r="P172" s="1"/>
      <c r="Q172" s="1"/>
      <c r="R172" s="1"/>
      <c r="S172" s="1"/>
      <c r="T172" s="1"/>
      <c r="U172" s="1"/>
      <c r="V172" s="1"/>
      <c r="W172" s="1"/>
      <c r="X172" s="1"/>
      <c r="Y172" s="1"/>
      <c r="Z172" s="1"/>
    </row>
    <row r="173" spans="1:26" ht="20.25" customHeight="1">
      <c r="A173" s="88"/>
      <c r="B173" s="104" t="s">
        <v>208</v>
      </c>
      <c r="C173" s="90"/>
      <c r="D173" s="65">
        <v>823</v>
      </c>
      <c r="E173" s="65">
        <v>1644</v>
      </c>
      <c r="F173" s="65">
        <v>270</v>
      </c>
      <c r="G173" s="65">
        <v>518</v>
      </c>
      <c r="H173" s="63"/>
      <c r="I173" s="63"/>
      <c r="J173" s="63"/>
      <c r="K173" s="63"/>
      <c r="L173" s="63"/>
      <c r="M173" s="1"/>
      <c r="N173" s="1"/>
      <c r="O173" s="1"/>
      <c r="P173" s="1"/>
      <c r="Q173" s="1"/>
      <c r="R173" s="1"/>
      <c r="S173" s="1"/>
      <c r="T173" s="1"/>
      <c r="U173" s="1"/>
      <c r="V173" s="1"/>
      <c r="W173" s="1"/>
      <c r="X173" s="1"/>
      <c r="Y173" s="1"/>
      <c r="Z173" s="1"/>
    </row>
    <row r="174" spans="1:26" ht="20.25" customHeight="1">
      <c r="A174" s="88"/>
      <c r="B174" s="104" t="s">
        <v>210</v>
      </c>
      <c r="C174" s="90"/>
      <c r="D174" s="65">
        <v>1010</v>
      </c>
      <c r="E174" s="65">
        <v>1951</v>
      </c>
      <c r="F174" s="65">
        <v>188</v>
      </c>
      <c r="G174" s="65">
        <v>405</v>
      </c>
      <c r="H174" s="63"/>
      <c r="I174" s="63"/>
      <c r="J174" s="63"/>
      <c r="K174" s="63"/>
      <c r="L174" s="63"/>
      <c r="M174" s="1"/>
      <c r="N174" s="1"/>
      <c r="O174" s="1"/>
      <c r="P174" s="1"/>
      <c r="Q174" s="1"/>
      <c r="R174" s="1"/>
      <c r="S174" s="1"/>
      <c r="T174" s="1"/>
      <c r="U174" s="1"/>
      <c r="V174" s="1"/>
      <c r="W174" s="1"/>
      <c r="X174" s="1"/>
      <c r="Y174" s="1"/>
      <c r="Z174" s="1"/>
    </row>
    <row r="175" spans="1:26" ht="20.25" customHeight="1">
      <c r="A175" s="88"/>
      <c r="B175" s="104" t="s">
        <v>212</v>
      </c>
      <c r="C175" s="90"/>
      <c r="D175" s="65">
        <v>1128</v>
      </c>
      <c r="E175" s="65">
        <v>2135</v>
      </c>
      <c r="F175" s="65">
        <v>209</v>
      </c>
      <c r="G175" s="65">
        <v>443</v>
      </c>
      <c r="H175" s="63"/>
      <c r="I175" s="63"/>
      <c r="J175" s="63"/>
      <c r="K175" s="63"/>
      <c r="L175" s="63"/>
      <c r="M175" s="1"/>
      <c r="N175" s="1"/>
      <c r="O175" s="1"/>
      <c r="P175" s="1"/>
      <c r="Q175" s="1"/>
      <c r="R175" s="1"/>
      <c r="S175" s="1"/>
      <c r="T175" s="1"/>
      <c r="U175" s="1"/>
      <c r="V175" s="1"/>
      <c r="W175" s="1"/>
      <c r="X175" s="1"/>
      <c r="Y175" s="1"/>
      <c r="Z175" s="1"/>
    </row>
    <row r="176" spans="1:26" ht="20.25" customHeight="1">
      <c r="A176" s="88"/>
      <c r="B176" s="104" t="s">
        <v>214</v>
      </c>
      <c r="C176" s="90"/>
      <c r="D176" s="65">
        <v>1304</v>
      </c>
      <c r="E176" s="65">
        <v>2315</v>
      </c>
      <c r="F176" s="65">
        <v>242</v>
      </c>
      <c r="G176" s="65">
        <v>481</v>
      </c>
      <c r="H176" s="63"/>
      <c r="I176" s="63"/>
      <c r="J176" s="63"/>
      <c r="K176" s="63"/>
      <c r="L176" s="63"/>
      <c r="M176" s="1"/>
      <c r="N176" s="1"/>
      <c r="O176" s="1"/>
      <c r="P176" s="1"/>
      <c r="Q176" s="1"/>
      <c r="R176" s="1"/>
      <c r="S176" s="1"/>
      <c r="T176" s="1"/>
      <c r="U176" s="1"/>
      <c r="V176" s="1"/>
      <c r="W176" s="1"/>
      <c r="X176" s="1"/>
      <c r="Y176" s="1"/>
      <c r="Z176" s="1"/>
    </row>
    <row r="177" spans="1:26" ht="20.25" customHeight="1">
      <c r="A177" s="88"/>
      <c r="B177" s="104" t="s">
        <v>216</v>
      </c>
      <c r="C177" s="90"/>
      <c r="D177" s="65">
        <v>1387</v>
      </c>
      <c r="E177" s="65">
        <v>2544</v>
      </c>
      <c r="F177" s="65">
        <v>258</v>
      </c>
      <c r="G177" s="65">
        <v>529</v>
      </c>
      <c r="H177" s="63"/>
      <c r="I177" s="63"/>
      <c r="J177" s="63"/>
      <c r="K177" s="63"/>
      <c r="L177" s="63"/>
      <c r="M177" s="1"/>
      <c r="N177" s="1"/>
      <c r="O177" s="1"/>
      <c r="P177" s="1"/>
      <c r="Q177" s="1"/>
      <c r="R177" s="1"/>
      <c r="S177" s="1"/>
      <c r="T177" s="1"/>
      <c r="U177" s="1"/>
      <c r="V177" s="1"/>
      <c r="W177" s="1"/>
      <c r="X177" s="1"/>
      <c r="Y177" s="1"/>
      <c r="Z177" s="1"/>
    </row>
    <row r="178" spans="1:26" ht="20.25" customHeight="1">
      <c r="A178" s="88"/>
      <c r="B178" s="104" t="s">
        <v>218</v>
      </c>
      <c r="C178" s="90"/>
      <c r="D178" s="65">
        <v>1506</v>
      </c>
      <c r="E178" s="65">
        <v>2646</v>
      </c>
      <c r="F178" s="65">
        <v>279</v>
      </c>
      <c r="G178" s="65">
        <v>550</v>
      </c>
      <c r="H178" s="63"/>
      <c r="I178" s="63"/>
      <c r="J178" s="63"/>
      <c r="K178" s="63"/>
      <c r="L178" s="63"/>
      <c r="M178" s="1"/>
      <c r="N178" s="1"/>
      <c r="O178" s="1"/>
      <c r="P178" s="1"/>
      <c r="Q178" s="1"/>
      <c r="R178" s="1"/>
      <c r="S178" s="1"/>
      <c r="T178" s="1"/>
      <c r="U178" s="1"/>
      <c r="V178" s="1"/>
      <c r="W178" s="1"/>
      <c r="X178" s="1"/>
      <c r="Y178" s="1"/>
      <c r="Z178" s="1"/>
    </row>
    <row r="179" spans="1:26" ht="20.25" customHeight="1">
      <c r="A179" s="88"/>
      <c r="B179" s="104" t="s">
        <v>220</v>
      </c>
      <c r="C179" s="90"/>
      <c r="D179" s="65">
        <v>1638</v>
      </c>
      <c r="E179" s="65">
        <v>2911</v>
      </c>
      <c r="F179" s="65">
        <v>303</v>
      </c>
      <c r="G179" s="65">
        <v>606</v>
      </c>
      <c r="H179" s="63"/>
      <c r="I179" s="63"/>
      <c r="J179" s="63"/>
      <c r="K179" s="63"/>
      <c r="L179" s="63"/>
      <c r="M179" s="1"/>
      <c r="N179" s="1"/>
      <c r="O179" s="1"/>
      <c r="P179" s="1"/>
      <c r="Q179" s="1"/>
      <c r="R179" s="1"/>
      <c r="S179" s="1"/>
      <c r="T179" s="1"/>
      <c r="U179" s="1"/>
      <c r="V179" s="1"/>
      <c r="W179" s="1"/>
      <c r="X179" s="1"/>
      <c r="Y179" s="1"/>
      <c r="Z179" s="1"/>
    </row>
    <row r="180" spans="1:26" ht="20.25" customHeight="1">
      <c r="A180" s="88"/>
      <c r="B180" s="104" t="s">
        <v>222</v>
      </c>
      <c r="C180" s="90"/>
      <c r="D180" s="65">
        <v>1713</v>
      </c>
      <c r="E180" s="65">
        <v>3055</v>
      </c>
      <c r="F180" s="65">
        <v>316</v>
      </c>
      <c r="G180" s="65">
        <v>639</v>
      </c>
      <c r="H180" s="63"/>
      <c r="I180" s="63"/>
      <c r="J180" s="63"/>
      <c r="K180" s="63"/>
      <c r="L180" s="63"/>
      <c r="M180" s="1"/>
      <c r="N180" s="1"/>
      <c r="O180" s="1"/>
      <c r="P180" s="1"/>
      <c r="Q180" s="1"/>
      <c r="R180" s="1"/>
      <c r="S180" s="1"/>
      <c r="T180" s="1"/>
      <c r="U180" s="1"/>
      <c r="V180" s="1"/>
      <c r="W180" s="1"/>
      <c r="X180" s="1"/>
      <c r="Y180" s="1"/>
      <c r="Z180" s="1"/>
    </row>
    <row r="181" spans="1:26" ht="20.25" customHeight="1">
      <c r="A181" s="88"/>
      <c r="B181" s="104" t="s">
        <v>224</v>
      </c>
      <c r="C181" s="90"/>
      <c r="D181" s="65">
        <v>1902</v>
      </c>
      <c r="E181" s="65">
        <v>3183</v>
      </c>
      <c r="F181" s="65">
        <v>351</v>
      </c>
      <c r="G181" s="65">
        <v>665</v>
      </c>
      <c r="H181" s="63"/>
      <c r="I181" s="63"/>
      <c r="J181" s="63"/>
      <c r="K181" s="63"/>
      <c r="L181" s="63"/>
      <c r="M181" s="1"/>
      <c r="N181" s="1"/>
      <c r="O181" s="1"/>
      <c r="P181" s="1"/>
      <c r="Q181" s="1"/>
      <c r="R181" s="1"/>
      <c r="S181" s="1"/>
      <c r="T181" s="1"/>
      <c r="U181" s="1"/>
      <c r="V181" s="1"/>
      <c r="W181" s="1"/>
      <c r="X181" s="1"/>
      <c r="Y181" s="1"/>
      <c r="Z181" s="1"/>
    </row>
    <row r="182" spans="1:26" ht="20.25" customHeight="1">
      <c r="A182" s="88"/>
      <c r="B182" s="104" t="s">
        <v>226</v>
      </c>
      <c r="C182" s="90"/>
      <c r="D182" s="65">
        <v>2021</v>
      </c>
      <c r="E182" s="65">
        <v>3624</v>
      </c>
      <c r="F182" s="65">
        <v>373</v>
      </c>
      <c r="G182" s="65">
        <v>758</v>
      </c>
      <c r="H182" s="63"/>
      <c r="I182" s="63"/>
      <c r="J182" s="63"/>
      <c r="K182" s="63"/>
      <c r="L182" s="63"/>
      <c r="M182" s="1"/>
      <c r="N182" s="1"/>
      <c r="O182" s="1"/>
      <c r="P182" s="1"/>
      <c r="Q182" s="1"/>
      <c r="R182" s="1"/>
      <c r="S182" s="1"/>
      <c r="T182" s="1"/>
      <c r="U182" s="1"/>
      <c r="V182" s="1"/>
      <c r="W182" s="1"/>
      <c r="X182" s="1"/>
      <c r="Y182" s="1"/>
      <c r="Z182" s="1"/>
    </row>
    <row r="183" spans="1:26" ht="20.25" customHeight="1">
      <c r="A183" s="88"/>
      <c r="B183" s="104" t="s">
        <v>228</v>
      </c>
      <c r="C183" s="90"/>
      <c r="D183" s="65">
        <v>2198</v>
      </c>
      <c r="E183" s="65">
        <v>3804</v>
      </c>
      <c r="F183" s="65">
        <v>404</v>
      </c>
      <c r="G183" s="65">
        <v>798</v>
      </c>
      <c r="H183" s="63"/>
      <c r="I183" s="63"/>
      <c r="J183" s="63"/>
      <c r="K183" s="63"/>
      <c r="L183" s="63"/>
      <c r="M183" s="1"/>
      <c r="N183" s="1"/>
      <c r="O183" s="1"/>
      <c r="P183" s="1"/>
      <c r="Q183" s="1"/>
      <c r="R183" s="1"/>
      <c r="S183" s="1"/>
      <c r="T183" s="1"/>
      <c r="U183" s="1"/>
      <c r="V183" s="1"/>
      <c r="W183" s="1"/>
      <c r="X183" s="1"/>
      <c r="Y183" s="1"/>
      <c r="Z183" s="1"/>
    </row>
    <row r="184" spans="1:26" ht="20.25" customHeight="1">
      <c r="A184" s="88"/>
      <c r="B184" s="104" t="s">
        <v>230</v>
      </c>
      <c r="C184" s="90"/>
      <c r="D184" s="65">
        <v>2237</v>
      </c>
      <c r="E184" s="65">
        <v>4102</v>
      </c>
      <c r="F184" s="65">
        <v>411</v>
      </c>
      <c r="G184" s="65">
        <v>862</v>
      </c>
      <c r="H184" s="63"/>
      <c r="I184" s="63"/>
      <c r="J184" s="63"/>
      <c r="K184" s="63"/>
      <c r="L184" s="63"/>
      <c r="M184" s="1"/>
      <c r="N184" s="1"/>
      <c r="O184" s="1"/>
      <c r="P184" s="1"/>
      <c r="Q184" s="1"/>
      <c r="R184" s="1"/>
      <c r="S184" s="1"/>
      <c r="T184" s="1"/>
      <c r="U184" s="1"/>
      <c r="V184" s="1"/>
      <c r="W184" s="1"/>
      <c r="X184" s="1"/>
      <c r="Y184" s="1"/>
      <c r="Z184" s="1"/>
    </row>
    <row r="185" spans="1:26" ht="20.25" customHeight="1">
      <c r="A185" s="88"/>
      <c r="B185" s="104" t="s">
        <v>232</v>
      </c>
      <c r="C185" s="90"/>
      <c r="D185" s="65">
        <v>2413</v>
      </c>
      <c r="E185" s="65">
        <v>4218</v>
      </c>
      <c r="F185" s="65">
        <v>441</v>
      </c>
      <c r="G185" s="65">
        <v>891</v>
      </c>
      <c r="H185" s="63"/>
      <c r="I185" s="63"/>
      <c r="J185" s="63"/>
      <c r="K185" s="63"/>
      <c r="L185" s="63"/>
      <c r="M185" s="1"/>
      <c r="N185" s="1"/>
      <c r="O185" s="1"/>
      <c r="P185" s="1"/>
      <c r="Q185" s="1"/>
      <c r="R185" s="1"/>
      <c r="S185" s="1"/>
      <c r="T185" s="1"/>
      <c r="U185" s="1"/>
      <c r="V185" s="1"/>
      <c r="W185" s="1"/>
      <c r="X185" s="1"/>
      <c r="Y185" s="1"/>
      <c r="Z185" s="1"/>
    </row>
    <row r="186" spans="1:26" ht="20.25" customHeight="1">
      <c r="A186" s="88"/>
      <c r="B186" s="104" t="s">
        <v>234</v>
      </c>
      <c r="C186" s="90"/>
      <c r="D186" s="65">
        <v>2456</v>
      </c>
      <c r="E186" s="65">
        <v>4638</v>
      </c>
      <c r="F186" s="65">
        <v>448</v>
      </c>
      <c r="G186" s="65">
        <v>982</v>
      </c>
      <c r="H186" s="63"/>
      <c r="I186" s="63"/>
      <c r="J186" s="63"/>
      <c r="K186" s="63"/>
      <c r="L186" s="63"/>
      <c r="M186" s="1"/>
      <c r="N186" s="1"/>
      <c r="O186" s="1"/>
      <c r="P186" s="1"/>
      <c r="Q186" s="1"/>
      <c r="R186" s="1"/>
      <c r="S186" s="1"/>
      <c r="T186" s="1"/>
      <c r="U186" s="1"/>
      <c r="V186" s="1"/>
      <c r="W186" s="1"/>
      <c r="X186" s="1"/>
      <c r="Y186" s="1"/>
      <c r="Z186" s="1"/>
    </row>
    <row r="187" spans="1:26" ht="20.25" customHeight="1">
      <c r="A187" s="88"/>
      <c r="B187" s="104" t="s">
        <v>236</v>
      </c>
      <c r="C187" s="90"/>
      <c r="D187" s="65">
        <v>2811</v>
      </c>
      <c r="E187" s="65">
        <v>4760</v>
      </c>
      <c r="F187" s="65">
        <v>511</v>
      </c>
      <c r="G187" s="65">
        <v>1012</v>
      </c>
      <c r="H187" s="63"/>
      <c r="I187" s="63"/>
      <c r="J187" s="63"/>
      <c r="K187" s="63"/>
      <c r="L187" s="63"/>
      <c r="M187" s="1"/>
      <c r="N187" s="1"/>
      <c r="O187" s="1"/>
      <c r="P187" s="1"/>
      <c r="Q187" s="1"/>
      <c r="R187" s="1"/>
      <c r="S187" s="1"/>
      <c r="T187" s="1"/>
      <c r="U187" s="1"/>
      <c r="V187" s="1"/>
      <c r="W187" s="1"/>
      <c r="X187" s="1"/>
      <c r="Y187" s="1"/>
      <c r="Z187" s="1"/>
    </row>
    <row r="188" spans="1:26" ht="20.25" customHeight="1">
      <c r="A188" s="88"/>
      <c r="B188" s="104" t="s">
        <v>238</v>
      </c>
      <c r="C188" s="90"/>
      <c r="D188" s="65">
        <v>2987</v>
      </c>
      <c r="E188" s="65">
        <v>5041</v>
      </c>
      <c r="F188" s="65">
        <v>542</v>
      </c>
      <c r="G188" s="65">
        <v>1074</v>
      </c>
      <c r="H188" s="63"/>
      <c r="I188" s="63"/>
      <c r="J188" s="63"/>
      <c r="K188" s="63"/>
      <c r="L188" s="63"/>
      <c r="M188" s="1"/>
      <c r="N188" s="1"/>
      <c r="O188" s="1"/>
      <c r="P188" s="1"/>
      <c r="Q188" s="1"/>
      <c r="R188" s="1"/>
      <c r="S188" s="1"/>
      <c r="T188" s="1"/>
      <c r="U188" s="1"/>
      <c r="V188" s="1"/>
      <c r="W188" s="1"/>
      <c r="X188" s="1"/>
      <c r="Y188" s="1"/>
      <c r="Z188" s="1"/>
    </row>
    <row r="189" spans="1:26" ht="20.25" customHeight="1">
      <c r="A189" s="88"/>
      <c r="B189" s="104" t="s">
        <v>240</v>
      </c>
      <c r="C189" s="90"/>
      <c r="D189" s="65">
        <v>3161</v>
      </c>
      <c r="E189" s="65">
        <v>5184</v>
      </c>
      <c r="F189" s="65">
        <v>573</v>
      </c>
      <c r="G189" s="65">
        <v>1105</v>
      </c>
      <c r="H189" s="63"/>
      <c r="I189" s="63"/>
      <c r="J189" s="63"/>
      <c r="K189" s="63"/>
      <c r="L189" s="63"/>
      <c r="M189" s="1"/>
      <c r="N189" s="1"/>
      <c r="O189" s="1"/>
      <c r="P189" s="1"/>
      <c r="Q189" s="1"/>
      <c r="R189" s="1"/>
      <c r="S189" s="1"/>
      <c r="T189" s="1"/>
      <c r="U189" s="1"/>
      <c r="V189" s="1"/>
      <c r="W189" s="1"/>
      <c r="X189" s="1"/>
      <c r="Y189" s="1"/>
      <c r="Z189" s="1"/>
    </row>
    <row r="190" spans="1:26" ht="20.25" customHeight="1">
      <c r="A190" s="88"/>
      <c r="B190" s="104" t="s">
        <v>242</v>
      </c>
      <c r="C190" s="90"/>
      <c r="D190" s="65">
        <v>3384</v>
      </c>
      <c r="E190" s="65">
        <v>5571</v>
      </c>
      <c r="F190" s="65">
        <v>612</v>
      </c>
      <c r="G190" s="65">
        <v>1192</v>
      </c>
      <c r="H190" s="63"/>
      <c r="I190" s="63"/>
      <c r="J190" s="63"/>
      <c r="K190" s="63"/>
      <c r="L190" s="63"/>
      <c r="M190" s="1"/>
      <c r="N190" s="1"/>
      <c r="O190" s="1"/>
      <c r="P190" s="1"/>
      <c r="Q190" s="1"/>
      <c r="R190" s="1"/>
      <c r="S190" s="1"/>
      <c r="T190" s="1"/>
      <c r="U190" s="1"/>
      <c r="V190" s="1"/>
      <c r="W190" s="1"/>
      <c r="X190" s="1"/>
      <c r="Y190" s="1"/>
      <c r="Z190" s="1"/>
    </row>
    <row r="191" spans="1:26" ht="20.25" customHeight="1">
      <c r="A191" s="88"/>
      <c r="B191" s="104" t="s">
        <v>244</v>
      </c>
      <c r="C191" s="90"/>
      <c r="D191" s="65">
        <v>3702</v>
      </c>
      <c r="E191" s="65">
        <v>5816</v>
      </c>
      <c r="F191" s="65">
        <v>668</v>
      </c>
      <c r="G191" s="65">
        <v>1248</v>
      </c>
      <c r="H191" s="63"/>
      <c r="I191" s="63"/>
      <c r="J191" s="63"/>
      <c r="K191" s="63"/>
      <c r="L191" s="63"/>
      <c r="M191" s="1"/>
      <c r="N191" s="1"/>
      <c r="O191" s="1"/>
      <c r="P191" s="1"/>
      <c r="Q191" s="1"/>
      <c r="R191" s="1"/>
      <c r="S191" s="1"/>
      <c r="T191" s="1"/>
      <c r="U191" s="1"/>
      <c r="V191" s="1"/>
      <c r="W191" s="1"/>
      <c r="X191" s="1"/>
      <c r="Y191" s="1"/>
      <c r="Z191" s="1"/>
    </row>
    <row r="192" spans="1:26" ht="20.25" customHeight="1">
      <c r="A192" s="88"/>
      <c r="B192" s="104" t="s">
        <v>246</v>
      </c>
      <c r="C192" s="90"/>
      <c r="D192" s="65">
        <v>3964</v>
      </c>
      <c r="E192" s="65">
        <v>6325</v>
      </c>
      <c r="F192" s="65">
        <v>714</v>
      </c>
      <c r="G192" s="65">
        <v>1359</v>
      </c>
      <c r="H192" s="63"/>
      <c r="I192" s="63"/>
      <c r="J192" s="63"/>
      <c r="K192" s="63"/>
      <c r="L192" s="63"/>
      <c r="M192" s="1"/>
      <c r="N192" s="1"/>
      <c r="O192" s="1"/>
      <c r="P192" s="1"/>
      <c r="Q192" s="1"/>
      <c r="R192" s="1"/>
      <c r="S192" s="1"/>
      <c r="T192" s="1"/>
      <c r="U192" s="1"/>
      <c r="V192" s="1"/>
      <c r="W192" s="1"/>
      <c r="X192" s="1"/>
      <c r="Y192" s="1"/>
      <c r="Z192" s="1"/>
    </row>
    <row r="193" spans="1:26" ht="20.25" customHeight="1">
      <c r="A193" s="88"/>
      <c r="B193" s="104" t="s">
        <v>248</v>
      </c>
      <c r="C193" s="90"/>
      <c r="D193" s="65">
        <v>4376</v>
      </c>
      <c r="E193" s="65">
        <v>6847</v>
      </c>
      <c r="F193" s="65">
        <v>789</v>
      </c>
      <c r="G193" s="65">
        <v>1471</v>
      </c>
      <c r="H193" s="63"/>
      <c r="I193" s="63"/>
      <c r="J193" s="63"/>
      <c r="K193" s="63"/>
      <c r="L193" s="63"/>
      <c r="M193" s="1"/>
      <c r="N193" s="1"/>
      <c r="O193" s="1"/>
      <c r="P193" s="1"/>
      <c r="Q193" s="1"/>
      <c r="R193" s="1"/>
      <c r="S193" s="1"/>
      <c r="T193" s="1"/>
      <c r="U193" s="1"/>
      <c r="V193" s="1"/>
      <c r="W193" s="1"/>
      <c r="X193" s="1"/>
      <c r="Y193" s="1"/>
      <c r="Z193" s="1"/>
    </row>
    <row r="194" spans="1:26" ht="20.25" customHeight="1">
      <c r="A194" s="88"/>
      <c r="B194" s="104" t="s">
        <v>250</v>
      </c>
      <c r="C194" s="90"/>
      <c r="D194" s="65">
        <v>4626</v>
      </c>
      <c r="E194" s="65">
        <v>7019</v>
      </c>
      <c r="F194" s="65">
        <v>830</v>
      </c>
      <c r="G194" s="65">
        <v>1517</v>
      </c>
      <c r="H194" s="63"/>
      <c r="I194" s="63"/>
      <c r="J194" s="63"/>
      <c r="K194" s="63"/>
      <c r="L194" s="63"/>
      <c r="M194" s="1"/>
      <c r="N194" s="1"/>
      <c r="O194" s="1"/>
      <c r="P194" s="1"/>
      <c r="Q194" s="1"/>
      <c r="R194" s="1"/>
      <c r="S194" s="1"/>
      <c r="T194" s="1"/>
      <c r="U194" s="1"/>
      <c r="V194" s="1"/>
      <c r="W194" s="1"/>
      <c r="X194" s="1"/>
      <c r="Y194" s="1"/>
      <c r="Z194" s="1"/>
    </row>
    <row r="195" spans="1:26" ht="20.25" customHeight="1">
      <c r="A195" s="88"/>
      <c r="B195" s="104" t="s">
        <v>252</v>
      </c>
      <c r="C195" s="90"/>
      <c r="D195" s="65">
        <v>4970</v>
      </c>
      <c r="E195" s="65">
        <v>7561</v>
      </c>
      <c r="F195" s="65">
        <v>893</v>
      </c>
      <c r="G195" s="65">
        <v>1631</v>
      </c>
      <c r="H195" s="63"/>
      <c r="I195" s="63"/>
      <c r="J195" s="63"/>
      <c r="K195" s="63"/>
      <c r="L195" s="63"/>
      <c r="M195" s="1"/>
      <c r="N195" s="1"/>
      <c r="O195" s="1"/>
      <c r="P195" s="1"/>
      <c r="Q195" s="1"/>
      <c r="R195" s="1"/>
      <c r="S195" s="1"/>
      <c r="T195" s="1"/>
      <c r="U195" s="1"/>
      <c r="V195" s="1"/>
      <c r="W195" s="1"/>
      <c r="X195" s="1"/>
      <c r="Y195" s="1"/>
      <c r="Z195" s="1"/>
    </row>
    <row r="196" spans="1:26" ht="20.25" customHeight="1">
      <c r="A196" s="88"/>
      <c r="B196" s="104" t="s">
        <v>254</v>
      </c>
      <c r="C196" s="90"/>
      <c r="D196" s="65">
        <v>5334</v>
      </c>
      <c r="E196" s="65">
        <v>7833</v>
      </c>
      <c r="F196" s="65">
        <v>954</v>
      </c>
      <c r="G196" s="65">
        <v>1700</v>
      </c>
      <c r="H196" s="63"/>
      <c r="I196" s="63"/>
      <c r="J196" s="63"/>
      <c r="K196" s="63"/>
      <c r="L196" s="63"/>
      <c r="M196" s="1"/>
      <c r="N196" s="1"/>
      <c r="O196" s="1"/>
      <c r="P196" s="1"/>
      <c r="Q196" s="1"/>
      <c r="R196" s="1"/>
      <c r="S196" s="1"/>
      <c r="T196" s="1"/>
      <c r="U196" s="1"/>
      <c r="V196" s="1"/>
      <c r="W196" s="1"/>
      <c r="X196" s="1"/>
      <c r="Y196" s="1"/>
      <c r="Z196" s="1"/>
    </row>
    <row r="197" spans="1:26" ht="20.25" customHeight="1">
      <c r="A197" s="88"/>
      <c r="B197" s="104" t="s">
        <v>256</v>
      </c>
      <c r="C197" s="90"/>
      <c r="D197" s="65">
        <v>5220</v>
      </c>
      <c r="E197" s="65">
        <v>6972</v>
      </c>
      <c r="F197" s="65">
        <v>932</v>
      </c>
      <c r="G197" s="65">
        <v>1517</v>
      </c>
      <c r="H197" s="63"/>
      <c r="I197" s="63"/>
      <c r="J197" s="63"/>
      <c r="K197" s="63"/>
      <c r="L197" s="63"/>
      <c r="M197" s="1"/>
      <c r="N197" s="1"/>
      <c r="O197" s="1"/>
      <c r="P197" s="1"/>
      <c r="Q197" s="1"/>
      <c r="R197" s="1"/>
      <c r="S197" s="1"/>
      <c r="T197" s="1"/>
      <c r="U197" s="1"/>
      <c r="V197" s="1"/>
      <c r="W197" s="1"/>
      <c r="X197" s="1"/>
      <c r="Y197" s="1"/>
      <c r="Z197" s="1"/>
    </row>
    <row r="198" spans="1:26" ht="20.25" customHeight="1">
      <c r="A198" s="88"/>
      <c r="B198" s="104" t="s">
        <v>258</v>
      </c>
      <c r="C198" s="90"/>
      <c r="D198" s="65">
        <v>4896</v>
      </c>
      <c r="E198" s="65">
        <v>6359</v>
      </c>
      <c r="F198" s="65">
        <v>870</v>
      </c>
      <c r="G198" s="65">
        <v>1393</v>
      </c>
      <c r="H198" s="63"/>
      <c r="I198" s="63"/>
      <c r="J198" s="63"/>
      <c r="K198" s="63"/>
      <c r="L198" s="63"/>
      <c r="M198" s="1"/>
      <c r="N198" s="1"/>
      <c r="O198" s="1"/>
      <c r="P198" s="1"/>
      <c r="Q198" s="1"/>
      <c r="R198" s="1"/>
      <c r="S198" s="1"/>
      <c r="T198" s="1"/>
      <c r="U198" s="1"/>
      <c r="V198" s="1"/>
      <c r="W198" s="1"/>
      <c r="X198" s="1"/>
      <c r="Y198" s="1"/>
      <c r="Z198" s="1"/>
    </row>
    <row r="199" spans="1:26" ht="20.25" customHeight="1">
      <c r="A199" s="88"/>
      <c r="B199" s="104" t="s">
        <v>260</v>
      </c>
      <c r="C199" s="90"/>
      <c r="D199" s="65">
        <v>5273</v>
      </c>
      <c r="E199" s="65">
        <v>6598</v>
      </c>
      <c r="F199" s="65">
        <v>933</v>
      </c>
      <c r="G199" s="65">
        <v>1452</v>
      </c>
      <c r="H199" s="63"/>
      <c r="I199" s="63"/>
      <c r="J199" s="63"/>
      <c r="K199" s="63"/>
      <c r="L199" s="63"/>
      <c r="M199" s="1"/>
      <c r="N199" s="1"/>
      <c r="O199" s="1"/>
      <c r="P199" s="1"/>
      <c r="Q199" s="1"/>
      <c r="R199" s="1"/>
      <c r="S199" s="1"/>
      <c r="T199" s="1"/>
      <c r="U199" s="1"/>
      <c r="V199" s="1"/>
      <c r="W199" s="1"/>
      <c r="X199" s="1"/>
      <c r="Y199" s="1"/>
      <c r="Z199" s="1"/>
    </row>
    <row r="200" spans="1:26" ht="20.25" customHeight="1">
      <c r="A200" s="88"/>
      <c r="B200" s="104" t="s">
        <v>262</v>
      </c>
      <c r="C200" s="90"/>
      <c r="D200" s="65">
        <v>5666</v>
      </c>
      <c r="E200" s="65">
        <v>6859</v>
      </c>
      <c r="F200" s="65">
        <v>1000</v>
      </c>
      <c r="G200" s="65">
        <v>1517</v>
      </c>
      <c r="H200" s="63"/>
      <c r="I200" s="63"/>
      <c r="J200" s="63"/>
      <c r="K200" s="63"/>
      <c r="L200" s="63"/>
      <c r="M200" s="1"/>
      <c r="N200" s="1"/>
      <c r="O200" s="1"/>
      <c r="P200" s="1"/>
      <c r="Q200" s="1"/>
      <c r="R200" s="1"/>
      <c r="S200" s="1"/>
      <c r="T200" s="1"/>
      <c r="U200" s="1"/>
      <c r="V200" s="1"/>
      <c r="W200" s="1"/>
      <c r="X200" s="1"/>
      <c r="Y200" s="1"/>
      <c r="Z200" s="1"/>
    </row>
    <row r="201" spans="1:26" ht="20.25" customHeight="1">
      <c r="A201" s="88"/>
      <c r="B201" s="104" t="s">
        <v>264</v>
      </c>
      <c r="C201" s="90"/>
      <c r="D201" s="65">
        <v>6038</v>
      </c>
      <c r="E201" s="65">
        <v>6713</v>
      </c>
      <c r="F201" s="65">
        <v>1059</v>
      </c>
      <c r="G201" s="65">
        <v>1497</v>
      </c>
      <c r="H201" s="63"/>
      <c r="I201" s="63"/>
      <c r="J201" s="63"/>
      <c r="K201" s="63"/>
      <c r="L201" s="63"/>
      <c r="M201" s="1"/>
      <c r="N201" s="1"/>
      <c r="O201" s="1"/>
      <c r="P201" s="1"/>
      <c r="Q201" s="1"/>
      <c r="R201" s="1"/>
      <c r="S201" s="1"/>
      <c r="T201" s="1"/>
      <c r="U201" s="1"/>
      <c r="V201" s="1"/>
      <c r="W201" s="1"/>
      <c r="X201" s="1"/>
      <c r="Y201" s="1"/>
      <c r="Z201" s="1"/>
    </row>
    <row r="202" spans="1:26" ht="20.25" customHeight="1">
      <c r="A202" s="88"/>
      <c r="B202" s="104" t="s">
        <v>266</v>
      </c>
      <c r="C202" s="90"/>
      <c r="D202" s="65">
        <v>5916</v>
      </c>
      <c r="E202" s="65">
        <v>6478</v>
      </c>
      <c r="F202" s="65">
        <v>1032</v>
      </c>
      <c r="G202" s="65">
        <v>1459</v>
      </c>
      <c r="H202" s="63"/>
      <c r="I202" s="63"/>
      <c r="J202" s="63"/>
      <c r="K202" s="63"/>
      <c r="L202" s="63"/>
      <c r="M202" s="1"/>
      <c r="N202" s="1"/>
      <c r="O202" s="1"/>
      <c r="P202" s="1"/>
      <c r="Q202" s="1"/>
      <c r="R202" s="1"/>
      <c r="S202" s="1"/>
      <c r="T202" s="1"/>
      <c r="U202" s="1"/>
      <c r="V202" s="1"/>
      <c r="W202" s="1"/>
      <c r="X202" s="1"/>
      <c r="Y202" s="1"/>
      <c r="Z202" s="1"/>
    </row>
    <row r="203" spans="1:26" ht="20.25" customHeight="1">
      <c r="A203" s="88"/>
      <c r="B203" s="104" t="s">
        <v>268</v>
      </c>
      <c r="C203" s="90"/>
      <c r="D203" s="65">
        <v>7523</v>
      </c>
      <c r="E203" s="65">
        <v>7629</v>
      </c>
      <c r="F203" s="65">
        <v>1305</v>
      </c>
      <c r="G203" s="65">
        <v>1734</v>
      </c>
      <c r="H203" s="63"/>
      <c r="I203" s="63"/>
      <c r="J203" s="63"/>
      <c r="K203" s="63"/>
      <c r="L203" s="63"/>
      <c r="M203" s="1"/>
      <c r="N203" s="1"/>
      <c r="O203" s="1"/>
      <c r="P203" s="1"/>
      <c r="Q203" s="1"/>
      <c r="R203" s="1"/>
      <c r="S203" s="1"/>
      <c r="T203" s="1"/>
      <c r="U203" s="1"/>
      <c r="V203" s="1"/>
      <c r="W203" s="1"/>
      <c r="X203" s="1"/>
      <c r="Y203" s="1"/>
      <c r="Z203" s="1"/>
    </row>
    <row r="204" spans="1:26" ht="20.25" customHeight="1">
      <c r="A204" s="88"/>
      <c r="B204" s="104" t="s">
        <v>270</v>
      </c>
      <c r="C204" s="90"/>
      <c r="D204" s="65">
        <v>8484</v>
      </c>
      <c r="E204" s="65">
        <v>7979</v>
      </c>
      <c r="F204" s="65">
        <v>1458</v>
      </c>
      <c r="G204" s="65">
        <v>1846</v>
      </c>
      <c r="H204" s="63"/>
      <c r="I204" s="63"/>
      <c r="J204" s="63"/>
      <c r="K204" s="63"/>
      <c r="L204" s="63"/>
      <c r="M204" s="1"/>
      <c r="N204" s="1"/>
      <c r="O204" s="1"/>
      <c r="P204" s="1"/>
      <c r="Q204" s="1"/>
      <c r="R204" s="1"/>
      <c r="S204" s="1"/>
      <c r="T204" s="1"/>
      <c r="U204" s="1"/>
      <c r="V204" s="1"/>
      <c r="W204" s="1"/>
      <c r="X204" s="1"/>
      <c r="Y204" s="1"/>
      <c r="Z204" s="1"/>
    </row>
    <row r="205" spans="1:26" ht="20.25" customHeight="1">
      <c r="A205" s="88"/>
      <c r="B205" s="104" t="s">
        <v>272</v>
      </c>
      <c r="C205" s="90"/>
      <c r="D205" s="65">
        <v>9102</v>
      </c>
      <c r="E205" s="65">
        <v>8138</v>
      </c>
      <c r="F205" s="65">
        <v>1554</v>
      </c>
      <c r="G205" s="65">
        <v>1905</v>
      </c>
      <c r="H205" s="63"/>
      <c r="I205" s="63"/>
      <c r="J205" s="63"/>
      <c r="K205" s="63"/>
      <c r="L205" s="63"/>
      <c r="M205" s="1"/>
      <c r="N205" s="1"/>
      <c r="O205" s="1"/>
      <c r="P205" s="1"/>
      <c r="Q205" s="1"/>
      <c r="R205" s="1"/>
      <c r="S205" s="1"/>
      <c r="T205" s="1"/>
      <c r="U205" s="1"/>
      <c r="V205" s="1"/>
      <c r="W205" s="1"/>
      <c r="X205" s="1"/>
      <c r="Y205" s="1"/>
      <c r="Z205" s="1"/>
    </row>
    <row r="206" spans="1:26" ht="20.25" customHeight="1">
      <c r="A206" s="88"/>
      <c r="B206" s="104" t="s">
        <v>274</v>
      </c>
      <c r="C206" s="90"/>
      <c r="D206" s="65">
        <v>10111</v>
      </c>
      <c r="E206" s="65">
        <v>8160</v>
      </c>
      <c r="F206" s="65">
        <v>1713</v>
      </c>
      <c r="G206" s="65">
        <v>1941</v>
      </c>
      <c r="H206" s="63"/>
      <c r="I206" s="63"/>
      <c r="J206" s="63"/>
      <c r="K206" s="63"/>
      <c r="L206" s="63"/>
      <c r="M206" s="1"/>
      <c r="N206" s="1"/>
      <c r="O206" s="1"/>
      <c r="P206" s="1"/>
      <c r="Q206" s="1"/>
      <c r="R206" s="1"/>
      <c r="S206" s="1"/>
      <c r="T206" s="1"/>
      <c r="U206" s="1"/>
      <c r="V206" s="1"/>
      <c r="W206" s="1"/>
      <c r="X206" s="1"/>
      <c r="Y206" s="1"/>
      <c r="Z206" s="1"/>
    </row>
    <row r="207" spans="1:26" ht="20.25" customHeight="1">
      <c r="A207" s="88"/>
      <c r="B207" s="104" t="s">
        <v>276</v>
      </c>
      <c r="C207" s="90"/>
      <c r="D207" s="65">
        <v>10839</v>
      </c>
      <c r="E207" s="65">
        <v>8232</v>
      </c>
      <c r="F207" s="65">
        <v>1820</v>
      </c>
      <c r="G207" s="65">
        <v>2001</v>
      </c>
      <c r="H207" s="63"/>
      <c r="I207" s="63"/>
      <c r="J207" s="63"/>
      <c r="K207" s="63"/>
      <c r="L207" s="63"/>
      <c r="M207" s="1"/>
      <c r="N207" s="1"/>
      <c r="O207" s="1"/>
      <c r="P207" s="1"/>
      <c r="Q207" s="1"/>
      <c r="R207" s="1"/>
      <c r="S207" s="1"/>
      <c r="T207" s="1"/>
      <c r="U207" s="1"/>
      <c r="V207" s="1"/>
      <c r="W207" s="1"/>
      <c r="X207" s="1"/>
      <c r="Y207" s="1"/>
      <c r="Z207" s="1"/>
    </row>
    <row r="208" spans="1:26" ht="20.25" customHeight="1">
      <c r="A208" s="88"/>
      <c r="B208" s="104" t="s">
        <v>278</v>
      </c>
      <c r="C208" s="90"/>
      <c r="D208" s="65">
        <v>11856</v>
      </c>
      <c r="E208" s="65">
        <v>8147</v>
      </c>
      <c r="F208" s="65">
        <v>1970</v>
      </c>
      <c r="G208" s="65">
        <v>2033</v>
      </c>
      <c r="H208" s="63"/>
      <c r="I208" s="63"/>
      <c r="J208" s="63"/>
      <c r="K208" s="63"/>
      <c r="L208" s="63"/>
      <c r="M208" s="1"/>
      <c r="N208" s="1"/>
      <c r="O208" s="1"/>
      <c r="P208" s="1"/>
      <c r="Q208" s="1"/>
      <c r="R208" s="1"/>
      <c r="S208" s="1"/>
      <c r="T208" s="1"/>
      <c r="U208" s="1"/>
      <c r="V208" s="1"/>
      <c r="W208" s="1"/>
      <c r="X208" s="1"/>
      <c r="Y208" s="1"/>
      <c r="Z208" s="1"/>
    </row>
    <row r="209" spans="1:26" ht="20.25" customHeight="1">
      <c r="A209" s="88"/>
      <c r="B209" s="104" t="s">
        <v>280</v>
      </c>
      <c r="C209" s="90"/>
      <c r="D209" s="65">
        <v>12433</v>
      </c>
      <c r="E209" s="65">
        <v>7831</v>
      </c>
      <c r="F209" s="65">
        <v>2051</v>
      </c>
      <c r="G209" s="65">
        <v>1996</v>
      </c>
      <c r="H209" s="63"/>
      <c r="I209" s="63"/>
      <c r="J209" s="63"/>
      <c r="K209" s="63"/>
      <c r="L209" s="63"/>
      <c r="M209" s="1"/>
      <c r="N209" s="1"/>
      <c r="O209" s="1"/>
      <c r="P209" s="1"/>
      <c r="Q209" s="1"/>
      <c r="R209" s="1"/>
      <c r="S209" s="1"/>
      <c r="T209" s="1"/>
      <c r="U209" s="1"/>
      <c r="V209" s="1"/>
      <c r="W209" s="1"/>
      <c r="X209" s="1"/>
      <c r="Y209" s="1"/>
      <c r="Z209" s="1"/>
    </row>
    <row r="210" spans="1:26" ht="20.25" customHeight="1">
      <c r="A210" s="88"/>
      <c r="B210" s="104" t="s">
        <v>282</v>
      </c>
      <c r="C210" s="90"/>
      <c r="D210" s="65">
        <v>12840</v>
      </c>
      <c r="E210" s="65">
        <v>7379</v>
      </c>
      <c r="F210" s="65">
        <v>2093</v>
      </c>
      <c r="G210" s="65">
        <v>1952</v>
      </c>
      <c r="H210" s="63"/>
      <c r="I210" s="63"/>
      <c r="J210" s="63"/>
      <c r="K210" s="63"/>
      <c r="L210" s="63"/>
      <c r="M210" s="1"/>
      <c r="N210" s="1"/>
      <c r="O210" s="1"/>
      <c r="P210" s="1"/>
      <c r="Q210" s="1"/>
      <c r="R210" s="1"/>
      <c r="S210" s="1"/>
      <c r="T210" s="1"/>
      <c r="U210" s="1"/>
      <c r="V210" s="1"/>
      <c r="W210" s="1"/>
      <c r="X210" s="1"/>
      <c r="Y210" s="1"/>
      <c r="Z210" s="1"/>
    </row>
    <row r="211" spans="1:26" ht="20.25" customHeight="1">
      <c r="A211" s="88"/>
      <c r="B211" s="104" t="s">
        <v>284</v>
      </c>
      <c r="C211" s="90"/>
      <c r="D211" s="65">
        <v>12813</v>
      </c>
      <c r="E211" s="65">
        <v>6713</v>
      </c>
      <c r="F211" s="65">
        <v>2072</v>
      </c>
      <c r="G211" s="65">
        <v>1829</v>
      </c>
      <c r="H211" s="63"/>
      <c r="I211" s="63"/>
      <c r="J211" s="63"/>
      <c r="K211" s="63"/>
      <c r="L211" s="63"/>
      <c r="M211" s="1"/>
      <c r="N211" s="1"/>
      <c r="O211" s="1"/>
      <c r="P211" s="1"/>
      <c r="Q211" s="1"/>
      <c r="R211" s="1"/>
      <c r="S211" s="1"/>
      <c r="T211" s="1"/>
      <c r="U211" s="1"/>
      <c r="V211" s="1"/>
      <c r="W211" s="1"/>
      <c r="X211" s="1"/>
      <c r="Y211" s="1"/>
      <c r="Z211" s="1"/>
    </row>
    <row r="212" spans="1:26" ht="20.25" customHeight="1">
      <c r="A212" s="88"/>
      <c r="B212" s="104" t="s">
        <v>286</v>
      </c>
      <c r="C212" s="90"/>
      <c r="D212" s="65">
        <v>12434</v>
      </c>
      <c r="E212" s="65">
        <v>5905</v>
      </c>
      <c r="F212" s="65">
        <v>1995</v>
      </c>
      <c r="G212" s="65">
        <v>1663</v>
      </c>
      <c r="H212" s="63"/>
      <c r="I212" s="63"/>
      <c r="J212" s="63"/>
      <c r="K212" s="63"/>
      <c r="L212" s="63"/>
      <c r="M212" s="1"/>
      <c r="N212" s="1"/>
      <c r="O212" s="1"/>
      <c r="P212" s="1"/>
      <c r="Q212" s="1"/>
      <c r="R212" s="1"/>
      <c r="S212" s="1"/>
      <c r="T212" s="1"/>
      <c r="U212" s="1"/>
      <c r="V212" s="1"/>
      <c r="W212" s="1"/>
      <c r="X212" s="1"/>
      <c r="Y212" s="1"/>
      <c r="Z212" s="1"/>
    </row>
    <row r="213" spans="1:26" ht="20.25" customHeight="1">
      <c r="A213" s="88"/>
      <c r="B213" s="104" t="s">
        <v>288</v>
      </c>
      <c r="C213" s="90"/>
      <c r="D213" s="65">
        <v>11481</v>
      </c>
      <c r="E213" s="65">
        <v>4830</v>
      </c>
      <c r="F213" s="65">
        <v>1823</v>
      </c>
      <c r="G213" s="65">
        <v>1429</v>
      </c>
      <c r="H213" s="63"/>
      <c r="I213" s="63"/>
      <c r="J213" s="63"/>
      <c r="K213" s="63"/>
      <c r="L213" s="63"/>
      <c r="M213" s="1"/>
      <c r="N213" s="1"/>
      <c r="O213" s="1"/>
      <c r="P213" s="1"/>
      <c r="Q213" s="1"/>
      <c r="R213" s="1"/>
      <c r="S213" s="1"/>
      <c r="T213" s="1"/>
      <c r="U213" s="1"/>
      <c r="V213" s="1"/>
      <c r="W213" s="1"/>
      <c r="X213" s="1"/>
      <c r="Y213" s="1"/>
      <c r="Z213" s="1"/>
    </row>
    <row r="214" spans="1:26" ht="20.25" customHeight="1">
      <c r="A214" s="88"/>
      <c r="B214" s="104" t="s">
        <v>290</v>
      </c>
      <c r="C214" s="90"/>
      <c r="D214" s="65">
        <v>10300</v>
      </c>
      <c r="E214" s="65">
        <v>3825</v>
      </c>
      <c r="F214" s="65">
        <v>1622</v>
      </c>
      <c r="G214" s="65">
        <v>1182</v>
      </c>
      <c r="H214" s="63"/>
      <c r="I214" s="63"/>
      <c r="J214" s="63"/>
      <c r="K214" s="63"/>
      <c r="L214" s="63"/>
      <c r="M214" s="1"/>
      <c r="N214" s="1"/>
      <c r="O214" s="1"/>
      <c r="P214" s="1"/>
      <c r="Q214" s="1"/>
      <c r="R214" s="1"/>
      <c r="S214" s="1"/>
      <c r="T214" s="1"/>
      <c r="U214" s="1"/>
      <c r="V214" s="1"/>
      <c r="W214" s="1"/>
      <c r="X214" s="1"/>
      <c r="Y214" s="1"/>
      <c r="Z214" s="1"/>
    </row>
    <row r="215" spans="1:26" ht="20.25" customHeight="1">
      <c r="A215" s="88"/>
      <c r="B215" s="104" t="s">
        <v>292</v>
      </c>
      <c r="C215" s="90"/>
      <c r="D215" s="65">
        <v>8928</v>
      </c>
      <c r="E215" s="65">
        <v>3051</v>
      </c>
      <c r="F215" s="65">
        <v>1391</v>
      </c>
      <c r="G215" s="65">
        <v>1011</v>
      </c>
      <c r="H215" s="63"/>
      <c r="I215" s="63"/>
      <c r="J215" s="63"/>
      <c r="K215" s="63"/>
      <c r="L215" s="63"/>
      <c r="M215" s="1"/>
      <c r="N215" s="1"/>
      <c r="O215" s="1"/>
      <c r="P215" s="1"/>
      <c r="Q215" s="1"/>
      <c r="R215" s="1"/>
      <c r="S215" s="1"/>
      <c r="T215" s="1"/>
      <c r="U215" s="1"/>
      <c r="V215" s="1"/>
      <c r="W215" s="1"/>
      <c r="X215" s="1"/>
      <c r="Y215" s="1"/>
      <c r="Z215" s="1"/>
    </row>
    <row r="216" spans="1:26" ht="20.25" customHeight="1">
      <c r="A216" s="88"/>
      <c r="B216" s="104" t="s">
        <v>294</v>
      </c>
      <c r="C216" s="90"/>
      <c r="D216" s="65">
        <v>7713</v>
      </c>
      <c r="E216" s="65">
        <v>2158</v>
      </c>
      <c r="F216" s="65">
        <v>1190</v>
      </c>
      <c r="G216" s="65">
        <v>773</v>
      </c>
      <c r="H216" s="63"/>
      <c r="I216" s="63"/>
      <c r="J216" s="63"/>
      <c r="K216" s="63"/>
      <c r="L216" s="63"/>
      <c r="M216" s="1"/>
      <c r="N216" s="1"/>
      <c r="O216" s="1"/>
      <c r="P216" s="1"/>
      <c r="Q216" s="1"/>
      <c r="R216" s="1"/>
      <c r="S216" s="1"/>
      <c r="T216" s="1"/>
      <c r="U216" s="1"/>
      <c r="V216" s="1"/>
      <c r="W216" s="1"/>
      <c r="X216" s="1"/>
      <c r="Y216" s="1"/>
      <c r="Z216" s="1"/>
    </row>
    <row r="217" spans="1:26" ht="20.25" customHeight="1">
      <c r="A217" s="88"/>
      <c r="B217" s="104" t="s">
        <v>296</v>
      </c>
      <c r="C217" s="90"/>
      <c r="D217" s="65">
        <v>6221</v>
      </c>
      <c r="E217" s="65">
        <v>1598</v>
      </c>
      <c r="F217" s="65">
        <v>955</v>
      </c>
      <c r="G217" s="65">
        <v>599</v>
      </c>
      <c r="H217" s="63"/>
      <c r="I217" s="63"/>
      <c r="J217" s="63"/>
      <c r="K217" s="63"/>
      <c r="L217" s="63"/>
      <c r="M217" s="1"/>
      <c r="N217" s="1"/>
      <c r="O217" s="1"/>
      <c r="P217" s="1"/>
      <c r="Q217" s="1"/>
      <c r="R217" s="1"/>
      <c r="S217" s="1"/>
      <c r="T217" s="1"/>
      <c r="U217" s="1"/>
      <c r="V217" s="1"/>
      <c r="W217" s="1"/>
      <c r="X217" s="1"/>
      <c r="Y217" s="1"/>
      <c r="Z217" s="1"/>
    </row>
    <row r="218" spans="1:26" ht="20.25" customHeight="1">
      <c r="A218" s="88"/>
      <c r="B218" s="104" t="s">
        <v>298</v>
      </c>
      <c r="C218" s="90"/>
      <c r="D218" s="65">
        <v>15113</v>
      </c>
      <c r="E218" s="65">
        <v>2573</v>
      </c>
      <c r="F218" s="65">
        <v>2283</v>
      </c>
      <c r="G218" s="65">
        <v>1173</v>
      </c>
      <c r="H218" s="63"/>
      <c r="I218" s="63"/>
      <c r="J218" s="63"/>
      <c r="K218" s="63"/>
      <c r="L218" s="63"/>
      <c r="M218" s="1"/>
      <c r="N218" s="1"/>
      <c r="O218" s="1"/>
      <c r="P218" s="1"/>
      <c r="Q218" s="1"/>
      <c r="R218" s="1"/>
      <c r="S218" s="1"/>
      <c r="T218" s="1"/>
      <c r="U218" s="1"/>
      <c r="V218" s="1"/>
      <c r="W218" s="1"/>
      <c r="X218" s="1"/>
      <c r="Y218" s="1"/>
      <c r="Z218" s="1"/>
    </row>
    <row r="219" spans="1:26" ht="20.25" customHeight="1">
      <c r="A219" s="42"/>
      <c r="B219" s="43"/>
      <c r="C219" s="105"/>
      <c r="D219" s="63"/>
      <c r="E219" s="63"/>
      <c r="F219" s="63"/>
      <c r="G219" s="63"/>
      <c r="H219" s="63"/>
      <c r="I219" s="63"/>
      <c r="J219" s="63"/>
      <c r="K219" s="63"/>
      <c r="L219" s="63"/>
      <c r="M219" s="1"/>
      <c r="N219" s="1"/>
      <c r="O219" s="1"/>
      <c r="P219" s="1"/>
      <c r="Q219" s="1"/>
      <c r="R219" s="1"/>
      <c r="S219" s="1"/>
      <c r="T219" s="1"/>
      <c r="U219" s="1"/>
      <c r="V219" s="1"/>
      <c r="W219" s="1"/>
      <c r="X219" s="1"/>
      <c r="Y219" s="1"/>
      <c r="Z219" s="1"/>
    </row>
    <row r="220" spans="1:26" ht="19.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9.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9.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9.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9.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9.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9.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9.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9.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9.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9.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9.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9.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9.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9.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9.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9.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9.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9.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9.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9.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9.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9.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9.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9.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9.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9.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9.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9.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9.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9.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9.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9.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9.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9.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9.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9.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9.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9.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9.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9.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9.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9.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9.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9.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9.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9.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9.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9.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9.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9.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9.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9.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9.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9.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9.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9.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9.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9.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9.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9.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9.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9.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9.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9.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9.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9.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9.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9.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9.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9.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9.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9.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9.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9.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9.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9.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9.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9.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9.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9.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9.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9.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9.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9.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9.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9.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9.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9.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9.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9.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9.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9.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9.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9.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9.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9.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9.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9.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9.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9.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9.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9.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9.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9.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9.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9.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9.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9.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9.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9.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9.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9.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9.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9.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9.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9.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9.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9.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9.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9.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9.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9.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9.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9.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9.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9.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9.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9.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9.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9.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9.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9.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9.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9.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9.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9.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9.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9.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9.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9.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9.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9.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9.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9.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9.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9.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9.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9.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9.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9.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9.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9.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9.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9.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9.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9.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9.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9.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9.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9.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9.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9.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9.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9.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9.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9.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9.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9.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9.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9.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9.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9.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9.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9.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9.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9.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9.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9.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9.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9.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9.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9.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9.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9.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9.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9.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9.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9.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9.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9.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9.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9.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9.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9.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9.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9.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9.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9.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9.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9.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9.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9.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9.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9.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9.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9.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9.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9.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9.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9.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9.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9.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9.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9.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9.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9.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9.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9.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9.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9.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9.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9.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9.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9.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9.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9.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9.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9.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9.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9.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9.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9.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9.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9.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9.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9.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9.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9.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9.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9.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9.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9.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9.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9.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9.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9.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9.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9.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9.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9.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9.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9.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9.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9.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9.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9.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9.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9.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9.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9.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9.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9.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9.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9.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9.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9.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9.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9.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9.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9.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9.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9.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9.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9.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9.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9.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9.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9.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9.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9.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9.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9.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9.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9.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9.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9.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9.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9.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9.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9.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9.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9.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9.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9.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9.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9.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9.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9.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9.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9.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9.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9.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9.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9.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9.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9.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9.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9.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9.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9.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9.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9.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9.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9.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9.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9.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9.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9.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9.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9.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9.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9.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9.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9.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9.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9.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9.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9.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9.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9.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9.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9.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9.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9.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9.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9.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9.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9.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9.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9.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9.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9.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9.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9.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9.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9.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9.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9.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9.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9.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9.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9.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9.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9.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9.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9.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9.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9.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9.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9.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9.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9.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9.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9.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9.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9.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9.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9.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9.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9.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9.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9.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9.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9.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9.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9.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9.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9.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9.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9.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9.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9.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9.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9.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9.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9.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9.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9.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9.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9.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9.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9.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9.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9.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9.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9.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9.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9.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9.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9.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9.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9.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9.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9.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9.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9.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9.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9.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9.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9.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9.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9.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9.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9.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9.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9.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9.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9.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9.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9.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9.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9.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9.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9.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9.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9.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9.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9.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9.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9.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9.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9.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9.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9.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9.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9.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9.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9.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9.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9.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9.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9.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9.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9.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9.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9.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9.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9.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9.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9.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9.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9.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9.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9.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9.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9.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9.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9.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9.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9.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9.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9.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9.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9.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9.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9.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9.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9.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9.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9.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9.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9.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9.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9.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9.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9.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9.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9.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9.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9.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9.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9.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9.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9.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9.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9.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9.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9.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9.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9.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9.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9.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9.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9.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9.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9.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9.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9.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9.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9.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9.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9.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9.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9.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9.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9.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9.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9.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9.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9.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9.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9.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9.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9.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9.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9.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9.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9.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9.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9.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9.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9.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9.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9.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9.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9.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9.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9.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9.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9.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9.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9.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9.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9.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9.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9.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9.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9.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9.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9.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9.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9.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9.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9.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9.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9.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9.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9.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9.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9.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9.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9.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9.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9.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9.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9.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9.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9.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9.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9.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9.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9.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9.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9.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9.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9.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9.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9.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9.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9.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9.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9.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9.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9.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9.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9.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9.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9.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9.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9.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9.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9.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9.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9.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9.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9.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9.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9.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9.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9.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9.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9.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9.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9.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9.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9.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9.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9.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9.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9.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9.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9.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9.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9.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9.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9.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9.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9.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9.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9.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9.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9.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9.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9.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9.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9.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9.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9.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9.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9.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9.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9.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9.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9.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9.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9.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9.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9.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9.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9.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9.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9.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9.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9.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9.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9.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9.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9.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9.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9.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9.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9.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9.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9.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9.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9.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9.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9.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9.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9.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9.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9.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9.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9.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9.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9.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9.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9.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9.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9.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9.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9.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9.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9.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9.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9.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9.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9.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9.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9.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9.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9.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9.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9.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9.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9.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9.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9.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9.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9.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9.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9.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9.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9.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9.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9.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9.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9.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9.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9.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9.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9.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9.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9.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9.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9.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9.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9.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9.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9.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9.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9.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9.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9.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9.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9.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9.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9.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9.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9.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9.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9.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9.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9.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9.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9.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9.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9.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9.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9.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9.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9.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9.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9.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9.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9.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9.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9.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9.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9.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9.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9.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9.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9.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9.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9.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9.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9.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9.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9.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9.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9.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9.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9.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9.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9.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9.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9.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9.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9.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9.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9.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9.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9.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9.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9.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9.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9.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9.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9.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9.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9.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9.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9.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9.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9.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9.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9.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9.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9.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9.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9.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9.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9.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9.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9.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9.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9.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9.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9.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1">
    <mergeCell ref="C113:K113"/>
    <mergeCell ref="C114:K114"/>
    <mergeCell ref="C116:K116"/>
    <mergeCell ref="C117:K117"/>
    <mergeCell ref="A1:L1"/>
    <mergeCell ref="C4:K4"/>
    <mergeCell ref="C5:K5"/>
    <mergeCell ref="C109:K109"/>
    <mergeCell ref="C110:K110"/>
    <mergeCell ref="C111:K111"/>
    <mergeCell ref="C112:K112"/>
  </mergeCells>
  <pageMargins left="1" right="1" top="1" bottom="1" header="0" footer="0"/>
  <pageSetup orientation="portrait"/>
  <headerFooter>
    <oddFooter>&amp;C 000000&amp;P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1000"/>
  <sheetViews>
    <sheetView showGridLines="0" workbookViewId="0">
      <pane xSplit="2" ySplit="3" topLeftCell="C4" activePane="bottomRight" state="frozen"/>
      <selection pane="topRight" activeCell="C1" sqref="C1"/>
      <selection pane="bottomLeft" activeCell="A4" sqref="A4"/>
      <selection pane="bottomRight" activeCell="C4" sqref="C4"/>
    </sheetView>
  </sheetViews>
  <sheetFormatPr baseColWidth="10" defaultColWidth="14.42578125" defaultRowHeight="15" customHeight="1"/>
  <cols>
    <col min="1" max="1" width="6.7109375" customWidth="1"/>
    <col min="2" max="2" width="33.28515625" customWidth="1"/>
    <col min="3" max="12" width="13.28515625" customWidth="1"/>
    <col min="13" max="26" width="16.28515625" customWidth="1"/>
  </cols>
  <sheetData>
    <row r="1" spans="1:26" ht="27" customHeight="1">
      <c r="A1" s="155" t="s">
        <v>610</v>
      </c>
      <c r="B1" s="156"/>
      <c r="C1" s="156"/>
      <c r="D1" s="156"/>
      <c r="E1" s="156"/>
      <c r="F1" s="156"/>
      <c r="G1" s="156"/>
      <c r="H1" s="156"/>
      <c r="I1" s="156"/>
      <c r="J1" s="156"/>
      <c r="K1" s="156"/>
      <c r="L1" s="156"/>
      <c r="M1" s="1"/>
      <c r="N1" s="1"/>
      <c r="O1" s="1"/>
      <c r="P1" s="1"/>
      <c r="Q1" s="1"/>
      <c r="R1" s="1"/>
      <c r="S1" s="1"/>
      <c r="T1" s="1"/>
      <c r="U1" s="1"/>
      <c r="V1" s="1"/>
      <c r="W1" s="1"/>
      <c r="X1" s="1"/>
      <c r="Y1" s="1"/>
      <c r="Z1" s="1"/>
    </row>
    <row r="2" spans="1:26" ht="19.5" customHeight="1">
      <c r="A2" s="2"/>
      <c r="B2" s="2"/>
      <c r="C2" s="3" t="s">
        <v>1</v>
      </c>
      <c r="D2" s="3" t="s">
        <v>2</v>
      </c>
      <c r="E2" s="3" t="s">
        <v>3</v>
      </c>
      <c r="F2" s="3" t="s">
        <v>4</v>
      </c>
      <c r="G2" s="3" t="s">
        <v>5</v>
      </c>
      <c r="H2" s="3" t="s">
        <v>6</v>
      </c>
      <c r="I2" s="3" t="s">
        <v>7</v>
      </c>
      <c r="J2" s="3" t="s">
        <v>8</v>
      </c>
      <c r="K2" s="3" t="s">
        <v>9</v>
      </c>
      <c r="L2" s="2"/>
      <c r="M2" s="1"/>
      <c r="N2" s="1"/>
      <c r="O2" s="1"/>
      <c r="P2" s="1"/>
      <c r="Q2" s="1"/>
      <c r="R2" s="1"/>
      <c r="S2" s="1"/>
      <c r="T2" s="1"/>
      <c r="U2" s="1"/>
      <c r="V2" s="1"/>
      <c r="W2" s="1"/>
      <c r="X2" s="1"/>
      <c r="Y2" s="1"/>
      <c r="Z2" s="1"/>
    </row>
    <row r="3" spans="1:26" ht="32.25" customHeight="1">
      <c r="A3" s="23"/>
      <c r="B3" s="46" t="str">
        <f t="array" ref="B3">overview!C11&amp;" / "&amp;overview!C12</f>
        <v>FR / France</v>
      </c>
      <c r="C3" s="47" t="s">
        <v>10</v>
      </c>
      <c r="D3" s="47" t="s">
        <v>11</v>
      </c>
      <c r="E3" s="47" t="s">
        <v>12</v>
      </c>
      <c r="F3" s="47" t="s">
        <v>13</v>
      </c>
      <c r="G3" s="47" t="s">
        <v>14</v>
      </c>
      <c r="H3" s="47" t="s">
        <v>15</v>
      </c>
      <c r="I3" s="47" t="s">
        <v>16</v>
      </c>
      <c r="J3" s="47" t="s">
        <v>17</v>
      </c>
      <c r="K3" s="47" t="s">
        <v>18</v>
      </c>
      <c r="L3" s="6" t="s">
        <v>19</v>
      </c>
      <c r="M3" s="1"/>
      <c r="N3" s="1"/>
      <c r="O3" s="1"/>
      <c r="P3" s="1"/>
      <c r="Q3" s="1"/>
      <c r="R3" s="1"/>
      <c r="S3" s="1"/>
      <c r="T3" s="1"/>
      <c r="U3" s="1"/>
      <c r="V3" s="1"/>
      <c r="W3" s="1"/>
      <c r="X3" s="1"/>
      <c r="Y3" s="1"/>
      <c r="Z3" s="1"/>
    </row>
    <row r="4" spans="1:26" ht="33" customHeight="1">
      <c r="A4" s="48"/>
      <c r="B4" s="49" t="s">
        <v>93</v>
      </c>
      <c r="C4" s="184" t="s">
        <v>94</v>
      </c>
      <c r="D4" s="158"/>
      <c r="E4" s="158"/>
      <c r="F4" s="158"/>
      <c r="G4" s="158"/>
      <c r="H4" s="158"/>
      <c r="I4" s="158"/>
      <c r="J4" s="158"/>
      <c r="K4" s="159"/>
      <c r="L4" s="50"/>
      <c r="M4" s="1"/>
      <c r="N4" s="1"/>
      <c r="O4" s="1"/>
      <c r="P4" s="1"/>
      <c r="Q4" s="1"/>
      <c r="R4" s="1"/>
      <c r="S4" s="1"/>
      <c r="T4" s="1"/>
      <c r="U4" s="1"/>
      <c r="V4" s="1"/>
      <c r="W4" s="1"/>
      <c r="X4" s="1"/>
      <c r="Y4" s="1"/>
      <c r="Z4" s="1"/>
    </row>
    <row r="5" spans="1:26" ht="26.25" customHeight="1">
      <c r="A5" s="51"/>
      <c r="B5" s="52" t="s">
        <v>611</v>
      </c>
      <c r="C5" s="160" t="s">
        <v>612</v>
      </c>
      <c r="D5" s="161"/>
      <c r="E5" s="161"/>
      <c r="F5" s="161"/>
      <c r="G5" s="161"/>
      <c r="H5" s="161"/>
      <c r="I5" s="161"/>
      <c r="J5" s="161"/>
      <c r="K5" s="162"/>
      <c r="L5" s="21"/>
      <c r="M5" s="1"/>
      <c r="N5" s="1"/>
      <c r="O5" s="1"/>
      <c r="P5" s="1"/>
      <c r="Q5" s="1"/>
      <c r="R5" s="1"/>
      <c r="S5" s="1"/>
      <c r="T5" s="1"/>
      <c r="U5" s="1"/>
      <c r="V5" s="1"/>
      <c r="W5" s="1"/>
      <c r="X5" s="1"/>
      <c r="Y5" s="1"/>
      <c r="Z5" s="1"/>
    </row>
    <row r="6" spans="1:26" ht="19.5" customHeight="1">
      <c r="A6" s="2"/>
      <c r="B6" s="17"/>
      <c r="C6" s="53"/>
      <c r="D6" s="53"/>
      <c r="E6" s="53"/>
      <c r="F6" s="53"/>
      <c r="G6" s="53"/>
      <c r="H6" s="53"/>
      <c r="I6" s="53"/>
      <c r="J6" s="53"/>
      <c r="K6" s="53"/>
      <c r="L6" s="53"/>
      <c r="M6" s="1"/>
      <c r="N6" s="1"/>
      <c r="O6" s="1"/>
      <c r="P6" s="1"/>
      <c r="Q6" s="1"/>
      <c r="R6" s="1"/>
      <c r="S6" s="1"/>
      <c r="T6" s="1"/>
      <c r="U6" s="1"/>
      <c r="V6" s="1"/>
      <c r="W6" s="1"/>
      <c r="X6" s="1"/>
      <c r="Y6" s="1"/>
      <c r="Z6" s="1"/>
    </row>
    <row r="7" spans="1:26" ht="19.5" customHeight="1">
      <c r="A7" s="2"/>
      <c r="B7" s="22" t="s">
        <v>613</v>
      </c>
      <c r="C7" s="54">
        <v>2024</v>
      </c>
      <c r="D7" s="53"/>
      <c r="E7" s="53"/>
      <c r="F7" s="53"/>
      <c r="G7" s="53"/>
      <c r="H7" s="53"/>
      <c r="I7" s="53"/>
      <c r="J7" s="53"/>
      <c r="K7" s="53"/>
      <c r="L7" s="53"/>
      <c r="M7" s="1"/>
      <c r="N7" s="1"/>
      <c r="O7" s="1"/>
      <c r="P7" s="1"/>
      <c r="Q7" s="1"/>
      <c r="R7" s="1"/>
      <c r="S7" s="1"/>
      <c r="T7" s="1"/>
      <c r="U7" s="1"/>
      <c r="V7" s="1"/>
      <c r="W7" s="1"/>
      <c r="X7" s="1"/>
      <c r="Y7" s="1"/>
      <c r="Z7" s="1"/>
    </row>
    <row r="8" spans="1:26" ht="19.5" customHeight="1">
      <c r="A8" s="23"/>
      <c r="B8" s="24"/>
      <c r="C8" s="106"/>
      <c r="D8" s="107"/>
      <c r="E8" s="107"/>
      <c r="F8" s="107"/>
      <c r="G8" s="107"/>
      <c r="H8" s="107"/>
      <c r="I8" s="107"/>
      <c r="J8" s="107"/>
      <c r="K8" s="107"/>
      <c r="L8" s="53"/>
      <c r="M8" s="1"/>
      <c r="N8" s="1"/>
      <c r="O8" s="1"/>
      <c r="P8" s="1"/>
      <c r="Q8" s="1"/>
      <c r="R8" s="1"/>
      <c r="S8" s="1"/>
      <c r="T8" s="1"/>
      <c r="U8" s="1"/>
      <c r="V8" s="1"/>
      <c r="W8" s="1"/>
      <c r="X8" s="1"/>
      <c r="Y8" s="1"/>
      <c r="Z8" s="1"/>
    </row>
    <row r="9" spans="1:26" ht="19.5" customHeight="1">
      <c r="A9" s="39" t="s">
        <v>7</v>
      </c>
      <c r="B9" s="12" t="s">
        <v>614</v>
      </c>
      <c r="C9" s="81">
        <f t="array" ref="C9">H9+I9</f>
        <v>126035.20000000001</v>
      </c>
      <c r="D9" s="108">
        <f t="array" ref="D9">D199-D286</f>
        <v>-36574.699999999997</v>
      </c>
      <c r="E9" s="108">
        <f t="array" ref="E9">E199-E286</f>
        <v>-33924.999999999993</v>
      </c>
      <c r="F9" s="108">
        <f t="array" ref="F9">F199-F286</f>
        <v>99975.4</v>
      </c>
      <c r="G9" s="108">
        <f t="array" ref="G9">G199-G286</f>
        <v>96559.5</v>
      </c>
      <c r="H9" s="81">
        <f t="array" ref="H9">E9+D9</f>
        <v>-70499.699999999983</v>
      </c>
      <c r="I9" s="81">
        <f t="array" ref="I9">G9+F9</f>
        <v>196534.9</v>
      </c>
      <c r="J9" s="81">
        <f t="array" ref="J9">D9+F9</f>
        <v>63400.7</v>
      </c>
      <c r="K9" s="81">
        <f t="array" ref="K9">E9+G9</f>
        <v>62634.500000000007</v>
      </c>
      <c r="L9" s="53"/>
      <c r="M9" s="1"/>
      <c r="N9" s="1"/>
      <c r="O9" s="1"/>
      <c r="P9" s="1"/>
      <c r="Q9" s="1"/>
      <c r="R9" s="1"/>
      <c r="S9" s="1"/>
      <c r="T9" s="1"/>
      <c r="U9" s="1"/>
      <c r="V9" s="1"/>
      <c r="W9" s="1"/>
      <c r="X9" s="1"/>
      <c r="Y9" s="1"/>
      <c r="Z9" s="1"/>
    </row>
    <row r="10" spans="1:26" ht="19.5" customHeight="1">
      <c r="A10" s="11"/>
      <c r="B10" s="16"/>
      <c r="C10" s="109"/>
      <c r="D10" s="109"/>
      <c r="E10" s="109"/>
      <c r="F10" s="109"/>
      <c r="G10" s="109"/>
      <c r="H10" s="109"/>
      <c r="I10" s="109"/>
      <c r="J10" s="109"/>
      <c r="K10" s="109"/>
      <c r="L10" s="53"/>
      <c r="M10" s="1"/>
      <c r="N10" s="1"/>
      <c r="O10" s="1"/>
      <c r="P10" s="1"/>
      <c r="Q10" s="1"/>
      <c r="R10" s="1"/>
      <c r="S10" s="1"/>
      <c r="T10" s="1"/>
      <c r="U10" s="1"/>
      <c r="V10" s="1"/>
      <c r="W10" s="1"/>
      <c r="X10" s="1"/>
      <c r="Y10" s="1"/>
      <c r="Z10" s="1"/>
    </row>
    <row r="11" spans="1:26" ht="19.5" customHeight="1">
      <c r="A11" s="39" t="s">
        <v>615</v>
      </c>
      <c r="B11" s="22" t="s">
        <v>100</v>
      </c>
      <c r="C11" s="56">
        <f t="array" ref="C11">H11+I11</f>
        <v>0</v>
      </c>
      <c r="D11" s="56">
        <f t="array" ref="D11">D$9*$L11</f>
        <v>0</v>
      </c>
      <c r="E11" s="56">
        <f t="array" ref="E11">E$9*$L11</f>
        <v>0</v>
      </c>
      <c r="F11" s="56">
        <f t="array" ref="F11">F$9*$L11</f>
        <v>0</v>
      </c>
      <c r="G11" s="56">
        <f t="array" ref="G11">G$9*$L11</f>
        <v>0</v>
      </c>
      <c r="H11" s="56">
        <f t="array" ref="H11">E11+D11</f>
        <v>0</v>
      </c>
      <c r="I11" s="56">
        <f t="array" ref="I11">G11+F11</f>
        <v>0</v>
      </c>
      <c r="J11" s="56">
        <f t="array" ref="J11">D11+F11</f>
        <v>0</v>
      </c>
      <c r="K11" s="56">
        <f t="array" ref="K11">E11+G11</f>
        <v>0</v>
      </c>
      <c r="L11" s="58"/>
      <c r="M11" s="1"/>
      <c r="N11" s="1"/>
      <c r="O11" s="1"/>
      <c r="P11" s="1"/>
      <c r="Q11" s="1"/>
      <c r="R11" s="1"/>
      <c r="S11" s="1"/>
      <c r="T11" s="1"/>
      <c r="U11" s="1"/>
      <c r="V11" s="1"/>
      <c r="W11" s="1"/>
      <c r="X11" s="1"/>
      <c r="Y11" s="1"/>
      <c r="Z11" s="1"/>
    </row>
    <row r="12" spans="1:26" ht="19.5" customHeight="1">
      <c r="A12" s="39" t="s">
        <v>616</v>
      </c>
      <c r="B12" s="22" t="s">
        <v>102</v>
      </c>
      <c r="C12" s="56">
        <f t="array" ref="C12">H12+I12</f>
        <v>0</v>
      </c>
      <c r="D12" s="56">
        <f t="array" ref="D12">D$9*$L12</f>
        <v>0</v>
      </c>
      <c r="E12" s="56">
        <f t="array" ref="E12">E$9*$L12</f>
        <v>0</v>
      </c>
      <c r="F12" s="56">
        <f t="array" ref="F12">F$9*$L12</f>
        <v>0</v>
      </c>
      <c r="G12" s="56">
        <f t="array" ref="G12">G$9*$L12</f>
        <v>0</v>
      </c>
      <c r="H12" s="56">
        <f t="array" ref="H12">E12+D12</f>
        <v>0</v>
      </c>
      <c r="I12" s="56">
        <f t="array" ref="I12">G12+F12</f>
        <v>0</v>
      </c>
      <c r="J12" s="56">
        <f t="array" ref="J12">D12+F12</f>
        <v>0</v>
      </c>
      <c r="K12" s="56">
        <f t="array" ref="K12">E12+G12</f>
        <v>0</v>
      </c>
      <c r="L12" s="58"/>
      <c r="M12" s="1"/>
      <c r="N12" s="1"/>
      <c r="O12" s="1"/>
      <c r="P12" s="1"/>
      <c r="Q12" s="1"/>
      <c r="R12" s="1"/>
      <c r="S12" s="1"/>
      <c r="T12" s="1"/>
      <c r="U12" s="1"/>
      <c r="V12" s="1"/>
      <c r="W12" s="1"/>
      <c r="X12" s="1"/>
      <c r="Y12" s="1"/>
      <c r="Z12" s="1"/>
    </row>
    <row r="13" spans="1:26" ht="19.5" customHeight="1">
      <c r="A13" s="39" t="s">
        <v>617</v>
      </c>
      <c r="B13" s="22" t="s">
        <v>104</v>
      </c>
      <c r="C13" s="56">
        <f t="array" ref="C13">H13+I13</f>
        <v>0</v>
      </c>
      <c r="D13" s="56">
        <f t="array" ref="D13">D$9*$L13</f>
        <v>0</v>
      </c>
      <c r="E13" s="56">
        <f t="array" ref="E13">E$9*$L13</f>
        <v>0</v>
      </c>
      <c r="F13" s="56">
        <f t="array" ref="F13">F$9*$L13</f>
        <v>0</v>
      </c>
      <c r="G13" s="56">
        <f t="array" ref="G13">G$9*$L13</f>
        <v>0</v>
      </c>
      <c r="H13" s="56">
        <f t="array" ref="H13">E13+D13</f>
        <v>0</v>
      </c>
      <c r="I13" s="56">
        <f t="array" ref="I13">G13+F13</f>
        <v>0</v>
      </c>
      <c r="J13" s="56">
        <f t="array" ref="J13">D13+F13</f>
        <v>0</v>
      </c>
      <c r="K13" s="56">
        <f t="array" ref="K13">E13+G13</f>
        <v>0</v>
      </c>
      <c r="L13" s="58"/>
      <c r="M13" s="1"/>
      <c r="N13" s="1"/>
      <c r="O13" s="1"/>
      <c r="P13" s="1"/>
      <c r="Q13" s="1"/>
      <c r="R13" s="1"/>
      <c r="S13" s="1"/>
      <c r="T13" s="1"/>
      <c r="U13" s="1"/>
      <c r="V13" s="1"/>
      <c r="W13" s="1"/>
      <c r="X13" s="1"/>
      <c r="Y13" s="1"/>
      <c r="Z13" s="1"/>
    </row>
    <row r="14" spans="1:26" ht="19.5" customHeight="1">
      <c r="A14" s="39" t="s">
        <v>618</v>
      </c>
      <c r="B14" s="22" t="s">
        <v>106</v>
      </c>
      <c r="C14" s="56">
        <f t="array" ref="C14">H14+I14</f>
        <v>0</v>
      </c>
      <c r="D14" s="56">
        <f t="array" ref="D14">D$9*$L14</f>
        <v>0</v>
      </c>
      <c r="E14" s="56">
        <f t="array" ref="E14">E$9*$L14</f>
        <v>0</v>
      </c>
      <c r="F14" s="56">
        <f t="array" ref="F14">F$9*$L14</f>
        <v>0</v>
      </c>
      <c r="G14" s="56">
        <f t="array" ref="G14">G$9*$L14</f>
        <v>0</v>
      </c>
      <c r="H14" s="56">
        <f t="array" ref="H14">E14+D14</f>
        <v>0</v>
      </c>
      <c r="I14" s="56">
        <f t="array" ref="I14">G14+F14</f>
        <v>0</v>
      </c>
      <c r="J14" s="56">
        <f t="array" ref="J14">D14+F14</f>
        <v>0</v>
      </c>
      <c r="K14" s="56">
        <f t="array" ref="K14">E14+G14</f>
        <v>0</v>
      </c>
      <c r="L14" s="58"/>
      <c r="M14" s="1"/>
      <c r="N14" s="1"/>
      <c r="O14" s="1"/>
      <c r="P14" s="1"/>
      <c r="Q14" s="1"/>
      <c r="R14" s="1"/>
      <c r="S14" s="1"/>
      <c r="T14" s="1"/>
      <c r="U14" s="1"/>
      <c r="V14" s="1"/>
      <c r="W14" s="1"/>
      <c r="X14" s="1"/>
      <c r="Y14" s="1"/>
      <c r="Z14" s="1"/>
    </row>
    <row r="15" spans="1:26" ht="19.5" customHeight="1">
      <c r="A15" s="39" t="s">
        <v>619</v>
      </c>
      <c r="B15" s="33" t="s">
        <v>108</v>
      </c>
      <c r="C15" s="78">
        <f t="array" ref="C15">H15+I15</f>
        <v>0</v>
      </c>
      <c r="D15" s="78">
        <f t="array" ref="D15">D$9*$L15</f>
        <v>0</v>
      </c>
      <c r="E15" s="78">
        <f t="array" ref="E15">E$9*$L15</f>
        <v>0</v>
      </c>
      <c r="F15" s="78">
        <f t="array" ref="F15">F$9*$L15</f>
        <v>0</v>
      </c>
      <c r="G15" s="78">
        <f t="array" ref="G15">G$9*$L15</f>
        <v>0</v>
      </c>
      <c r="H15" s="78">
        <f t="array" ref="H15">E15+D15</f>
        <v>0</v>
      </c>
      <c r="I15" s="78">
        <f t="array" ref="I15">G15+F15</f>
        <v>0</v>
      </c>
      <c r="J15" s="78">
        <f t="array" ref="J15">D15+F15</f>
        <v>0</v>
      </c>
      <c r="K15" s="78">
        <f t="array" ref="K15">E15+G15</f>
        <v>0</v>
      </c>
      <c r="L15" s="58"/>
      <c r="M15" s="1"/>
      <c r="N15" s="1"/>
      <c r="O15" s="1"/>
      <c r="P15" s="1"/>
      <c r="Q15" s="1"/>
      <c r="R15" s="1"/>
      <c r="S15" s="1"/>
      <c r="T15" s="1"/>
      <c r="U15" s="1"/>
      <c r="V15" s="1"/>
      <c r="W15" s="1"/>
      <c r="X15" s="1"/>
      <c r="Y15" s="1"/>
      <c r="Z15" s="1"/>
    </row>
    <row r="16" spans="1:26" ht="19.5" customHeight="1">
      <c r="A16" s="39" t="s">
        <v>620</v>
      </c>
      <c r="B16" s="12" t="s">
        <v>110</v>
      </c>
      <c r="C16" s="81">
        <f t="array" ref="C16">H16+I16</f>
        <v>15.718190087039996</v>
      </c>
      <c r="D16" s="81">
        <f t="array" ref="D16">D$9*$L16</f>
        <v>-4.5613295886899996</v>
      </c>
      <c r="E16" s="81">
        <f t="array" ref="E16">E$9*$L16</f>
        <v>-4.2308783474999991</v>
      </c>
      <c r="F16" s="81">
        <f t="array" ref="F16">F$9*$L16</f>
        <v>12.468202067579998</v>
      </c>
      <c r="G16" s="81">
        <f t="array" ref="G16">G$9*$L16</f>
        <v>12.04219595565</v>
      </c>
      <c r="H16" s="81">
        <f t="array" ref="H16">E16+D16</f>
        <v>-8.7922079361899996</v>
      </c>
      <c r="I16" s="81">
        <f t="array" ref="I16">G16+F16</f>
        <v>24.510398023229996</v>
      </c>
      <c r="J16" s="81">
        <f t="array" ref="J16">D16+F16</f>
        <v>7.9068724788899987</v>
      </c>
      <c r="K16" s="81">
        <f t="array" ref="K16">E16+G16</f>
        <v>7.8113176081500004</v>
      </c>
      <c r="L16" s="85">
        <v>1.2471269999999999E-4</v>
      </c>
      <c r="M16" s="1"/>
      <c r="N16" s="1"/>
      <c r="O16" s="1"/>
      <c r="P16" s="1"/>
      <c r="Q16" s="1"/>
      <c r="R16" s="1"/>
      <c r="S16" s="1"/>
      <c r="T16" s="1"/>
      <c r="U16" s="1"/>
      <c r="V16" s="1"/>
      <c r="W16" s="1"/>
      <c r="X16" s="1"/>
      <c r="Y16" s="1"/>
      <c r="Z16" s="1"/>
    </row>
    <row r="17" spans="1:26" ht="19.5" customHeight="1">
      <c r="A17" s="39" t="s">
        <v>621</v>
      </c>
      <c r="B17" s="12" t="s">
        <v>112</v>
      </c>
      <c r="C17" s="81">
        <f t="array" ref="C17">H17+I17</f>
        <v>25.651830824319998</v>
      </c>
      <c r="D17" s="81">
        <f t="array" ref="D17">D$9*$L17</f>
        <v>-7.4440157737699986</v>
      </c>
      <c r="E17" s="81">
        <f t="array" ref="E17">E$9*$L17</f>
        <v>-6.9047247174999979</v>
      </c>
      <c r="F17" s="81">
        <f t="array" ref="F17">F$9*$L17</f>
        <v>20.347903184139998</v>
      </c>
      <c r="G17" s="81">
        <f t="array" ref="G17">G$9*$L17</f>
        <v>19.65266813145</v>
      </c>
      <c r="H17" s="81">
        <f t="array" ref="H17">E17+D17</f>
        <v>-14.348740491269997</v>
      </c>
      <c r="I17" s="81">
        <f t="array" ref="I17">G17+F17</f>
        <v>40.000571315589994</v>
      </c>
      <c r="J17" s="81">
        <f t="array" ref="J17">D17+F17</f>
        <v>12.90388741037</v>
      </c>
      <c r="K17" s="81">
        <f t="array" ref="K17">E17+G17</f>
        <v>12.747943413950001</v>
      </c>
      <c r="L17" s="85">
        <v>2.0352909999999999E-4</v>
      </c>
      <c r="M17" s="1"/>
      <c r="N17" s="1"/>
      <c r="O17" s="1"/>
      <c r="P17" s="1"/>
      <c r="Q17" s="1"/>
      <c r="R17" s="1"/>
      <c r="S17" s="1"/>
      <c r="T17" s="1"/>
      <c r="U17" s="1"/>
      <c r="V17" s="1"/>
      <c r="W17" s="1"/>
      <c r="X17" s="1"/>
      <c r="Y17" s="1"/>
      <c r="Z17" s="1"/>
    </row>
    <row r="18" spans="1:26" ht="19.5" customHeight="1">
      <c r="A18" s="39" t="s">
        <v>622</v>
      </c>
      <c r="B18" s="12" t="s">
        <v>114</v>
      </c>
      <c r="C18" s="81">
        <f t="array" ref="C18">H18+I18</f>
        <v>41.017651699200002</v>
      </c>
      <c r="D18" s="81">
        <f t="array" ref="D18">D$9*$L18</f>
        <v>-11.9030898162</v>
      </c>
      <c r="E18" s="81">
        <f t="array" ref="E18">E$9*$L18</f>
        <v>-11.040755549999998</v>
      </c>
      <c r="F18" s="81">
        <f t="array" ref="F18">F$9*$L18</f>
        <v>32.536594028399996</v>
      </c>
      <c r="G18" s="81">
        <f t="array" ref="G18">G$9*$L18</f>
        <v>31.424903037</v>
      </c>
      <c r="H18" s="81">
        <f t="array" ref="H18">E18+D18</f>
        <v>-22.943845366199998</v>
      </c>
      <c r="I18" s="81">
        <f t="array" ref="I18">G18+F18</f>
        <v>63.961497065399996</v>
      </c>
      <c r="J18" s="81">
        <f t="array" ref="J18">D18+F18</f>
        <v>20.633504212199995</v>
      </c>
      <c r="K18" s="81">
        <f t="array" ref="K18">E18+G18</f>
        <v>20.384147487</v>
      </c>
      <c r="L18" s="85">
        <v>3.2544600000000001E-4</v>
      </c>
      <c r="M18" s="1"/>
      <c r="N18" s="1"/>
      <c r="O18" s="1"/>
      <c r="P18" s="1"/>
      <c r="Q18" s="1"/>
      <c r="R18" s="1"/>
      <c r="S18" s="1"/>
      <c r="T18" s="1"/>
      <c r="U18" s="1"/>
      <c r="V18" s="1"/>
      <c r="W18" s="1"/>
      <c r="X18" s="1"/>
      <c r="Y18" s="1"/>
      <c r="Z18" s="1"/>
    </row>
    <row r="19" spans="1:26" ht="19.5" customHeight="1">
      <c r="A19" s="39" t="s">
        <v>623</v>
      </c>
      <c r="B19" s="12" t="s">
        <v>116</v>
      </c>
      <c r="C19" s="81">
        <f t="array" ref="C19">H19+I19</f>
        <v>64.262878190080002</v>
      </c>
      <c r="D19" s="81">
        <f t="array" ref="D19">D$9*$L19</f>
        <v>-18.648722665879998</v>
      </c>
      <c r="E19" s="81">
        <f t="array" ref="E19">E$9*$L19</f>
        <v>-17.297692569999995</v>
      </c>
      <c r="F19" s="81">
        <f t="array" ref="F19">F$9*$L19</f>
        <v>50.975496942159999</v>
      </c>
      <c r="G19" s="81">
        <f t="array" ref="G19">G$9*$L19</f>
        <v>49.233796483799999</v>
      </c>
      <c r="H19" s="81">
        <f t="array" ref="H19">E19+D19</f>
        <v>-35.946415235879996</v>
      </c>
      <c r="I19" s="81">
        <f t="array" ref="I19">G19+F19</f>
        <v>100.20929342596</v>
      </c>
      <c r="J19" s="81">
        <f t="array" ref="J19">D19+F19</f>
        <v>32.326774276280005</v>
      </c>
      <c r="K19" s="81">
        <f t="array" ref="K19">E19+G19</f>
        <v>31.936103913800004</v>
      </c>
      <c r="L19" s="85">
        <v>5.0988040000000002E-4</v>
      </c>
      <c r="M19" s="1"/>
      <c r="N19" s="1"/>
      <c r="O19" s="1"/>
      <c r="P19" s="1"/>
      <c r="Q19" s="1"/>
      <c r="R19" s="1"/>
      <c r="S19" s="1"/>
      <c r="T19" s="1"/>
      <c r="U19" s="1"/>
      <c r="V19" s="1"/>
      <c r="W19" s="1"/>
      <c r="X19" s="1"/>
      <c r="Y19" s="1"/>
      <c r="Z19" s="1"/>
    </row>
    <row r="20" spans="1:26" ht="19.5" customHeight="1">
      <c r="A20" s="39" t="s">
        <v>624</v>
      </c>
      <c r="B20" s="12" t="s">
        <v>118</v>
      </c>
      <c r="C20" s="81">
        <f t="array" ref="C20">H20+I20</f>
        <v>98.647561987200021</v>
      </c>
      <c r="D20" s="81">
        <f t="array" ref="D20">D$9*$L20</f>
        <v>-28.626962827949999</v>
      </c>
      <c r="E20" s="81">
        <f t="array" ref="E20">E$9*$L20</f>
        <v>-26.553046612499994</v>
      </c>
      <c r="F20" s="81">
        <f t="array" ref="F20">F$9*$L20</f>
        <v>78.2505956169</v>
      </c>
      <c r="G20" s="81">
        <f t="array" ref="G20">G$9*$L20</f>
        <v>75.57697581075</v>
      </c>
      <c r="H20" s="81">
        <f t="array" ref="H20">E20+D20</f>
        <v>-55.180009440449993</v>
      </c>
      <c r="I20" s="81">
        <f t="array" ref="I20">G20+F20</f>
        <v>153.82757142765001</v>
      </c>
      <c r="J20" s="81">
        <f t="array" ref="J20">D20+F20</f>
        <v>49.623632788950005</v>
      </c>
      <c r="K20" s="81">
        <f t="array" ref="K20">E20+G20</f>
        <v>49.023929198250002</v>
      </c>
      <c r="L20" s="85">
        <v>7.8269850000000003E-4</v>
      </c>
      <c r="M20" s="1"/>
      <c r="N20" s="1"/>
      <c r="O20" s="1"/>
      <c r="P20" s="1"/>
      <c r="Q20" s="1"/>
      <c r="R20" s="1"/>
      <c r="S20" s="1"/>
      <c r="T20" s="1"/>
      <c r="U20" s="1"/>
      <c r="V20" s="1"/>
      <c r="W20" s="1"/>
      <c r="X20" s="1"/>
      <c r="Y20" s="1"/>
      <c r="Z20" s="1"/>
    </row>
    <row r="21" spans="1:26" ht="19.5" customHeight="1">
      <c r="A21" s="39" t="s">
        <v>625</v>
      </c>
      <c r="B21" s="12" t="s">
        <v>120</v>
      </c>
      <c r="C21" s="81">
        <f t="array" ref="C21">H21+I21</f>
        <v>148.37113293696001</v>
      </c>
      <c r="D21" s="81">
        <f t="array" ref="D21">D$9*$L21</f>
        <v>-43.056461019059995</v>
      </c>
      <c r="E21" s="81">
        <f t="array" ref="E21">E$9*$L21</f>
        <v>-39.937181714999994</v>
      </c>
      <c r="F21" s="81">
        <f t="array" ref="F21">F$9*$L21</f>
        <v>117.69302039291999</v>
      </c>
      <c r="G21" s="81">
        <f t="array" ref="G21">G$9*$L21</f>
        <v>113.67175527810001</v>
      </c>
      <c r="H21" s="81">
        <f t="array" ref="H21">E21+D21</f>
        <v>-82.993642734059989</v>
      </c>
      <c r="I21" s="81">
        <f t="array" ref="I21">G21+F21</f>
        <v>231.36477567102</v>
      </c>
      <c r="J21" s="81">
        <f t="array" ref="J21">D21+F21</f>
        <v>74.636559373859996</v>
      </c>
      <c r="K21" s="81">
        <f t="array" ref="K21">E21+G21</f>
        <v>73.734573563100014</v>
      </c>
      <c r="L21" s="85">
        <v>1.1772198E-3</v>
      </c>
      <c r="M21" s="1"/>
      <c r="N21" s="1"/>
      <c r="O21" s="1"/>
      <c r="P21" s="1"/>
      <c r="Q21" s="1"/>
      <c r="R21" s="1"/>
      <c r="S21" s="1"/>
      <c r="T21" s="1"/>
      <c r="U21" s="1"/>
      <c r="V21" s="1"/>
      <c r="W21" s="1"/>
      <c r="X21" s="1"/>
      <c r="Y21" s="1"/>
      <c r="Z21" s="1"/>
    </row>
    <row r="22" spans="1:26" ht="19.5" customHeight="1">
      <c r="A22" s="39" t="s">
        <v>626</v>
      </c>
      <c r="B22" s="12" t="s">
        <v>122</v>
      </c>
      <c r="C22" s="81">
        <f t="array" ref="C22">H22+I22</f>
        <v>218.64992329344003</v>
      </c>
      <c r="D22" s="81">
        <f t="array" ref="D22">D$9*$L22</f>
        <v>-63.450967265339997</v>
      </c>
      <c r="E22" s="81">
        <f t="array" ref="E22">E$9*$L22</f>
        <v>-58.854182384999987</v>
      </c>
      <c r="F22" s="81">
        <f t="array" ref="F22">F$9*$L22</f>
        <v>173.44054312788001</v>
      </c>
      <c r="G22" s="81">
        <f t="array" ref="G22">G$9*$L22</f>
        <v>167.5145298159</v>
      </c>
      <c r="H22" s="81">
        <f t="array" ref="H22">E22+D22</f>
        <v>-122.30514965033998</v>
      </c>
      <c r="I22" s="81">
        <f t="array" ref="I22">G22+F22</f>
        <v>340.95507294378001</v>
      </c>
      <c r="J22" s="81">
        <f t="array" ref="J22">D22+F22</f>
        <v>109.98957586254001</v>
      </c>
      <c r="K22" s="81">
        <f t="array" ref="K22">E22+G22</f>
        <v>108.66034743090002</v>
      </c>
      <c r="L22" s="85">
        <v>1.7348322E-3</v>
      </c>
      <c r="M22" s="1"/>
      <c r="N22" s="1"/>
      <c r="O22" s="1"/>
      <c r="P22" s="1"/>
      <c r="Q22" s="1"/>
      <c r="R22" s="1"/>
      <c r="S22" s="1"/>
      <c r="T22" s="1"/>
      <c r="U22" s="1"/>
      <c r="V22" s="1"/>
      <c r="W22" s="1"/>
      <c r="X22" s="1"/>
      <c r="Y22" s="1"/>
      <c r="Z22" s="1"/>
    </row>
    <row r="23" spans="1:26" ht="19.5" customHeight="1">
      <c r="A23" s="39" t="s">
        <v>627</v>
      </c>
      <c r="B23" s="12" t="s">
        <v>124</v>
      </c>
      <c r="C23" s="81">
        <f t="array" ref="C23">H23+I23</f>
        <v>315.70834525440006</v>
      </c>
      <c r="D23" s="81">
        <f t="array" ref="D23">D$9*$L23</f>
        <v>-91.616770673399998</v>
      </c>
      <c r="E23" s="81">
        <f t="array" ref="E23">E$9*$L23</f>
        <v>-84.979478849999992</v>
      </c>
      <c r="F23" s="81">
        <f t="array" ref="F23">F$9*$L23</f>
        <v>250.43057891879999</v>
      </c>
      <c r="G23" s="81">
        <f t="array" ref="G23">G$9*$L23</f>
        <v>241.87401585900002</v>
      </c>
      <c r="H23" s="81">
        <f t="array" ref="H23">E23+D23</f>
        <v>-176.59624952339999</v>
      </c>
      <c r="I23" s="81">
        <f t="array" ref="I23">G23+F23</f>
        <v>492.30459477780005</v>
      </c>
      <c r="J23" s="81">
        <f t="array" ref="J23">D23+F23</f>
        <v>158.8138082454</v>
      </c>
      <c r="K23" s="81">
        <f t="array" ref="K23">E23+G23</f>
        <v>156.89453700900003</v>
      </c>
      <c r="L23" s="85">
        <v>2.5049220000000001E-3</v>
      </c>
      <c r="M23" s="1"/>
      <c r="N23" s="1"/>
      <c r="O23" s="1"/>
      <c r="P23" s="1"/>
      <c r="Q23" s="1"/>
      <c r="R23" s="1"/>
      <c r="S23" s="1"/>
      <c r="T23" s="1"/>
      <c r="U23" s="1"/>
      <c r="V23" s="1"/>
      <c r="W23" s="1"/>
      <c r="X23" s="1"/>
      <c r="Y23" s="1"/>
      <c r="Z23" s="1"/>
    </row>
    <row r="24" spans="1:26" ht="19.5" customHeight="1">
      <c r="A24" s="39" t="s">
        <v>628</v>
      </c>
      <c r="B24" s="12" t="s">
        <v>126</v>
      </c>
      <c r="C24" s="81">
        <f t="array" ref="C24">H24+I24</f>
        <v>446.6421049587201</v>
      </c>
      <c r="D24" s="81">
        <f t="array" ref="D24">D$9*$L24</f>
        <v>-129.61300490842001</v>
      </c>
      <c r="E24" s="81">
        <f t="array" ref="E24">E$9*$L24</f>
        <v>-120.22302825499997</v>
      </c>
      <c r="F24" s="81">
        <f t="array" ref="F24">F$9*$L24</f>
        <v>354.29168280044001</v>
      </c>
      <c r="G24" s="81">
        <f t="array" ref="G24">G$9*$L24</f>
        <v>342.18645532170001</v>
      </c>
      <c r="H24" s="81">
        <f t="array" ref="H24">E24+D24</f>
        <v>-249.83603316341998</v>
      </c>
      <c r="I24" s="81">
        <f t="array" ref="I24">G24+F24</f>
        <v>696.47813812214008</v>
      </c>
      <c r="J24" s="81">
        <f t="array" ref="J24">D24+F24</f>
        <v>224.67867789202</v>
      </c>
      <c r="K24" s="81">
        <f t="array" ref="K24">E24+G24</f>
        <v>221.96342706670004</v>
      </c>
      <c r="L24" s="85">
        <v>3.5437886000000002E-3</v>
      </c>
      <c r="M24" s="1"/>
      <c r="N24" s="1"/>
      <c r="O24" s="1"/>
      <c r="P24" s="1"/>
      <c r="Q24" s="1"/>
      <c r="R24" s="1"/>
      <c r="S24" s="1"/>
      <c r="T24" s="1"/>
      <c r="U24" s="1"/>
      <c r="V24" s="1"/>
      <c r="W24" s="1"/>
      <c r="X24" s="1"/>
      <c r="Y24" s="1"/>
      <c r="Z24" s="1"/>
    </row>
    <row r="25" spans="1:26" ht="19.5" customHeight="1">
      <c r="A25" s="39" t="s">
        <v>629</v>
      </c>
      <c r="B25" s="12" t="s">
        <v>128</v>
      </c>
      <c r="C25" s="81">
        <f t="array" ref="C25">H25+I25</f>
        <v>619.11326032000011</v>
      </c>
      <c r="D25" s="81">
        <f t="array" ref="D25">D$9*$L25</f>
        <v>-179.66315570749998</v>
      </c>
      <c r="E25" s="81">
        <f t="array" ref="E25">E$9*$L25</f>
        <v>-166.64723312499996</v>
      </c>
      <c r="F25" s="81">
        <f t="array" ref="F25">F$9*$L25</f>
        <v>491.10165926499997</v>
      </c>
      <c r="G25" s="81">
        <f t="array" ref="G25">G$9*$L25</f>
        <v>474.32198988750002</v>
      </c>
      <c r="H25" s="81">
        <f t="array" ref="H25">E25+D25</f>
        <v>-346.31038883249994</v>
      </c>
      <c r="I25" s="81">
        <f t="array" ref="I25">G25+F25</f>
        <v>965.42364915250005</v>
      </c>
      <c r="J25" s="81">
        <f t="array" ref="J25">D25+F25</f>
        <v>311.43850355749998</v>
      </c>
      <c r="K25" s="81">
        <f t="array" ref="K25">E25+G25</f>
        <v>307.67475676250007</v>
      </c>
      <c r="L25" s="85">
        <v>4.9122250000000001E-3</v>
      </c>
      <c r="M25" s="1"/>
      <c r="N25" s="1"/>
      <c r="O25" s="1"/>
      <c r="P25" s="1"/>
      <c r="Q25" s="1"/>
      <c r="R25" s="1"/>
      <c r="S25" s="1"/>
      <c r="T25" s="1"/>
      <c r="U25" s="1"/>
      <c r="V25" s="1"/>
      <c r="W25" s="1"/>
      <c r="X25" s="1"/>
      <c r="Y25" s="1"/>
      <c r="Z25" s="1"/>
    </row>
    <row r="26" spans="1:26" ht="19.5" customHeight="1">
      <c r="A26" s="39" t="s">
        <v>630</v>
      </c>
      <c r="B26" s="12" t="s">
        <v>130</v>
      </c>
      <c r="C26" s="81">
        <f t="array" ref="C26">H26+I26</f>
        <v>840.84780690879984</v>
      </c>
      <c r="D26" s="81">
        <f t="array" ref="D26">D$9*$L26</f>
        <v>-244.00926315305</v>
      </c>
      <c r="E26" s="81">
        <f t="array" ref="E26">E$9*$L26</f>
        <v>-226.33170613749996</v>
      </c>
      <c r="F26" s="81">
        <f t="array" ref="F26">F$9*$L26</f>
        <v>666.98903032509998</v>
      </c>
      <c r="G26" s="81">
        <f t="array" ref="G26">G$9*$L26</f>
        <v>644.19974587424997</v>
      </c>
      <c r="H26" s="81">
        <f t="array" ref="H26">E26+D26</f>
        <v>-470.34096929054999</v>
      </c>
      <c r="I26" s="81">
        <f t="array" ref="I26">G26+F26</f>
        <v>1311.1887761993498</v>
      </c>
      <c r="J26" s="81">
        <f t="array" ref="J26">D26+F26</f>
        <v>422.97976717204995</v>
      </c>
      <c r="K26" s="81">
        <f t="array" ref="K26">E26+G26</f>
        <v>417.86803973675001</v>
      </c>
      <c r="L26" s="85">
        <v>6.6715315000000002E-3</v>
      </c>
      <c r="M26" s="1"/>
      <c r="N26" s="1"/>
      <c r="O26" s="1"/>
      <c r="P26" s="1"/>
      <c r="Q26" s="1"/>
      <c r="R26" s="1"/>
      <c r="S26" s="1"/>
      <c r="T26" s="1"/>
      <c r="U26" s="1"/>
      <c r="V26" s="1"/>
      <c r="W26" s="1"/>
      <c r="X26" s="1"/>
      <c r="Y26" s="1"/>
      <c r="Z26" s="1"/>
    </row>
    <row r="27" spans="1:26" ht="19.5" customHeight="1">
      <c r="A27" s="39" t="s">
        <v>631</v>
      </c>
      <c r="B27" s="12" t="s">
        <v>132</v>
      </c>
      <c r="C27" s="81">
        <f t="array" ref="C27">H27+I27</f>
        <v>1118.9264274681598</v>
      </c>
      <c r="D27" s="81">
        <f t="array" ref="D27">D$9*$L27</f>
        <v>-324.70610120600992</v>
      </c>
      <c r="E27" s="81">
        <f t="array" ref="E27">E$9*$L27</f>
        <v>-301.18236057749994</v>
      </c>
      <c r="F27" s="81">
        <f t="array" ref="F27">F$9*$L27</f>
        <v>887.57043394781988</v>
      </c>
      <c r="G27" s="81">
        <f t="array" ref="G27">G$9*$L27</f>
        <v>857.24445530384992</v>
      </c>
      <c r="H27" s="81">
        <f t="array" ref="H27">E27+D27</f>
        <v>-625.88846178350991</v>
      </c>
      <c r="I27" s="81">
        <f t="array" ref="I27">G27+F27</f>
        <v>1744.8148892516697</v>
      </c>
      <c r="J27" s="81">
        <f t="array" ref="J27">D27+F27</f>
        <v>562.8643327418099</v>
      </c>
      <c r="K27" s="81">
        <f t="array" ref="K27">E27+G27</f>
        <v>556.06209472634998</v>
      </c>
      <c r="L27" s="85">
        <v>8.8778882999999992E-3</v>
      </c>
      <c r="M27" s="1"/>
      <c r="N27" s="1"/>
      <c r="O27" s="1"/>
      <c r="P27" s="1"/>
      <c r="Q27" s="1"/>
      <c r="R27" s="1"/>
      <c r="S27" s="1"/>
      <c r="T27" s="1"/>
      <c r="U27" s="1"/>
      <c r="V27" s="1"/>
      <c r="W27" s="1"/>
      <c r="X27" s="1"/>
      <c r="Y27" s="1"/>
      <c r="Z27" s="1"/>
    </row>
    <row r="28" spans="1:26" ht="19.5" customHeight="1">
      <c r="A28" s="39" t="s">
        <v>632</v>
      </c>
      <c r="B28" s="12" t="s">
        <v>134</v>
      </c>
      <c r="C28" s="81">
        <f t="array" ref="C28">H28+I28</f>
        <v>1458.8898940640001</v>
      </c>
      <c r="D28" s="81">
        <f t="array" ref="D28">D$9*$L28</f>
        <v>-423.36157048524996</v>
      </c>
      <c r="E28" s="81">
        <f t="array" ref="E28">E$9*$L28</f>
        <v>-392.69061068749994</v>
      </c>
      <c r="F28" s="81">
        <f t="array" ref="F28">F$9*$L28</f>
        <v>1157.2409986655</v>
      </c>
      <c r="G28" s="81">
        <f t="array" ref="G28">G$9*$L28</f>
        <v>1117.70107657125</v>
      </c>
      <c r="H28" s="81">
        <f t="array" ref="H28">E28+D28</f>
        <v>-816.0521811727499</v>
      </c>
      <c r="I28" s="81">
        <f t="array" ref="I28">G28+F28</f>
        <v>2274.94207523675</v>
      </c>
      <c r="J28" s="81">
        <f t="array" ref="J28">D28+F28</f>
        <v>733.87942818024999</v>
      </c>
      <c r="K28" s="81">
        <f t="array" ref="K28">E28+G28</f>
        <v>725.01046588375016</v>
      </c>
      <c r="L28" s="85">
        <v>1.15752575E-2</v>
      </c>
      <c r="M28" s="1"/>
      <c r="N28" s="1"/>
      <c r="O28" s="1"/>
      <c r="P28" s="1"/>
      <c r="Q28" s="1"/>
      <c r="R28" s="1"/>
      <c r="S28" s="1"/>
      <c r="T28" s="1"/>
      <c r="U28" s="1"/>
      <c r="V28" s="1"/>
      <c r="W28" s="1"/>
      <c r="X28" s="1"/>
      <c r="Y28" s="1"/>
      <c r="Z28" s="1"/>
    </row>
    <row r="29" spans="1:26" ht="19.5" customHeight="1">
      <c r="A29" s="39" t="s">
        <v>633</v>
      </c>
      <c r="B29" s="12" t="s">
        <v>136</v>
      </c>
      <c r="C29" s="81">
        <f t="array" ref="C29">H29+I29</f>
        <v>1863.7186366918402</v>
      </c>
      <c r="D29" s="81">
        <f t="array" ref="D29">D$9*$L29</f>
        <v>-540.84057486648999</v>
      </c>
      <c r="E29" s="81">
        <f t="array" ref="E29">E$9*$L29</f>
        <v>-501.65870129749993</v>
      </c>
      <c r="F29" s="81">
        <f t="array" ref="F29">F$9*$L29</f>
        <v>1478.3649027471799</v>
      </c>
      <c r="G29" s="81">
        <f t="array" ref="G29">G$9*$L29</f>
        <v>1427.8530101086501</v>
      </c>
      <c r="H29" s="81">
        <f t="array" ref="H29">E29+D29</f>
        <v>-1042.4992761639899</v>
      </c>
      <c r="I29" s="81">
        <f t="array" ref="I29">G29+F29</f>
        <v>2906.21791285583</v>
      </c>
      <c r="J29" s="81">
        <f t="array" ref="J29">D29+F29</f>
        <v>937.52432788068995</v>
      </c>
      <c r="K29" s="81">
        <f t="array" ref="K29">E29+G29</f>
        <v>926.19430881115022</v>
      </c>
      <c r="L29" s="85">
        <v>1.4787286700000001E-2</v>
      </c>
      <c r="M29" s="1"/>
      <c r="N29" s="1"/>
      <c r="O29" s="1"/>
      <c r="P29" s="1"/>
      <c r="Q29" s="1"/>
      <c r="R29" s="1"/>
      <c r="S29" s="1"/>
      <c r="T29" s="1"/>
      <c r="U29" s="1"/>
      <c r="V29" s="1"/>
      <c r="W29" s="1"/>
      <c r="X29" s="1"/>
      <c r="Y29" s="1"/>
      <c r="Z29" s="1"/>
    </row>
    <row r="30" spans="1:26" ht="19.5" customHeight="1">
      <c r="A30" s="39" t="s">
        <v>634</v>
      </c>
      <c r="B30" s="12" t="s">
        <v>138</v>
      </c>
      <c r="C30" s="81">
        <f t="array" ref="C30">H30+I30</f>
        <v>2332.78668892736</v>
      </c>
      <c r="D30" s="81">
        <f t="array" ref="D30">D$9*$L30</f>
        <v>-676.96146244470992</v>
      </c>
      <c r="E30" s="81">
        <f t="array" ref="E30">E$9*$L30</f>
        <v>-627.91814050249991</v>
      </c>
      <c r="F30" s="81">
        <f t="array" ref="F30">F$9*$L30</f>
        <v>1850.44560837122</v>
      </c>
      <c r="G30" s="81">
        <f t="array" ref="G30">G$9*$L30</f>
        <v>1787.2206835033501</v>
      </c>
      <c r="H30" s="81">
        <f t="array" ref="H30">E30+D30</f>
        <v>-1304.8796029472098</v>
      </c>
      <c r="I30" s="81">
        <f t="array" ref="I30">G30+F30</f>
        <v>3637.6662918745701</v>
      </c>
      <c r="J30" s="81">
        <f t="array" ref="J30">D30+F30</f>
        <v>1173.4841459265101</v>
      </c>
      <c r="K30" s="81">
        <f t="array" ref="K30">E30+G30</f>
        <v>1159.3025430008502</v>
      </c>
      <c r="L30" s="85">
        <v>1.85090093E-2</v>
      </c>
      <c r="M30" s="1"/>
      <c r="N30" s="1"/>
      <c r="O30" s="1"/>
      <c r="P30" s="1"/>
      <c r="Q30" s="1"/>
      <c r="R30" s="1"/>
      <c r="S30" s="1"/>
      <c r="T30" s="1"/>
      <c r="U30" s="1"/>
      <c r="V30" s="1"/>
      <c r="W30" s="1"/>
      <c r="X30" s="1"/>
      <c r="Y30" s="1"/>
      <c r="Z30" s="1"/>
    </row>
    <row r="31" spans="1:26" ht="19.5" customHeight="1">
      <c r="A31" s="39" t="s">
        <v>635</v>
      </c>
      <c r="B31" s="12" t="s">
        <v>140</v>
      </c>
      <c r="C31" s="81">
        <f t="array" ref="C31">H31+I31</f>
        <v>2860.9255488748804</v>
      </c>
      <c r="D31" s="81">
        <f t="array" ref="D31">D$9*$L31</f>
        <v>-830.22436329242998</v>
      </c>
      <c r="E31" s="81">
        <f t="array" ref="E31">E$9*$L31</f>
        <v>-770.0777183324999</v>
      </c>
      <c r="F31" s="81">
        <f t="array" ref="F31">F$9*$L31</f>
        <v>2269.3832843442601</v>
      </c>
      <c r="G31" s="81">
        <f t="array" ref="G31">G$9*$L31</f>
        <v>2191.8443461555503</v>
      </c>
      <c r="H31" s="81">
        <f t="array" ref="H31">E31+D31</f>
        <v>-1600.30208162493</v>
      </c>
      <c r="I31" s="81">
        <f t="array" ref="I31">G31+F31</f>
        <v>4461.2276304998104</v>
      </c>
      <c r="J31" s="81">
        <f t="array" ref="J31">D31+F31</f>
        <v>1439.15892105183</v>
      </c>
      <c r="K31" s="81">
        <f t="array" ref="K31">E31+G31</f>
        <v>1421.7666278230504</v>
      </c>
      <c r="L31" s="85">
        <v>2.2699416900000002E-2</v>
      </c>
      <c r="M31" s="1"/>
      <c r="N31" s="1"/>
      <c r="O31" s="1"/>
      <c r="P31" s="1"/>
      <c r="Q31" s="1"/>
      <c r="R31" s="1"/>
      <c r="S31" s="1"/>
      <c r="T31" s="1"/>
      <c r="U31" s="1"/>
      <c r="V31" s="1"/>
      <c r="W31" s="1"/>
      <c r="X31" s="1"/>
      <c r="Y31" s="1"/>
      <c r="Z31" s="1"/>
    </row>
    <row r="32" spans="1:26" ht="19.5" customHeight="1">
      <c r="A32" s="39" t="s">
        <v>636</v>
      </c>
      <c r="B32" s="12" t="s">
        <v>142</v>
      </c>
      <c r="C32" s="81">
        <f t="array" ref="C32">H32+I32</f>
        <v>3437.7550582905596</v>
      </c>
      <c r="D32" s="81">
        <f t="array" ref="D32">D$9*$L32</f>
        <v>-997.61701437740987</v>
      </c>
      <c r="E32" s="81">
        <f t="array" ref="E32">E$9*$L32</f>
        <v>-925.34339892749983</v>
      </c>
      <c r="F32" s="81">
        <f t="array" ref="F32">F$9*$L32</f>
        <v>2726.94403670262</v>
      </c>
      <c r="G32" s="81">
        <f t="array" ref="G32">G$9*$L32</f>
        <v>2633.7714348928498</v>
      </c>
      <c r="H32" s="81">
        <f t="array" ref="H32">E32+D32</f>
        <v>-1922.9604133049097</v>
      </c>
      <c r="I32" s="81">
        <f t="array" ref="I32">G32+F32</f>
        <v>5360.7154715954694</v>
      </c>
      <c r="J32" s="81">
        <f t="array" ref="J32">D32+F32</f>
        <v>1729.3270223252102</v>
      </c>
      <c r="K32" s="81">
        <f t="array" ref="K32">E32+G32</f>
        <v>1708.4280359653499</v>
      </c>
      <c r="L32" s="85">
        <v>2.72761503E-2</v>
      </c>
      <c r="M32" s="1"/>
      <c r="N32" s="1"/>
      <c r="O32" s="1"/>
      <c r="P32" s="1"/>
      <c r="Q32" s="1"/>
      <c r="R32" s="1"/>
      <c r="S32" s="1"/>
      <c r="T32" s="1"/>
      <c r="U32" s="1"/>
      <c r="V32" s="1"/>
      <c r="W32" s="1"/>
      <c r="X32" s="1"/>
      <c r="Y32" s="1"/>
      <c r="Z32" s="1"/>
    </row>
    <row r="33" spans="1:26" ht="19.5" customHeight="1">
      <c r="A33" s="39" t="s">
        <v>637</v>
      </c>
      <c r="B33" s="12" t="s">
        <v>144</v>
      </c>
      <c r="C33" s="81">
        <f t="array" ref="C33">H33+I33</f>
        <v>4047.4375079071997</v>
      </c>
      <c r="D33" s="81">
        <f t="array" ref="D33">D$9*$L33</f>
        <v>-1174.5434023229498</v>
      </c>
      <c r="E33" s="81">
        <f t="array" ref="E33">E$9*$L33</f>
        <v>-1089.4521328624996</v>
      </c>
      <c r="F33" s="81">
        <f t="array" ref="F33">F$9*$L33</f>
        <v>3210.5648567068997</v>
      </c>
      <c r="G33" s="81">
        <f t="array" ref="G33">G$9*$L33</f>
        <v>3100.8681863857501</v>
      </c>
      <c r="H33" s="81">
        <f t="array" ref="H33">E33+D33</f>
        <v>-2263.9955351854496</v>
      </c>
      <c r="I33" s="81">
        <f t="array" ref="I33">G33+F33</f>
        <v>6311.4330430926493</v>
      </c>
      <c r="J33" s="81">
        <f t="array" ref="J33">D33+F33</f>
        <v>2036.02145438395</v>
      </c>
      <c r="K33" s="81">
        <f t="array" ref="K33">E33+G33</f>
        <v>2011.4160535232504</v>
      </c>
      <c r="L33" s="85">
        <v>3.2113548499999998E-2</v>
      </c>
      <c r="M33" s="1"/>
      <c r="N33" s="1"/>
      <c r="O33" s="1"/>
      <c r="P33" s="1"/>
      <c r="Q33" s="1"/>
      <c r="R33" s="1"/>
      <c r="S33" s="1"/>
      <c r="T33" s="1"/>
      <c r="U33" s="1"/>
      <c r="V33" s="1"/>
      <c r="W33" s="1"/>
      <c r="X33" s="1"/>
      <c r="Y33" s="1"/>
      <c r="Z33" s="1"/>
    </row>
    <row r="34" spans="1:26" ht="19.5" customHeight="1">
      <c r="A34" s="39" t="s">
        <v>638</v>
      </c>
      <c r="B34" s="12" t="s">
        <v>146</v>
      </c>
      <c r="C34" s="81">
        <f t="array" ref="C34">H34+I34</f>
        <v>4668.98222670208</v>
      </c>
      <c r="D34" s="81">
        <f t="array" ref="D34">D$9*$L34</f>
        <v>-1354.9121534853798</v>
      </c>
      <c r="E34" s="81">
        <f t="array" ref="E34">E$9*$L34</f>
        <v>-1256.7538436949997</v>
      </c>
      <c r="F34" s="81">
        <f t="array" ref="F34">F$9*$L34</f>
        <v>3703.5952313911598</v>
      </c>
      <c r="G34" s="81">
        <f t="array" ref="G34">G$9*$L34</f>
        <v>3577.0529924912998</v>
      </c>
      <c r="H34" s="81">
        <f t="array" ref="H34">E34+D34</f>
        <v>-2611.6659971803792</v>
      </c>
      <c r="I34" s="81">
        <f t="array" ref="I34">G34+F34</f>
        <v>7280.6482238824592</v>
      </c>
      <c r="J34" s="81">
        <f t="array" ref="J34">D34+F34</f>
        <v>2348.68307790578</v>
      </c>
      <c r="K34" s="81">
        <f t="array" ref="K34">E34+G34</f>
        <v>2320.2991487963</v>
      </c>
      <c r="L34" s="85">
        <v>3.70450654E-2</v>
      </c>
      <c r="M34" s="1"/>
      <c r="N34" s="1"/>
      <c r="O34" s="1"/>
      <c r="P34" s="1"/>
      <c r="Q34" s="1"/>
      <c r="R34" s="1"/>
      <c r="S34" s="1"/>
      <c r="T34" s="1"/>
      <c r="U34" s="1"/>
      <c r="V34" s="1"/>
      <c r="W34" s="1"/>
      <c r="X34" s="1"/>
      <c r="Y34" s="1"/>
      <c r="Z34" s="1"/>
    </row>
    <row r="35" spans="1:26" ht="19.5" customHeight="1">
      <c r="A35" s="39" t="s">
        <v>639</v>
      </c>
      <c r="B35" s="12" t="s">
        <v>148</v>
      </c>
      <c r="C35" s="81">
        <f t="array" ref="C35">H35+I35</f>
        <v>5277.1706298508798</v>
      </c>
      <c r="D35" s="81">
        <f t="array" ref="D35">D$9*$L35</f>
        <v>-1531.40497762218</v>
      </c>
      <c r="E35" s="81">
        <f t="array" ref="E35">E$9*$L35</f>
        <v>-1420.4604238949998</v>
      </c>
      <c r="F35" s="81">
        <f t="array" ref="F35">F$9*$L35</f>
        <v>4186.0309230087596</v>
      </c>
      <c r="G35" s="81">
        <f t="array" ref="G35">G$9*$L35</f>
        <v>4043.0051083593003</v>
      </c>
      <c r="H35" s="81">
        <f t="array" ref="H35">E35+D35</f>
        <v>-2951.8654015171796</v>
      </c>
      <c r="I35" s="81">
        <f t="array" ref="I35">G35+F35</f>
        <v>8229.0360313680594</v>
      </c>
      <c r="J35" s="81">
        <f t="array" ref="J35">D35+F35</f>
        <v>2654.6259453865796</v>
      </c>
      <c r="K35" s="81">
        <f t="array" ref="K35">E35+G35</f>
        <v>2622.5446844643002</v>
      </c>
      <c r="L35" s="85">
        <v>4.1870609400000001E-2</v>
      </c>
      <c r="M35" s="1"/>
      <c r="N35" s="1"/>
      <c r="O35" s="1"/>
      <c r="P35" s="1"/>
      <c r="Q35" s="1"/>
      <c r="R35" s="1"/>
      <c r="S35" s="1"/>
      <c r="T35" s="1"/>
      <c r="U35" s="1"/>
      <c r="V35" s="1"/>
      <c r="W35" s="1"/>
      <c r="X35" s="1"/>
      <c r="Y35" s="1"/>
      <c r="Z35" s="1"/>
    </row>
    <row r="36" spans="1:26" ht="19.5" customHeight="1">
      <c r="A36" s="39" t="s">
        <v>640</v>
      </c>
      <c r="B36" s="12" t="s">
        <v>150</v>
      </c>
      <c r="C36" s="81">
        <f t="array" ref="C36">H36+I36</f>
        <v>5844.0900671116788</v>
      </c>
      <c r="D36" s="81">
        <f t="array" ref="D36">D$9*$L36</f>
        <v>-1695.9217819909798</v>
      </c>
      <c r="E36" s="81">
        <f t="array" ref="E36">E$9*$L36</f>
        <v>-1573.0586020949995</v>
      </c>
      <c r="F36" s="81">
        <f t="array" ref="F36">F$9*$L36</f>
        <v>4635.7306696503592</v>
      </c>
      <c r="G36" s="81">
        <f t="array" ref="G36">G$9*$L36</f>
        <v>4477.3397815472999</v>
      </c>
      <c r="H36" s="81">
        <f t="array" ref="H36">E36+D36</f>
        <v>-3268.9803840859795</v>
      </c>
      <c r="I36" s="81">
        <f t="array" ref="I36">G36+F36</f>
        <v>9113.0704511976583</v>
      </c>
      <c r="J36" s="81">
        <f t="array" ref="J36">D36+F36</f>
        <v>2939.8088876593793</v>
      </c>
      <c r="K36" s="81">
        <f t="array" ref="K36">E36+G36</f>
        <v>2904.2811794523004</v>
      </c>
      <c r="L36" s="85">
        <v>4.6368713399999997E-2</v>
      </c>
      <c r="M36" s="1"/>
      <c r="N36" s="1"/>
      <c r="O36" s="1"/>
      <c r="P36" s="1"/>
      <c r="Q36" s="1"/>
      <c r="R36" s="1"/>
      <c r="S36" s="1"/>
      <c r="T36" s="1"/>
      <c r="U36" s="1"/>
      <c r="V36" s="1"/>
      <c r="W36" s="1"/>
      <c r="X36" s="1"/>
      <c r="Y36" s="1"/>
      <c r="Z36" s="1"/>
    </row>
    <row r="37" spans="1:26" ht="19.5" customHeight="1">
      <c r="A37" s="39" t="s">
        <v>641</v>
      </c>
      <c r="B37" s="12" t="s">
        <v>152</v>
      </c>
      <c r="C37" s="81">
        <f t="array" ref="C37">H37+I37</f>
        <v>6341.1716733702415</v>
      </c>
      <c r="D37" s="81">
        <f t="array" ref="D37">D$9*$L37</f>
        <v>-1840.1720440163899</v>
      </c>
      <c r="E37" s="81">
        <f t="array" ref="E37">E$9*$L37</f>
        <v>-1706.8584730224998</v>
      </c>
      <c r="F37" s="81">
        <f t="array" ref="F37">F$9*$L37</f>
        <v>5030.03267748898</v>
      </c>
      <c r="G37" s="81">
        <f t="array" ref="G37">G$9*$L37</f>
        <v>4858.1695129201498</v>
      </c>
      <c r="H37" s="81">
        <f t="array" ref="H37">E37+D37</f>
        <v>-3547.0305170388897</v>
      </c>
      <c r="I37" s="81">
        <f t="array" ref="I37">G37+F37</f>
        <v>9888.2021904091307</v>
      </c>
      <c r="J37" s="81">
        <f t="array" ref="J37">D37+F37</f>
        <v>3189.8606334725901</v>
      </c>
      <c r="K37" s="81">
        <f t="array" ref="K37">E37+G37</f>
        <v>3151.3110398976501</v>
      </c>
      <c r="L37" s="85">
        <v>5.0312703700000003E-2</v>
      </c>
      <c r="M37" s="1"/>
      <c r="N37" s="1"/>
      <c r="O37" s="1"/>
      <c r="P37" s="1"/>
      <c r="Q37" s="1"/>
      <c r="R37" s="1"/>
      <c r="S37" s="1"/>
      <c r="T37" s="1"/>
      <c r="U37" s="1"/>
      <c r="V37" s="1"/>
      <c r="W37" s="1"/>
      <c r="X37" s="1"/>
      <c r="Y37" s="1"/>
      <c r="Z37" s="1"/>
    </row>
    <row r="38" spans="1:26" ht="19.5" customHeight="1">
      <c r="A38" s="39" t="s">
        <v>642</v>
      </c>
      <c r="B38" s="12" t="s">
        <v>154</v>
      </c>
      <c r="C38" s="81">
        <f t="array" ref="C38">H38+I38</f>
        <v>6741.5377238259198</v>
      </c>
      <c r="D38" s="81">
        <f t="array" ref="D38">D$9*$L38</f>
        <v>-1956.3560004476199</v>
      </c>
      <c r="E38" s="81">
        <f t="array" ref="E38">E$9*$L38</f>
        <v>-1814.6253370549996</v>
      </c>
      <c r="F38" s="81">
        <f t="array" ref="F38">F$9*$L38</f>
        <v>5347.6166226148398</v>
      </c>
      <c r="G38" s="81">
        <f t="array" ref="G38">G$9*$L38</f>
        <v>5164.9024387136997</v>
      </c>
      <c r="H38" s="81">
        <f t="array" ref="H38">E38+D38</f>
        <v>-3770.9813375026197</v>
      </c>
      <c r="I38" s="81">
        <f t="array" ref="I38">G38+F38</f>
        <v>10512.519061328539</v>
      </c>
      <c r="J38" s="81">
        <f t="array" ref="J38">D38+F38</f>
        <v>3391.2606221672199</v>
      </c>
      <c r="K38" s="81">
        <f t="array" ref="K38">E38+G38</f>
        <v>3350.2771016587003</v>
      </c>
      <c r="L38" s="85">
        <v>5.3489324599999999E-2</v>
      </c>
      <c r="M38" s="1"/>
      <c r="N38" s="1"/>
      <c r="O38" s="1"/>
      <c r="P38" s="1"/>
      <c r="Q38" s="1"/>
      <c r="R38" s="1"/>
      <c r="S38" s="1"/>
      <c r="T38" s="1"/>
      <c r="U38" s="1"/>
      <c r="V38" s="1"/>
      <c r="W38" s="1"/>
      <c r="X38" s="1"/>
      <c r="Y38" s="1"/>
      <c r="Z38" s="1"/>
    </row>
    <row r="39" spans="1:26" ht="19.5" customHeight="1">
      <c r="A39" s="39" t="s">
        <v>643</v>
      </c>
      <c r="B39" s="12" t="s">
        <v>156</v>
      </c>
      <c r="C39" s="81">
        <f t="array" ref="C39">H39+I39</f>
        <v>7022.3953197171213</v>
      </c>
      <c r="D39" s="81">
        <f t="array" ref="D39">D$9*$L39</f>
        <v>-2037.8592813758198</v>
      </c>
      <c r="E39" s="81">
        <f t="array" ref="E39">E$9*$L39</f>
        <v>-1890.2240106049996</v>
      </c>
      <c r="F39" s="81">
        <f t="array" ref="F39">F$9*$L39</f>
        <v>5570.4024038272401</v>
      </c>
      <c r="G39" s="81">
        <f t="array" ref="G39">G$9*$L39</f>
        <v>5380.0762078707003</v>
      </c>
      <c r="H39" s="81">
        <f t="array" ref="H39">E39+D39</f>
        <v>-3928.0832919808195</v>
      </c>
      <c r="I39" s="81">
        <f t="array" ref="I39">G39+F39</f>
        <v>10950.478611697941</v>
      </c>
      <c r="J39" s="81">
        <f t="array" ref="J39">D39+F39</f>
        <v>3532.5431224514205</v>
      </c>
      <c r="K39" s="81">
        <f t="array" ref="K39">E39+G39</f>
        <v>3489.8521972657009</v>
      </c>
      <c r="L39" s="85">
        <v>5.5717730600000001E-2</v>
      </c>
      <c r="M39" s="1"/>
      <c r="N39" s="1"/>
      <c r="O39" s="1"/>
      <c r="P39" s="1"/>
      <c r="Q39" s="1"/>
      <c r="R39" s="1"/>
      <c r="S39" s="1"/>
      <c r="T39" s="1"/>
      <c r="U39" s="1"/>
      <c r="V39" s="1"/>
      <c r="W39" s="1"/>
      <c r="X39" s="1"/>
      <c r="Y39" s="1"/>
      <c r="Z39" s="1"/>
    </row>
    <row r="40" spans="1:26" ht="19.5" customHeight="1">
      <c r="A40" s="39" t="s">
        <v>644</v>
      </c>
      <c r="B40" s="12" t="s">
        <v>158</v>
      </c>
      <c r="C40" s="81">
        <f t="array" ref="C40">H40+I40</f>
        <v>7167.1819107379206</v>
      </c>
      <c r="D40" s="81">
        <f t="array" ref="D40">D$9*$L40</f>
        <v>-2079.8755286671199</v>
      </c>
      <c r="E40" s="81">
        <f t="array" ref="E40">E$9*$L40</f>
        <v>-1929.1963381799994</v>
      </c>
      <c r="F40" s="81">
        <f t="array" ref="F40">F$9*$L40</f>
        <v>5685.2520438638394</v>
      </c>
      <c r="G40" s="81">
        <f t="array" ref="G40">G$9*$L40</f>
        <v>5491.0017337211993</v>
      </c>
      <c r="H40" s="81">
        <f t="array" ref="H40">E40+D40</f>
        <v>-4009.0718668471191</v>
      </c>
      <c r="I40" s="81">
        <f t="array" ref="I40">G40+F40</f>
        <v>11176.25377758504</v>
      </c>
      <c r="J40" s="81">
        <f t="array" ref="J40">D40+F40</f>
        <v>3605.3765151967195</v>
      </c>
      <c r="K40" s="81">
        <f t="array" ref="K40">E40+G40</f>
        <v>3561.8053955411997</v>
      </c>
      <c r="L40" s="85">
        <v>5.6866509599999997E-2</v>
      </c>
      <c r="M40" s="1"/>
      <c r="N40" s="1"/>
      <c r="O40" s="1"/>
      <c r="P40" s="1"/>
      <c r="Q40" s="1"/>
      <c r="R40" s="1"/>
      <c r="S40" s="1"/>
      <c r="T40" s="1"/>
      <c r="U40" s="1"/>
      <c r="V40" s="1"/>
      <c r="W40" s="1"/>
      <c r="X40" s="1"/>
      <c r="Y40" s="1"/>
      <c r="Z40" s="1"/>
    </row>
    <row r="41" spans="1:26" ht="19.5" customHeight="1">
      <c r="A41" s="39" t="s">
        <v>645</v>
      </c>
      <c r="B41" s="12" t="s">
        <v>160</v>
      </c>
      <c r="C41" s="81">
        <f t="array" ref="C41">H41+I41</f>
        <v>7167.1819107379206</v>
      </c>
      <c r="D41" s="81">
        <f t="array" ref="D41">D$9*$L41</f>
        <v>-2079.8755286671199</v>
      </c>
      <c r="E41" s="81">
        <f t="array" ref="E41">E$9*$L41</f>
        <v>-1929.1963381799994</v>
      </c>
      <c r="F41" s="81">
        <f t="array" ref="F41">F$9*$L41</f>
        <v>5685.2520438638394</v>
      </c>
      <c r="G41" s="81">
        <f t="array" ref="G41">G$9*$L41</f>
        <v>5491.0017337211993</v>
      </c>
      <c r="H41" s="81">
        <f t="array" ref="H41">E41+D41</f>
        <v>-4009.0718668471191</v>
      </c>
      <c r="I41" s="81">
        <f t="array" ref="I41">G41+F41</f>
        <v>11176.25377758504</v>
      </c>
      <c r="J41" s="81">
        <f t="array" ref="J41">D41+F41</f>
        <v>3605.3765151967195</v>
      </c>
      <c r="K41" s="81">
        <f t="array" ref="K41">E41+G41</f>
        <v>3561.8053955411997</v>
      </c>
      <c r="L41" s="85">
        <v>5.6866509599999997E-2</v>
      </c>
      <c r="M41" s="1"/>
      <c r="N41" s="1"/>
      <c r="O41" s="1"/>
      <c r="P41" s="1"/>
      <c r="Q41" s="1"/>
      <c r="R41" s="1"/>
      <c r="S41" s="1"/>
      <c r="T41" s="1"/>
      <c r="U41" s="1"/>
      <c r="V41" s="1"/>
      <c r="W41" s="1"/>
      <c r="X41" s="1"/>
      <c r="Y41" s="1"/>
      <c r="Z41" s="1"/>
    </row>
    <row r="42" spans="1:26" ht="19.5" customHeight="1">
      <c r="A42" s="39" t="s">
        <v>646</v>
      </c>
      <c r="B42" s="12" t="s">
        <v>162</v>
      </c>
      <c r="C42" s="81">
        <f t="array" ref="C42">H42+I42</f>
        <v>7022.3953197171213</v>
      </c>
      <c r="D42" s="81">
        <f t="array" ref="D42">D$9*$L42</f>
        <v>-2037.8592813758198</v>
      </c>
      <c r="E42" s="81">
        <f t="array" ref="E42">E$9*$L42</f>
        <v>-1890.2240106049996</v>
      </c>
      <c r="F42" s="81">
        <f t="array" ref="F42">F$9*$L42</f>
        <v>5570.4024038272401</v>
      </c>
      <c r="G42" s="81">
        <f t="array" ref="G42">G$9*$L42</f>
        <v>5380.0762078707003</v>
      </c>
      <c r="H42" s="81">
        <f t="array" ref="H42">E42+D42</f>
        <v>-3928.0832919808195</v>
      </c>
      <c r="I42" s="81">
        <f t="array" ref="I42">G42+F42</f>
        <v>10950.478611697941</v>
      </c>
      <c r="J42" s="81">
        <f t="array" ref="J42">D42+F42</f>
        <v>3532.5431224514205</v>
      </c>
      <c r="K42" s="81">
        <f t="array" ref="K42">E42+G42</f>
        <v>3489.8521972657009</v>
      </c>
      <c r="L42" s="85">
        <v>5.5717730600000001E-2</v>
      </c>
      <c r="M42" s="1"/>
      <c r="N42" s="1"/>
      <c r="O42" s="1"/>
      <c r="P42" s="1"/>
      <c r="Q42" s="1"/>
      <c r="R42" s="1"/>
      <c r="S42" s="1"/>
      <c r="T42" s="1"/>
      <c r="U42" s="1"/>
      <c r="V42" s="1"/>
      <c r="W42" s="1"/>
      <c r="X42" s="1"/>
      <c r="Y42" s="1"/>
      <c r="Z42" s="1"/>
    </row>
    <row r="43" spans="1:26" ht="19.5" customHeight="1">
      <c r="A43" s="39" t="s">
        <v>647</v>
      </c>
      <c r="B43" s="12" t="s">
        <v>164</v>
      </c>
      <c r="C43" s="81">
        <f t="array" ref="C43">H43+I43</f>
        <v>6741.5377238259198</v>
      </c>
      <c r="D43" s="81">
        <f t="array" ref="D43">D$9*$L43</f>
        <v>-1956.3560004476199</v>
      </c>
      <c r="E43" s="81">
        <f t="array" ref="E43">E$9*$L43</f>
        <v>-1814.6253370549996</v>
      </c>
      <c r="F43" s="81">
        <f t="array" ref="F43">F$9*$L43</f>
        <v>5347.6166226148398</v>
      </c>
      <c r="G43" s="81">
        <f t="array" ref="G43">G$9*$L43</f>
        <v>5164.9024387136997</v>
      </c>
      <c r="H43" s="81">
        <f t="array" ref="H43">E43+D43</f>
        <v>-3770.9813375026197</v>
      </c>
      <c r="I43" s="81">
        <f t="array" ref="I43">G43+F43</f>
        <v>10512.519061328539</v>
      </c>
      <c r="J43" s="81">
        <f t="array" ref="J43">D43+F43</f>
        <v>3391.2606221672199</v>
      </c>
      <c r="K43" s="81">
        <f t="array" ref="K43">E43+G43</f>
        <v>3350.2771016587003</v>
      </c>
      <c r="L43" s="85">
        <v>5.3489324599999999E-2</v>
      </c>
      <c r="M43" s="1"/>
      <c r="N43" s="1"/>
      <c r="O43" s="1"/>
      <c r="P43" s="1"/>
      <c r="Q43" s="1"/>
      <c r="R43" s="1"/>
      <c r="S43" s="1"/>
      <c r="T43" s="1"/>
      <c r="U43" s="1"/>
      <c r="V43" s="1"/>
      <c r="W43" s="1"/>
      <c r="X43" s="1"/>
      <c r="Y43" s="1"/>
      <c r="Z43" s="1"/>
    </row>
    <row r="44" spans="1:26" ht="19.5" customHeight="1">
      <c r="A44" s="39" t="s">
        <v>648</v>
      </c>
      <c r="B44" s="12" t="s">
        <v>166</v>
      </c>
      <c r="C44" s="81">
        <f t="array" ref="C44">H44+I44</f>
        <v>6341.1716733702415</v>
      </c>
      <c r="D44" s="81">
        <f t="array" ref="D44">D$9*$L44</f>
        <v>-1840.1720440163899</v>
      </c>
      <c r="E44" s="81">
        <f t="array" ref="E44">E$9*$L44</f>
        <v>-1706.8584730224998</v>
      </c>
      <c r="F44" s="81">
        <f t="array" ref="F44">F$9*$L44</f>
        <v>5030.03267748898</v>
      </c>
      <c r="G44" s="81">
        <f t="array" ref="G44">G$9*$L44</f>
        <v>4858.1695129201498</v>
      </c>
      <c r="H44" s="81">
        <f t="array" ref="H44">E44+D44</f>
        <v>-3547.0305170388897</v>
      </c>
      <c r="I44" s="81">
        <f t="array" ref="I44">G44+F44</f>
        <v>9888.2021904091307</v>
      </c>
      <c r="J44" s="81">
        <f t="array" ref="J44">D44+F44</f>
        <v>3189.8606334725901</v>
      </c>
      <c r="K44" s="81">
        <f t="array" ref="K44">E44+G44</f>
        <v>3151.3110398976501</v>
      </c>
      <c r="L44" s="85">
        <v>5.0312703700000003E-2</v>
      </c>
      <c r="M44" s="1"/>
      <c r="N44" s="1"/>
      <c r="O44" s="1"/>
      <c r="P44" s="1"/>
      <c r="Q44" s="1"/>
      <c r="R44" s="1"/>
      <c r="S44" s="1"/>
      <c r="T44" s="1"/>
      <c r="U44" s="1"/>
      <c r="V44" s="1"/>
      <c r="W44" s="1"/>
      <c r="X44" s="1"/>
      <c r="Y44" s="1"/>
      <c r="Z44" s="1"/>
    </row>
    <row r="45" spans="1:26" ht="19.5" customHeight="1">
      <c r="A45" s="39" t="s">
        <v>649</v>
      </c>
      <c r="B45" s="12" t="s">
        <v>168</v>
      </c>
      <c r="C45" s="81">
        <f t="array" ref="C45">H45+I45</f>
        <v>5844.0900671116788</v>
      </c>
      <c r="D45" s="81">
        <f t="array" ref="D45">D$9*$L45</f>
        <v>-1695.9217819909798</v>
      </c>
      <c r="E45" s="81">
        <f t="array" ref="E45">E$9*$L45</f>
        <v>-1573.0586020949995</v>
      </c>
      <c r="F45" s="81">
        <f t="array" ref="F45">F$9*$L45</f>
        <v>4635.7306696503592</v>
      </c>
      <c r="G45" s="81">
        <f t="array" ref="G45">G$9*$L45</f>
        <v>4477.3397815472999</v>
      </c>
      <c r="H45" s="81">
        <f t="array" ref="H45">E45+D45</f>
        <v>-3268.9803840859795</v>
      </c>
      <c r="I45" s="81">
        <f t="array" ref="I45">G45+F45</f>
        <v>9113.0704511976583</v>
      </c>
      <c r="J45" s="81">
        <f t="array" ref="J45">D45+F45</f>
        <v>2939.8088876593793</v>
      </c>
      <c r="K45" s="81">
        <f t="array" ref="K45">E45+G45</f>
        <v>2904.2811794523004</v>
      </c>
      <c r="L45" s="85">
        <v>4.6368713399999997E-2</v>
      </c>
      <c r="M45" s="1"/>
      <c r="N45" s="1"/>
      <c r="O45" s="1"/>
      <c r="P45" s="1"/>
      <c r="Q45" s="1"/>
      <c r="R45" s="1"/>
      <c r="S45" s="1"/>
      <c r="T45" s="1"/>
      <c r="U45" s="1"/>
      <c r="V45" s="1"/>
      <c r="W45" s="1"/>
      <c r="X45" s="1"/>
      <c r="Y45" s="1"/>
      <c r="Z45" s="1"/>
    </row>
    <row r="46" spans="1:26" ht="19.5" customHeight="1">
      <c r="A46" s="39" t="s">
        <v>650</v>
      </c>
      <c r="B46" s="12" t="s">
        <v>170</v>
      </c>
      <c r="C46" s="81">
        <f t="array" ref="C46">H46+I46</f>
        <v>5277.1706298508798</v>
      </c>
      <c r="D46" s="81">
        <f t="array" ref="D46">D$9*$L46</f>
        <v>-1531.40497762218</v>
      </c>
      <c r="E46" s="81">
        <f t="array" ref="E46">E$9*$L46</f>
        <v>-1420.4604238949998</v>
      </c>
      <c r="F46" s="81">
        <f t="array" ref="F46">F$9*$L46</f>
        <v>4186.0309230087596</v>
      </c>
      <c r="G46" s="81">
        <f t="array" ref="G46">G$9*$L46</f>
        <v>4043.0051083593003</v>
      </c>
      <c r="H46" s="81">
        <f t="array" ref="H46">E46+D46</f>
        <v>-2951.8654015171796</v>
      </c>
      <c r="I46" s="81">
        <f t="array" ref="I46">G46+F46</f>
        <v>8229.0360313680594</v>
      </c>
      <c r="J46" s="81">
        <f t="array" ref="J46">D46+F46</f>
        <v>2654.6259453865796</v>
      </c>
      <c r="K46" s="81">
        <f t="array" ref="K46">E46+G46</f>
        <v>2622.5446844643002</v>
      </c>
      <c r="L46" s="85">
        <v>4.1870609400000001E-2</v>
      </c>
      <c r="M46" s="1"/>
      <c r="N46" s="1"/>
      <c r="O46" s="1"/>
      <c r="P46" s="1"/>
      <c r="Q46" s="1"/>
      <c r="R46" s="1"/>
      <c r="S46" s="1"/>
      <c r="T46" s="1"/>
      <c r="U46" s="1"/>
      <c r="V46" s="1"/>
      <c r="W46" s="1"/>
      <c r="X46" s="1"/>
      <c r="Y46" s="1"/>
      <c r="Z46" s="1"/>
    </row>
    <row r="47" spans="1:26" ht="19.5" customHeight="1">
      <c r="A47" s="39" t="s">
        <v>651</v>
      </c>
      <c r="B47" s="12" t="s">
        <v>172</v>
      </c>
      <c r="C47" s="81">
        <f t="array" ref="C47">H47+I47</f>
        <v>4668.98222670208</v>
      </c>
      <c r="D47" s="81">
        <f t="array" ref="D47">D$9*$L47</f>
        <v>-1354.9121534853798</v>
      </c>
      <c r="E47" s="81">
        <f t="array" ref="E47">E$9*$L47</f>
        <v>-1256.7538436949997</v>
      </c>
      <c r="F47" s="81">
        <f t="array" ref="F47">F$9*$L47</f>
        <v>3703.5952313911598</v>
      </c>
      <c r="G47" s="81">
        <f t="array" ref="G47">G$9*$L47</f>
        <v>3577.0529924912998</v>
      </c>
      <c r="H47" s="81">
        <f t="array" ref="H47">E47+D47</f>
        <v>-2611.6659971803792</v>
      </c>
      <c r="I47" s="81">
        <f t="array" ref="I47">G47+F47</f>
        <v>7280.6482238824592</v>
      </c>
      <c r="J47" s="81">
        <f t="array" ref="J47">D47+F47</f>
        <v>2348.68307790578</v>
      </c>
      <c r="K47" s="81">
        <f t="array" ref="K47">E47+G47</f>
        <v>2320.2991487963</v>
      </c>
      <c r="L47" s="85">
        <v>3.70450654E-2</v>
      </c>
      <c r="M47" s="1"/>
      <c r="N47" s="1"/>
      <c r="O47" s="1"/>
      <c r="P47" s="1"/>
      <c r="Q47" s="1"/>
      <c r="R47" s="1"/>
      <c r="S47" s="1"/>
      <c r="T47" s="1"/>
      <c r="U47" s="1"/>
      <c r="V47" s="1"/>
      <c r="W47" s="1"/>
      <c r="X47" s="1"/>
      <c r="Y47" s="1"/>
      <c r="Z47" s="1"/>
    </row>
    <row r="48" spans="1:26" ht="19.5" customHeight="1">
      <c r="A48" s="39" t="s">
        <v>652</v>
      </c>
      <c r="B48" s="12" t="s">
        <v>174</v>
      </c>
      <c r="C48" s="81">
        <f t="array" ref="C48">H48+I48</f>
        <v>4047.4375079071997</v>
      </c>
      <c r="D48" s="81">
        <f t="array" ref="D48">D$9*$L48</f>
        <v>-1174.5434023229498</v>
      </c>
      <c r="E48" s="81">
        <f t="array" ref="E48">E$9*$L48</f>
        <v>-1089.4521328624996</v>
      </c>
      <c r="F48" s="81">
        <f t="array" ref="F48">F$9*$L48</f>
        <v>3210.5648567068997</v>
      </c>
      <c r="G48" s="81">
        <f t="array" ref="G48">G$9*$L48</f>
        <v>3100.8681863857501</v>
      </c>
      <c r="H48" s="81">
        <f t="array" ref="H48">E48+D48</f>
        <v>-2263.9955351854496</v>
      </c>
      <c r="I48" s="81">
        <f t="array" ref="I48">G48+F48</f>
        <v>6311.4330430926493</v>
      </c>
      <c r="J48" s="81">
        <f t="array" ref="J48">D48+F48</f>
        <v>2036.02145438395</v>
      </c>
      <c r="K48" s="81">
        <f t="array" ref="K48">E48+G48</f>
        <v>2011.4160535232504</v>
      </c>
      <c r="L48" s="85">
        <v>3.2113548499999998E-2</v>
      </c>
      <c r="M48" s="1"/>
      <c r="N48" s="1"/>
      <c r="O48" s="1"/>
      <c r="P48" s="1"/>
      <c r="Q48" s="1"/>
      <c r="R48" s="1"/>
      <c r="S48" s="1"/>
      <c r="T48" s="1"/>
      <c r="U48" s="1"/>
      <c r="V48" s="1"/>
      <c r="W48" s="1"/>
      <c r="X48" s="1"/>
      <c r="Y48" s="1"/>
      <c r="Z48" s="1"/>
    </row>
    <row r="49" spans="1:26" ht="19.5" customHeight="1">
      <c r="A49" s="39" t="s">
        <v>653</v>
      </c>
      <c r="B49" s="12" t="s">
        <v>176</v>
      </c>
      <c r="C49" s="81">
        <f t="array" ref="C49">H49+I49</f>
        <v>3437.7550582905596</v>
      </c>
      <c r="D49" s="81">
        <f t="array" ref="D49">D$9*$L49</f>
        <v>-997.61701437740987</v>
      </c>
      <c r="E49" s="81">
        <f t="array" ref="E49">E$9*$L49</f>
        <v>-925.34339892749983</v>
      </c>
      <c r="F49" s="81">
        <f t="array" ref="F49">F$9*$L49</f>
        <v>2726.94403670262</v>
      </c>
      <c r="G49" s="81">
        <f t="array" ref="G49">G$9*$L49</f>
        <v>2633.7714348928498</v>
      </c>
      <c r="H49" s="81">
        <f t="array" ref="H49">E49+D49</f>
        <v>-1922.9604133049097</v>
      </c>
      <c r="I49" s="81">
        <f t="array" ref="I49">G49+F49</f>
        <v>5360.7154715954694</v>
      </c>
      <c r="J49" s="81">
        <f t="array" ref="J49">D49+F49</f>
        <v>1729.3270223252102</v>
      </c>
      <c r="K49" s="81">
        <f t="array" ref="K49">E49+G49</f>
        <v>1708.4280359653499</v>
      </c>
      <c r="L49" s="85">
        <v>2.72761503E-2</v>
      </c>
      <c r="M49" s="1"/>
      <c r="N49" s="1"/>
      <c r="O49" s="1"/>
      <c r="P49" s="1"/>
      <c r="Q49" s="1"/>
      <c r="R49" s="1"/>
      <c r="S49" s="1"/>
      <c r="T49" s="1"/>
      <c r="U49" s="1"/>
      <c r="V49" s="1"/>
      <c r="W49" s="1"/>
      <c r="X49" s="1"/>
      <c r="Y49" s="1"/>
      <c r="Z49" s="1"/>
    </row>
    <row r="50" spans="1:26" ht="19.5" customHeight="1">
      <c r="A50" s="39" t="s">
        <v>654</v>
      </c>
      <c r="B50" s="12" t="s">
        <v>178</v>
      </c>
      <c r="C50" s="81">
        <f t="array" ref="C50">H50+I50</f>
        <v>2860.9255488748804</v>
      </c>
      <c r="D50" s="81">
        <f t="array" ref="D50">D$9*$L50</f>
        <v>-830.22436329242998</v>
      </c>
      <c r="E50" s="81">
        <f t="array" ref="E50">E$9*$L50</f>
        <v>-770.0777183324999</v>
      </c>
      <c r="F50" s="81">
        <f t="array" ref="F50">F$9*$L50</f>
        <v>2269.3832843442601</v>
      </c>
      <c r="G50" s="81">
        <f t="array" ref="G50">G$9*$L50</f>
        <v>2191.8443461555503</v>
      </c>
      <c r="H50" s="81">
        <f t="array" ref="H50">E50+D50</f>
        <v>-1600.30208162493</v>
      </c>
      <c r="I50" s="81">
        <f t="array" ref="I50">G50+F50</f>
        <v>4461.2276304998104</v>
      </c>
      <c r="J50" s="81">
        <f t="array" ref="J50">D50+F50</f>
        <v>1439.15892105183</v>
      </c>
      <c r="K50" s="81">
        <f t="array" ref="K50">E50+G50</f>
        <v>1421.7666278230504</v>
      </c>
      <c r="L50" s="85">
        <v>2.2699416900000002E-2</v>
      </c>
      <c r="M50" s="1"/>
      <c r="N50" s="1"/>
      <c r="O50" s="1"/>
      <c r="P50" s="1"/>
      <c r="Q50" s="1"/>
      <c r="R50" s="1"/>
      <c r="S50" s="1"/>
      <c r="T50" s="1"/>
      <c r="U50" s="1"/>
      <c r="V50" s="1"/>
      <c r="W50" s="1"/>
      <c r="X50" s="1"/>
      <c r="Y50" s="1"/>
      <c r="Z50" s="1"/>
    </row>
    <row r="51" spans="1:26" ht="19.5" customHeight="1">
      <c r="A51" s="39" t="s">
        <v>655</v>
      </c>
      <c r="B51" s="12" t="s">
        <v>180</v>
      </c>
      <c r="C51" s="81">
        <f t="array" ref="C51">H51+I51</f>
        <v>2332.78668892736</v>
      </c>
      <c r="D51" s="81">
        <f t="array" ref="D51">D$9*$L51</f>
        <v>-676.96146244470992</v>
      </c>
      <c r="E51" s="81">
        <f t="array" ref="E51">E$9*$L51</f>
        <v>-627.91814050249991</v>
      </c>
      <c r="F51" s="81">
        <f t="array" ref="F51">F$9*$L51</f>
        <v>1850.44560837122</v>
      </c>
      <c r="G51" s="81">
        <f t="array" ref="G51">G$9*$L51</f>
        <v>1787.2206835033501</v>
      </c>
      <c r="H51" s="81">
        <f t="array" ref="H51">E51+D51</f>
        <v>-1304.8796029472098</v>
      </c>
      <c r="I51" s="81">
        <f t="array" ref="I51">G51+F51</f>
        <v>3637.6662918745701</v>
      </c>
      <c r="J51" s="81">
        <f t="array" ref="J51">D51+F51</f>
        <v>1173.4841459265101</v>
      </c>
      <c r="K51" s="81">
        <f t="array" ref="K51">E51+G51</f>
        <v>1159.3025430008502</v>
      </c>
      <c r="L51" s="85">
        <v>1.85090093E-2</v>
      </c>
      <c r="M51" s="1"/>
      <c r="N51" s="1"/>
      <c r="O51" s="1"/>
      <c r="P51" s="1"/>
      <c r="Q51" s="1"/>
      <c r="R51" s="1"/>
      <c r="S51" s="1"/>
      <c r="T51" s="1"/>
      <c r="U51" s="1"/>
      <c r="V51" s="1"/>
      <c r="W51" s="1"/>
      <c r="X51" s="1"/>
      <c r="Y51" s="1"/>
      <c r="Z51" s="1"/>
    </row>
    <row r="52" spans="1:26" ht="19.5" customHeight="1">
      <c r="A52" s="39" t="s">
        <v>656</v>
      </c>
      <c r="B52" s="12" t="s">
        <v>182</v>
      </c>
      <c r="C52" s="81">
        <f t="array" ref="C52">H52+I52</f>
        <v>1863.7186366918402</v>
      </c>
      <c r="D52" s="81">
        <f t="array" ref="D52">D$9*$L52</f>
        <v>-540.84057486648999</v>
      </c>
      <c r="E52" s="81">
        <f t="array" ref="E52">E$9*$L52</f>
        <v>-501.65870129749993</v>
      </c>
      <c r="F52" s="81">
        <f t="array" ref="F52">F$9*$L52</f>
        <v>1478.3649027471799</v>
      </c>
      <c r="G52" s="81">
        <f t="array" ref="G52">G$9*$L52</f>
        <v>1427.8530101086501</v>
      </c>
      <c r="H52" s="81">
        <f t="array" ref="H52">E52+D52</f>
        <v>-1042.4992761639899</v>
      </c>
      <c r="I52" s="81">
        <f t="array" ref="I52">G52+F52</f>
        <v>2906.21791285583</v>
      </c>
      <c r="J52" s="81">
        <f t="array" ref="J52">D52+F52</f>
        <v>937.52432788068995</v>
      </c>
      <c r="K52" s="81">
        <f t="array" ref="K52">E52+G52</f>
        <v>926.19430881115022</v>
      </c>
      <c r="L52" s="85">
        <v>1.4787286700000001E-2</v>
      </c>
      <c r="M52" s="1"/>
      <c r="N52" s="1"/>
      <c r="O52" s="1"/>
      <c r="P52" s="1"/>
      <c r="Q52" s="1"/>
      <c r="R52" s="1"/>
      <c r="S52" s="1"/>
      <c r="T52" s="1"/>
      <c r="U52" s="1"/>
      <c r="V52" s="1"/>
      <c r="W52" s="1"/>
      <c r="X52" s="1"/>
      <c r="Y52" s="1"/>
      <c r="Z52" s="1"/>
    </row>
    <row r="53" spans="1:26" ht="19.5" customHeight="1">
      <c r="A53" s="39" t="s">
        <v>657</v>
      </c>
      <c r="B53" s="12" t="s">
        <v>184</v>
      </c>
      <c r="C53" s="81">
        <f t="array" ref="C53">H53+I53</f>
        <v>1458.8898940640001</v>
      </c>
      <c r="D53" s="81">
        <f t="array" ref="D53">D$9*$L53</f>
        <v>-423.36157048524996</v>
      </c>
      <c r="E53" s="81">
        <f t="array" ref="E53">E$9*$L53</f>
        <v>-392.69061068749994</v>
      </c>
      <c r="F53" s="81">
        <f t="array" ref="F53">F$9*$L53</f>
        <v>1157.2409986655</v>
      </c>
      <c r="G53" s="81">
        <f t="array" ref="G53">G$9*$L53</f>
        <v>1117.70107657125</v>
      </c>
      <c r="H53" s="81">
        <f t="array" ref="H53">E53+D53</f>
        <v>-816.0521811727499</v>
      </c>
      <c r="I53" s="81">
        <f t="array" ref="I53">G53+F53</f>
        <v>2274.94207523675</v>
      </c>
      <c r="J53" s="81">
        <f t="array" ref="J53">D53+F53</f>
        <v>733.87942818024999</v>
      </c>
      <c r="K53" s="81">
        <f t="array" ref="K53">E53+G53</f>
        <v>725.01046588375016</v>
      </c>
      <c r="L53" s="85">
        <v>1.15752575E-2</v>
      </c>
      <c r="M53" s="1"/>
      <c r="N53" s="1"/>
      <c r="O53" s="1"/>
      <c r="P53" s="1"/>
      <c r="Q53" s="1"/>
      <c r="R53" s="1"/>
      <c r="S53" s="1"/>
      <c r="T53" s="1"/>
      <c r="U53" s="1"/>
      <c r="V53" s="1"/>
      <c r="W53" s="1"/>
      <c r="X53" s="1"/>
      <c r="Y53" s="1"/>
      <c r="Z53" s="1"/>
    </row>
    <row r="54" spans="1:26" ht="19.5" customHeight="1">
      <c r="A54" s="39" t="s">
        <v>658</v>
      </c>
      <c r="B54" s="12" t="s">
        <v>186</v>
      </c>
      <c r="C54" s="81">
        <f t="array" ref="C54">H54+I54</f>
        <v>1118.9264274681598</v>
      </c>
      <c r="D54" s="81">
        <f t="array" ref="D54">D$9*$L54</f>
        <v>-324.70610120600992</v>
      </c>
      <c r="E54" s="81">
        <f t="array" ref="E54">E$9*$L54</f>
        <v>-301.18236057749994</v>
      </c>
      <c r="F54" s="81">
        <f t="array" ref="F54">F$9*$L54</f>
        <v>887.57043394781988</v>
      </c>
      <c r="G54" s="81">
        <f t="array" ref="G54">G$9*$L54</f>
        <v>857.24445530384992</v>
      </c>
      <c r="H54" s="81">
        <f t="array" ref="H54">E54+D54</f>
        <v>-625.88846178350991</v>
      </c>
      <c r="I54" s="81">
        <f t="array" ref="I54">G54+F54</f>
        <v>1744.8148892516697</v>
      </c>
      <c r="J54" s="81">
        <f t="array" ref="J54">D54+F54</f>
        <v>562.8643327418099</v>
      </c>
      <c r="K54" s="81">
        <f t="array" ref="K54">E54+G54</f>
        <v>556.06209472634998</v>
      </c>
      <c r="L54" s="85">
        <v>8.8778882999999992E-3</v>
      </c>
      <c r="M54" s="1"/>
      <c r="N54" s="1"/>
      <c r="O54" s="1"/>
      <c r="P54" s="1"/>
      <c r="Q54" s="1"/>
      <c r="R54" s="1"/>
      <c r="S54" s="1"/>
      <c r="T54" s="1"/>
      <c r="U54" s="1"/>
      <c r="V54" s="1"/>
      <c r="W54" s="1"/>
      <c r="X54" s="1"/>
      <c r="Y54" s="1"/>
      <c r="Z54" s="1"/>
    </row>
    <row r="55" spans="1:26" ht="19.5" customHeight="1">
      <c r="A55" s="39" t="s">
        <v>659</v>
      </c>
      <c r="B55" s="12" t="s">
        <v>188</v>
      </c>
      <c r="C55" s="81">
        <f t="array" ref="C55">H55+I55</f>
        <v>840.84780690879984</v>
      </c>
      <c r="D55" s="81">
        <f t="array" ref="D55">D$9*$L55</f>
        <v>-244.00926315305</v>
      </c>
      <c r="E55" s="81">
        <f t="array" ref="E55">E$9*$L55</f>
        <v>-226.33170613749996</v>
      </c>
      <c r="F55" s="81">
        <f t="array" ref="F55">F$9*$L55</f>
        <v>666.98903032509998</v>
      </c>
      <c r="G55" s="81">
        <f t="array" ref="G55">G$9*$L55</f>
        <v>644.19974587424997</v>
      </c>
      <c r="H55" s="81">
        <f t="array" ref="H55">E55+D55</f>
        <v>-470.34096929054999</v>
      </c>
      <c r="I55" s="81">
        <f t="array" ref="I55">G55+F55</f>
        <v>1311.1887761993498</v>
      </c>
      <c r="J55" s="81">
        <f t="array" ref="J55">D55+F55</f>
        <v>422.97976717204995</v>
      </c>
      <c r="K55" s="81">
        <f t="array" ref="K55">E55+G55</f>
        <v>417.86803973675001</v>
      </c>
      <c r="L55" s="85">
        <v>6.6715315000000002E-3</v>
      </c>
      <c r="M55" s="1"/>
      <c r="N55" s="1"/>
      <c r="O55" s="1"/>
      <c r="P55" s="1"/>
      <c r="Q55" s="1"/>
      <c r="R55" s="1"/>
      <c r="S55" s="1"/>
      <c r="T55" s="1"/>
      <c r="U55" s="1"/>
      <c r="V55" s="1"/>
      <c r="W55" s="1"/>
      <c r="X55" s="1"/>
      <c r="Y55" s="1"/>
      <c r="Z55" s="1"/>
    </row>
    <row r="56" spans="1:26" ht="19.5" customHeight="1">
      <c r="A56" s="39" t="s">
        <v>660</v>
      </c>
      <c r="B56" s="12" t="s">
        <v>190</v>
      </c>
      <c r="C56" s="81">
        <f t="array" ref="C56">H56+I56</f>
        <v>619.11326032000011</v>
      </c>
      <c r="D56" s="81">
        <f t="array" ref="D56">D$9*$L56</f>
        <v>-179.66315570749998</v>
      </c>
      <c r="E56" s="81">
        <f t="array" ref="E56">E$9*$L56</f>
        <v>-166.64723312499996</v>
      </c>
      <c r="F56" s="81">
        <f t="array" ref="F56">F$9*$L56</f>
        <v>491.10165926499997</v>
      </c>
      <c r="G56" s="81">
        <f t="array" ref="G56">G$9*$L56</f>
        <v>474.32198988750002</v>
      </c>
      <c r="H56" s="81">
        <f t="array" ref="H56">E56+D56</f>
        <v>-346.31038883249994</v>
      </c>
      <c r="I56" s="81">
        <f t="array" ref="I56">G56+F56</f>
        <v>965.42364915250005</v>
      </c>
      <c r="J56" s="81">
        <f t="array" ref="J56">D56+F56</f>
        <v>311.43850355749998</v>
      </c>
      <c r="K56" s="81">
        <f t="array" ref="K56">E56+G56</f>
        <v>307.67475676250007</v>
      </c>
      <c r="L56" s="85">
        <v>4.9122250000000001E-3</v>
      </c>
      <c r="M56" s="1"/>
      <c r="N56" s="1"/>
      <c r="O56" s="1"/>
      <c r="P56" s="1"/>
      <c r="Q56" s="1"/>
      <c r="R56" s="1"/>
      <c r="S56" s="1"/>
      <c r="T56" s="1"/>
      <c r="U56" s="1"/>
      <c r="V56" s="1"/>
      <c r="W56" s="1"/>
      <c r="X56" s="1"/>
      <c r="Y56" s="1"/>
      <c r="Z56" s="1"/>
    </row>
    <row r="57" spans="1:26" ht="19.5" customHeight="1">
      <c r="A57" s="39" t="s">
        <v>661</v>
      </c>
      <c r="B57" s="12" t="s">
        <v>192</v>
      </c>
      <c r="C57" s="81">
        <f t="array" ref="C57">H57+I57</f>
        <v>446.6421049587201</v>
      </c>
      <c r="D57" s="81">
        <f t="array" ref="D57">D$9*$L57</f>
        <v>-129.61300490842001</v>
      </c>
      <c r="E57" s="81">
        <f t="array" ref="E57">E$9*$L57</f>
        <v>-120.22302825499997</v>
      </c>
      <c r="F57" s="81">
        <f t="array" ref="F57">F$9*$L57</f>
        <v>354.29168280044001</v>
      </c>
      <c r="G57" s="81">
        <f t="array" ref="G57">G$9*$L57</f>
        <v>342.18645532170001</v>
      </c>
      <c r="H57" s="81">
        <f t="array" ref="H57">E57+D57</f>
        <v>-249.83603316341998</v>
      </c>
      <c r="I57" s="81">
        <f t="array" ref="I57">G57+F57</f>
        <v>696.47813812214008</v>
      </c>
      <c r="J57" s="81">
        <f t="array" ref="J57">D57+F57</f>
        <v>224.67867789202</v>
      </c>
      <c r="K57" s="81">
        <f t="array" ref="K57">E57+G57</f>
        <v>221.96342706670004</v>
      </c>
      <c r="L57" s="85">
        <v>3.5437886000000002E-3</v>
      </c>
      <c r="M57" s="1"/>
      <c r="N57" s="1"/>
      <c r="O57" s="1"/>
      <c r="P57" s="1"/>
      <c r="Q57" s="1"/>
      <c r="R57" s="1"/>
      <c r="S57" s="1"/>
      <c r="T57" s="1"/>
      <c r="U57" s="1"/>
      <c r="V57" s="1"/>
      <c r="W57" s="1"/>
      <c r="X57" s="1"/>
      <c r="Y57" s="1"/>
      <c r="Z57" s="1"/>
    </row>
    <row r="58" spans="1:26" ht="19.5" customHeight="1">
      <c r="A58" s="39" t="s">
        <v>662</v>
      </c>
      <c r="B58" s="12" t="s">
        <v>194</v>
      </c>
      <c r="C58" s="81">
        <f t="array" ref="C58">H58+I58</f>
        <v>315.70834525440006</v>
      </c>
      <c r="D58" s="81">
        <f t="array" ref="D58">D$9*$L58</f>
        <v>-91.616770673399998</v>
      </c>
      <c r="E58" s="81">
        <f t="array" ref="E58">E$9*$L58</f>
        <v>-84.979478849999992</v>
      </c>
      <c r="F58" s="81">
        <f t="array" ref="F58">F$9*$L58</f>
        <v>250.43057891879999</v>
      </c>
      <c r="G58" s="81">
        <f t="array" ref="G58">G$9*$L58</f>
        <v>241.87401585900002</v>
      </c>
      <c r="H58" s="81">
        <f t="array" ref="H58">E58+D58</f>
        <v>-176.59624952339999</v>
      </c>
      <c r="I58" s="81">
        <f t="array" ref="I58">G58+F58</f>
        <v>492.30459477780005</v>
      </c>
      <c r="J58" s="81">
        <f t="array" ref="J58">D58+F58</f>
        <v>158.8138082454</v>
      </c>
      <c r="K58" s="81">
        <f t="array" ref="K58">E58+G58</f>
        <v>156.89453700900003</v>
      </c>
      <c r="L58" s="85">
        <v>2.5049220000000001E-3</v>
      </c>
      <c r="M58" s="1"/>
      <c r="N58" s="1"/>
      <c r="O58" s="1"/>
      <c r="P58" s="1"/>
      <c r="Q58" s="1"/>
      <c r="R58" s="1"/>
      <c r="S58" s="1"/>
      <c r="T58" s="1"/>
      <c r="U58" s="1"/>
      <c r="V58" s="1"/>
      <c r="W58" s="1"/>
      <c r="X58" s="1"/>
      <c r="Y58" s="1"/>
      <c r="Z58" s="1"/>
    </row>
    <row r="59" spans="1:26" ht="19.5" customHeight="1">
      <c r="A59" s="39" t="s">
        <v>663</v>
      </c>
      <c r="B59" s="12" t="s">
        <v>196</v>
      </c>
      <c r="C59" s="81">
        <f t="array" ref="C59">H59+I59</f>
        <v>218.64992329344003</v>
      </c>
      <c r="D59" s="81">
        <f t="array" ref="D59">D$9*$L59</f>
        <v>-63.450967265339997</v>
      </c>
      <c r="E59" s="81">
        <f t="array" ref="E59">E$9*$L59</f>
        <v>-58.854182384999987</v>
      </c>
      <c r="F59" s="81">
        <f t="array" ref="F59">F$9*$L59</f>
        <v>173.44054312788001</v>
      </c>
      <c r="G59" s="81">
        <f t="array" ref="G59">G$9*$L59</f>
        <v>167.5145298159</v>
      </c>
      <c r="H59" s="81">
        <f t="array" ref="H59">E59+D59</f>
        <v>-122.30514965033998</v>
      </c>
      <c r="I59" s="81">
        <f t="array" ref="I59">G59+F59</f>
        <v>340.95507294378001</v>
      </c>
      <c r="J59" s="81">
        <f t="array" ref="J59">D59+F59</f>
        <v>109.98957586254001</v>
      </c>
      <c r="K59" s="81">
        <f t="array" ref="K59">E59+G59</f>
        <v>108.66034743090002</v>
      </c>
      <c r="L59" s="85">
        <v>1.7348322E-3</v>
      </c>
      <c r="M59" s="1"/>
      <c r="N59" s="1"/>
      <c r="O59" s="1"/>
      <c r="P59" s="1"/>
      <c r="Q59" s="1"/>
      <c r="R59" s="1"/>
      <c r="S59" s="1"/>
      <c r="T59" s="1"/>
      <c r="U59" s="1"/>
      <c r="V59" s="1"/>
      <c r="W59" s="1"/>
      <c r="X59" s="1"/>
      <c r="Y59" s="1"/>
      <c r="Z59" s="1"/>
    </row>
    <row r="60" spans="1:26" ht="19.5" customHeight="1">
      <c r="A60" s="39" t="s">
        <v>664</v>
      </c>
      <c r="B60" s="12" t="s">
        <v>198</v>
      </c>
      <c r="C60" s="81">
        <f t="array" ref="C60">H60+I60</f>
        <v>148.37113293696001</v>
      </c>
      <c r="D60" s="81">
        <f t="array" ref="D60">D$9*$L60</f>
        <v>-43.056461019059995</v>
      </c>
      <c r="E60" s="81">
        <f t="array" ref="E60">E$9*$L60</f>
        <v>-39.937181714999994</v>
      </c>
      <c r="F60" s="81">
        <f t="array" ref="F60">F$9*$L60</f>
        <v>117.69302039291999</v>
      </c>
      <c r="G60" s="81">
        <f t="array" ref="G60">G$9*$L60</f>
        <v>113.67175527810001</v>
      </c>
      <c r="H60" s="81">
        <f t="array" ref="H60">E60+D60</f>
        <v>-82.993642734059989</v>
      </c>
      <c r="I60" s="81">
        <f t="array" ref="I60">G60+F60</f>
        <v>231.36477567102</v>
      </c>
      <c r="J60" s="81">
        <f t="array" ref="J60">D60+F60</f>
        <v>74.636559373859996</v>
      </c>
      <c r="K60" s="81">
        <f t="array" ref="K60">E60+G60</f>
        <v>73.734573563100014</v>
      </c>
      <c r="L60" s="85">
        <v>1.1772198E-3</v>
      </c>
      <c r="M60" s="1"/>
      <c r="N60" s="1"/>
      <c r="O60" s="1"/>
      <c r="P60" s="1"/>
      <c r="Q60" s="1"/>
      <c r="R60" s="1"/>
      <c r="S60" s="1"/>
      <c r="T60" s="1"/>
      <c r="U60" s="1"/>
      <c r="V60" s="1"/>
      <c r="W60" s="1"/>
      <c r="X60" s="1"/>
      <c r="Y60" s="1"/>
      <c r="Z60" s="1"/>
    </row>
    <row r="61" spans="1:26" ht="19.5" customHeight="1">
      <c r="A61" s="39" t="s">
        <v>665</v>
      </c>
      <c r="B61" s="12" t="s">
        <v>200</v>
      </c>
      <c r="C61" s="81">
        <f t="array" ref="C61">H61+I61</f>
        <v>98.647561987200021</v>
      </c>
      <c r="D61" s="81">
        <f t="array" ref="D61">D$9*$L61</f>
        <v>-28.626962827949999</v>
      </c>
      <c r="E61" s="81">
        <f t="array" ref="E61">E$9*$L61</f>
        <v>-26.553046612499994</v>
      </c>
      <c r="F61" s="81">
        <f t="array" ref="F61">F$9*$L61</f>
        <v>78.2505956169</v>
      </c>
      <c r="G61" s="81">
        <f t="array" ref="G61">G$9*$L61</f>
        <v>75.57697581075</v>
      </c>
      <c r="H61" s="81">
        <f t="array" ref="H61">E61+D61</f>
        <v>-55.180009440449993</v>
      </c>
      <c r="I61" s="81">
        <f t="array" ref="I61">G61+F61</f>
        <v>153.82757142765001</v>
      </c>
      <c r="J61" s="81">
        <f t="array" ref="J61">D61+F61</f>
        <v>49.623632788950005</v>
      </c>
      <c r="K61" s="81">
        <f t="array" ref="K61">E61+G61</f>
        <v>49.023929198250002</v>
      </c>
      <c r="L61" s="85">
        <v>7.8269850000000003E-4</v>
      </c>
      <c r="M61" s="1"/>
      <c r="N61" s="1"/>
      <c r="O61" s="1"/>
      <c r="P61" s="1"/>
      <c r="Q61" s="1"/>
      <c r="R61" s="1"/>
      <c r="S61" s="1"/>
      <c r="T61" s="1"/>
      <c r="U61" s="1"/>
      <c r="V61" s="1"/>
      <c r="W61" s="1"/>
      <c r="X61" s="1"/>
      <c r="Y61" s="1"/>
      <c r="Z61" s="1"/>
    </row>
    <row r="62" spans="1:26" ht="19.5" customHeight="1">
      <c r="A62" s="39" t="s">
        <v>666</v>
      </c>
      <c r="B62" s="12" t="s">
        <v>202</v>
      </c>
      <c r="C62" s="81">
        <f t="array" ref="C62">H62+I62</f>
        <v>64.262878190080002</v>
      </c>
      <c r="D62" s="81">
        <f t="array" ref="D62">D$9*$L62</f>
        <v>-18.648722665879998</v>
      </c>
      <c r="E62" s="81">
        <f t="array" ref="E62">E$9*$L62</f>
        <v>-17.297692569999995</v>
      </c>
      <c r="F62" s="81">
        <f t="array" ref="F62">F$9*$L62</f>
        <v>50.975496942159999</v>
      </c>
      <c r="G62" s="81">
        <f t="array" ref="G62">G$9*$L62</f>
        <v>49.233796483799999</v>
      </c>
      <c r="H62" s="81">
        <f t="array" ref="H62">E62+D62</f>
        <v>-35.946415235879996</v>
      </c>
      <c r="I62" s="81">
        <f t="array" ref="I62">G62+F62</f>
        <v>100.20929342596</v>
      </c>
      <c r="J62" s="81">
        <f t="array" ref="J62">D62+F62</f>
        <v>32.326774276280005</v>
      </c>
      <c r="K62" s="81">
        <f t="array" ref="K62">E62+G62</f>
        <v>31.936103913800004</v>
      </c>
      <c r="L62" s="85">
        <v>5.0988040000000002E-4</v>
      </c>
      <c r="M62" s="1"/>
      <c r="N62" s="1"/>
      <c r="O62" s="1"/>
      <c r="P62" s="1"/>
      <c r="Q62" s="1"/>
      <c r="R62" s="1"/>
      <c r="S62" s="1"/>
      <c r="T62" s="1"/>
      <c r="U62" s="1"/>
      <c r="V62" s="1"/>
      <c r="W62" s="1"/>
      <c r="X62" s="1"/>
      <c r="Y62" s="1"/>
      <c r="Z62" s="1"/>
    </row>
    <row r="63" spans="1:26" ht="19.5" customHeight="1">
      <c r="A63" s="39" t="s">
        <v>667</v>
      </c>
      <c r="B63" s="12" t="s">
        <v>204</v>
      </c>
      <c r="C63" s="81">
        <f t="array" ref="C63">H63+I63</f>
        <v>41.017651699200002</v>
      </c>
      <c r="D63" s="81">
        <f t="array" ref="D63">D$9*$L63</f>
        <v>-11.9030898162</v>
      </c>
      <c r="E63" s="81">
        <f t="array" ref="E63">E$9*$L63</f>
        <v>-11.040755549999998</v>
      </c>
      <c r="F63" s="81">
        <f t="array" ref="F63">F$9*$L63</f>
        <v>32.536594028399996</v>
      </c>
      <c r="G63" s="81">
        <f t="array" ref="G63">G$9*$L63</f>
        <v>31.424903037</v>
      </c>
      <c r="H63" s="81">
        <f t="array" ref="H63">E63+D63</f>
        <v>-22.943845366199998</v>
      </c>
      <c r="I63" s="81">
        <f t="array" ref="I63">G63+F63</f>
        <v>63.961497065399996</v>
      </c>
      <c r="J63" s="81">
        <f t="array" ref="J63">D63+F63</f>
        <v>20.633504212199995</v>
      </c>
      <c r="K63" s="81">
        <f t="array" ref="K63">E63+G63</f>
        <v>20.384147487</v>
      </c>
      <c r="L63" s="85">
        <v>3.2544600000000001E-4</v>
      </c>
      <c r="M63" s="1"/>
      <c r="N63" s="1"/>
      <c r="O63" s="1"/>
      <c r="P63" s="1"/>
      <c r="Q63" s="1"/>
      <c r="R63" s="1"/>
      <c r="S63" s="1"/>
      <c r="T63" s="1"/>
      <c r="U63" s="1"/>
      <c r="V63" s="1"/>
      <c r="W63" s="1"/>
      <c r="X63" s="1"/>
      <c r="Y63" s="1"/>
      <c r="Z63" s="1"/>
    </row>
    <row r="64" spans="1:26" ht="19.5" customHeight="1">
      <c r="A64" s="39" t="s">
        <v>668</v>
      </c>
      <c r="B64" s="12" t="s">
        <v>206</v>
      </c>
      <c r="C64" s="81">
        <f t="array" ref="C64">H64+I64</f>
        <v>25.651830824319998</v>
      </c>
      <c r="D64" s="81">
        <f t="array" ref="D64">D$9*$L64</f>
        <v>-7.4440157737699986</v>
      </c>
      <c r="E64" s="81">
        <f t="array" ref="E64">E$9*$L64</f>
        <v>-6.9047247174999979</v>
      </c>
      <c r="F64" s="81">
        <f t="array" ref="F64">F$9*$L64</f>
        <v>20.347903184139998</v>
      </c>
      <c r="G64" s="81">
        <f t="array" ref="G64">G$9*$L64</f>
        <v>19.65266813145</v>
      </c>
      <c r="H64" s="81">
        <f t="array" ref="H64">E64+D64</f>
        <v>-14.348740491269997</v>
      </c>
      <c r="I64" s="81">
        <f t="array" ref="I64">G64+F64</f>
        <v>40.000571315589994</v>
      </c>
      <c r="J64" s="81">
        <f t="array" ref="J64">D64+F64</f>
        <v>12.90388741037</v>
      </c>
      <c r="K64" s="81">
        <f t="array" ref="K64">E64+G64</f>
        <v>12.747943413950001</v>
      </c>
      <c r="L64" s="85">
        <v>2.0352909999999999E-4</v>
      </c>
      <c r="M64" s="1"/>
      <c r="N64" s="1"/>
      <c r="O64" s="1"/>
      <c r="P64" s="1"/>
      <c r="Q64" s="1"/>
      <c r="R64" s="1"/>
      <c r="S64" s="1"/>
      <c r="T64" s="1"/>
      <c r="U64" s="1"/>
      <c r="V64" s="1"/>
      <c r="W64" s="1"/>
      <c r="X64" s="1"/>
      <c r="Y64" s="1"/>
      <c r="Z64" s="1"/>
    </row>
    <row r="65" spans="1:26" ht="19.5" customHeight="1">
      <c r="A65" s="39" t="s">
        <v>669</v>
      </c>
      <c r="B65" s="12" t="s">
        <v>208</v>
      </c>
      <c r="C65" s="81">
        <f t="array" ref="C65">H65+I65</f>
        <v>15.718190087039996</v>
      </c>
      <c r="D65" s="81">
        <f t="array" ref="D65">D$9*$L65</f>
        <v>-4.5613295886899996</v>
      </c>
      <c r="E65" s="81">
        <f t="array" ref="E65">E$9*$L65</f>
        <v>-4.2308783474999991</v>
      </c>
      <c r="F65" s="81">
        <f t="array" ref="F65">F$9*$L65</f>
        <v>12.468202067579998</v>
      </c>
      <c r="G65" s="81">
        <f t="array" ref="G65">G$9*$L65</f>
        <v>12.04219595565</v>
      </c>
      <c r="H65" s="81">
        <f t="array" ref="H65">E65+D65</f>
        <v>-8.7922079361899996</v>
      </c>
      <c r="I65" s="81">
        <f t="array" ref="I65">G65+F65</f>
        <v>24.510398023229996</v>
      </c>
      <c r="J65" s="81">
        <f t="array" ref="J65">D65+F65</f>
        <v>7.9068724788899987</v>
      </c>
      <c r="K65" s="81">
        <f t="array" ref="K65">E65+G65</f>
        <v>7.8113176081500004</v>
      </c>
      <c r="L65" s="85">
        <v>1.2471269999999999E-4</v>
      </c>
      <c r="M65" s="1"/>
      <c r="N65" s="1"/>
      <c r="O65" s="1"/>
      <c r="P65" s="1"/>
      <c r="Q65" s="1"/>
      <c r="R65" s="1"/>
      <c r="S65" s="1"/>
      <c r="T65" s="1"/>
      <c r="U65" s="1"/>
      <c r="V65" s="1"/>
      <c r="W65" s="1"/>
      <c r="X65" s="1"/>
      <c r="Y65" s="1"/>
      <c r="Z65" s="1"/>
    </row>
    <row r="66" spans="1:26" ht="19.5" customHeight="1">
      <c r="A66" s="39" t="s">
        <v>670</v>
      </c>
      <c r="B66" s="29" t="s">
        <v>210</v>
      </c>
      <c r="C66" s="110">
        <f t="array" ref="C66">H66+I66</f>
        <v>0</v>
      </c>
      <c r="D66" s="110">
        <f t="array" ref="D66">D$9*$L66</f>
        <v>0</v>
      </c>
      <c r="E66" s="110">
        <f t="array" ref="E66">E$9*$L66</f>
        <v>0</v>
      </c>
      <c r="F66" s="110">
        <f t="array" ref="F66">F$9*$L66</f>
        <v>0</v>
      </c>
      <c r="G66" s="110">
        <f t="array" ref="G66">G$9*$L66</f>
        <v>0</v>
      </c>
      <c r="H66" s="110">
        <f t="array" ref="H66">E66+D66</f>
        <v>0</v>
      </c>
      <c r="I66" s="110">
        <f t="array" ref="I66">G66+F66</f>
        <v>0</v>
      </c>
      <c r="J66" s="110">
        <f t="array" ref="J66">D66+F66</f>
        <v>0</v>
      </c>
      <c r="K66" s="110">
        <f t="array" ref="K66">E66+G66</f>
        <v>0</v>
      </c>
      <c r="L66" s="58"/>
      <c r="M66" s="1"/>
      <c r="N66" s="1"/>
      <c r="O66" s="1"/>
      <c r="P66" s="1"/>
      <c r="Q66" s="1"/>
      <c r="R66" s="1"/>
      <c r="S66" s="1"/>
      <c r="T66" s="1"/>
      <c r="U66" s="1"/>
      <c r="V66" s="1"/>
      <c r="W66" s="1"/>
      <c r="X66" s="1"/>
      <c r="Y66" s="1"/>
      <c r="Z66" s="1"/>
    </row>
    <row r="67" spans="1:26" ht="19.5" customHeight="1">
      <c r="A67" s="39" t="s">
        <v>671</v>
      </c>
      <c r="B67" s="22" t="s">
        <v>212</v>
      </c>
      <c r="C67" s="56">
        <f t="array" ref="C67">H67+I67</f>
        <v>0</v>
      </c>
      <c r="D67" s="56">
        <f t="array" ref="D67">D$9*$L67</f>
        <v>0</v>
      </c>
      <c r="E67" s="56">
        <f t="array" ref="E67">E$9*$L67</f>
        <v>0</v>
      </c>
      <c r="F67" s="56">
        <f t="array" ref="F67">F$9*$L67</f>
        <v>0</v>
      </c>
      <c r="G67" s="56">
        <f t="array" ref="G67">G$9*$L67</f>
        <v>0</v>
      </c>
      <c r="H67" s="56">
        <f t="array" ref="H67">E67+D67</f>
        <v>0</v>
      </c>
      <c r="I67" s="56">
        <f t="array" ref="I67">G67+F67</f>
        <v>0</v>
      </c>
      <c r="J67" s="56">
        <f t="array" ref="J67">D67+F67</f>
        <v>0</v>
      </c>
      <c r="K67" s="56">
        <f t="array" ref="K67">E67+G67</f>
        <v>0</v>
      </c>
      <c r="L67" s="58"/>
      <c r="M67" s="1"/>
      <c r="N67" s="1"/>
      <c r="O67" s="1"/>
      <c r="P67" s="1"/>
      <c r="Q67" s="1"/>
      <c r="R67" s="1"/>
      <c r="S67" s="1"/>
      <c r="T67" s="1"/>
      <c r="U67" s="1"/>
      <c r="V67" s="1"/>
      <c r="W67" s="1"/>
      <c r="X67" s="1"/>
      <c r="Y67" s="1"/>
      <c r="Z67" s="1"/>
    </row>
    <row r="68" spans="1:26" ht="19.5" customHeight="1">
      <c r="A68" s="39" t="s">
        <v>672</v>
      </c>
      <c r="B68" s="22" t="s">
        <v>214</v>
      </c>
      <c r="C68" s="56">
        <f t="array" ref="C68">H68+I68</f>
        <v>0</v>
      </c>
      <c r="D68" s="56">
        <f t="array" ref="D68">D$9*$L68</f>
        <v>0</v>
      </c>
      <c r="E68" s="56">
        <f t="array" ref="E68">E$9*$L68</f>
        <v>0</v>
      </c>
      <c r="F68" s="56">
        <f t="array" ref="F68">F$9*$L68</f>
        <v>0</v>
      </c>
      <c r="G68" s="56">
        <f t="array" ref="G68">G$9*$L68</f>
        <v>0</v>
      </c>
      <c r="H68" s="56">
        <f t="array" ref="H68">E68+D68</f>
        <v>0</v>
      </c>
      <c r="I68" s="56">
        <f t="array" ref="I68">G68+F68</f>
        <v>0</v>
      </c>
      <c r="J68" s="56">
        <f t="array" ref="J68">D68+F68</f>
        <v>0</v>
      </c>
      <c r="K68" s="56">
        <f t="array" ref="K68">E68+G68</f>
        <v>0</v>
      </c>
      <c r="L68" s="58"/>
      <c r="M68" s="1"/>
      <c r="N68" s="1"/>
      <c r="O68" s="1"/>
      <c r="P68" s="1"/>
      <c r="Q68" s="1"/>
      <c r="R68" s="1"/>
      <c r="S68" s="1"/>
      <c r="T68" s="1"/>
      <c r="U68" s="1"/>
      <c r="V68" s="1"/>
      <c r="W68" s="1"/>
      <c r="X68" s="1"/>
      <c r="Y68" s="1"/>
      <c r="Z68" s="1"/>
    </row>
    <row r="69" spans="1:26" ht="19.5" customHeight="1">
      <c r="A69" s="39" t="s">
        <v>673</v>
      </c>
      <c r="B69" s="22" t="s">
        <v>216</v>
      </c>
      <c r="C69" s="56">
        <f t="array" ref="C69">H69+I69</f>
        <v>0</v>
      </c>
      <c r="D69" s="56">
        <f t="array" ref="D69">D$9*$L69</f>
        <v>0</v>
      </c>
      <c r="E69" s="56">
        <f t="array" ref="E69">E$9*$L69</f>
        <v>0</v>
      </c>
      <c r="F69" s="56">
        <f t="array" ref="F69">F$9*$L69</f>
        <v>0</v>
      </c>
      <c r="G69" s="56">
        <f t="array" ref="G69">G$9*$L69</f>
        <v>0</v>
      </c>
      <c r="H69" s="56">
        <f t="array" ref="H69">E69+D69</f>
        <v>0</v>
      </c>
      <c r="I69" s="56">
        <f t="array" ref="I69">G69+F69</f>
        <v>0</v>
      </c>
      <c r="J69" s="56">
        <f t="array" ref="J69">D69+F69</f>
        <v>0</v>
      </c>
      <c r="K69" s="56">
        <f t="array" ref="K69">E69+G69</f>
        <v>0</v>
      </c>
      <c r="L69" s="58"/>
      <c r="M69" s="1"/>
      <c r="N69" s="1"/>
      <c r="O69" s="1"/>
      <c r="P69" s="1"/>
      <c r="Q69" s="1"/>
      <c r="R69" s="1"/>
      <c r="S69" s="1"/>
      <c r="T69" s="1"/>
      <c r="U69" s="1"/>
      <c r="V69" s="1"/>
      <c r="W69" s="1"/>
      <c r="X69" s="1"/>
      <c r="Y69" s="1"/>
      <c r="Z69" s="1"/>
    </row>
    <row r="70" spans="1:26" ht="19.5" customHeight="1">
      <c r="A70" s="39" t="s">
        <v>674</v>
      </c>
      <c r="B70" s="22" t="s">
        <v>218</v>
      </c>
      <c r="C70" s="56">
        <f t="array" ref="C70">H70+I70</f>
        <v>0</v>
      </c>
      <c r="D70" s="56">
        <f t="array" ref="D70">D$9*$L70</f>
        <v>0</v>
      </c>
      <c r="E70" s="56">
        <f t="array" ref="E70">E$9*$L70</f>
        <v>0</v>
      </c>
      <c r="F70" s="56">
        <f t="array" ref="F70">F$9*$L70</f>
        <v>0</v>
      </c>
      <c r="G70" s="56">
        <f t="array" ref="G70">G$9*$L70</f>
        <v>0</v>
      </c>
      <c r="H70" s="56">
        <f t="array" ref="H70">E70+D70</f>
        <v>0</v>
      </c>
      <c r="I70" s="56">
        <f t="array" ref="I70">G70+F70</f>
        <v>0</v>
      </c>
      <c r="J70" s="56">
        <f t="array" ref="J70">D70+F70</f>
        <v>0</v>
      </c>
      <c r="K70" s="56">
        <f t="array" ref="K70">E70+G70</f>
        <v>0</v>
      </c>
      <c r="L70" s="58"/>
      <c r="M70" s="1"/>
      <c r="N70" s="1"/>
      <c r="O70" s="1"/>
      <c r="P70" s="1"/>
      <c r="Q70" s="1"/>
      <c r="R70" s="1"/>
      <c r="S70" s="1"/>
      <c r="T70" s="1"/>
      <c r="U70" s="1"/>
      <c r="V70" s="1"/>
      <c r="W70" s="1"/>
      <c r="X70" s="1"/>
      <c r="Y70" s="1"/>
      <c r="Z70" s="1"/>
    </row>
    <row r="71" spans="1:26" ht="19.5" customHeight="1">
      <c r="A71" s="39" t="s">
        <v>675</v>
      </c>
      <c r="B71" s="22" t="s">
        <v>220</v>
      </c>
      <c r="C71" s="56">
        <f t="array" ref="C71">H71+I71</f>
        <v>0</v>
      </c>
      <c r="D71" s="56">
        <f t="array" ref="D71">D$9*$L71</f>
        <v>0</v>
      </c>
      <c r="E71" s="56">
        <f t="array" ref="E71">E$9*$L71</f>
        <v>0</v>
      </c>
      <c r="F71" s="56">
        <f t="array" ref="F71">F$9*$L71</f>
        <v>0</v>
      </c>
      <c r="G71" s="56">
        <f t="array" ref="G71">G$9*$L71</f>
        <v>0</v>
      </c>
      <c r="H71" s="56">
        <f t="array" ref="H71">E71+D71</f>
        <v>0</v>
      </c>
      <c r="I71" s="56">
        <f t="array" ref="I71">G71+F71</f>
        <v>0</v>
      </c>
      <c r="J71" s="56">
        <f t="array" ref="J71">D71+F71</f>
        <v>0</v>
      </c>
      <c r="K71" s="56">
        <f t="array" ref="K71">E71+G71</f>
        <v>0</v>
      </c>
      <c r="L71" s="58"/>
      <c r="M71" s="1"/>
      <c r="N71" s="1"/>
      <c r="O71" s="1"/>
      <c r="P71" s="1"/>
      <c r="Q71" s="1"/>
      <c r="R71" s="1"/>
      <c r="S71" s="1"/>
      <c r="T71" s="1"/>
      <c r="U71" s="1"/>
      <c r="V71" s="1"/>
      <c r="W71" s="1"/>
      <c r="X71" s="1"/>
      <c r="Y71" s="1"/>
      <c r="Z71" s="1"/>
    </row>
    <row r="72" spans="1:26" ht="19.5" customHeight="1">
      <c r="A72" s="39" t="s">
        <v>676</v>
      </c>
      <c r="B72" s="22" t="s">
        <v>222</v>
      </c>
      <c r="C72" s="56">
        <f t="array" ref="C72">H72+I72</f>
        <v>0</v>
      </c>
      <c r="D72" s="56">
        <f t="array" ref="D72">D$9*$L72</f>
        <v>0</v>
      </c>
      <c r="E72" s="56">
        <f t="array" ref="E72">E$9*$L72</f>
        <v>0</v>
      </c>
      <c r="F72" s="56">
        <f t="array" ref="F72">F$9*$L72</f>
        <v>0</v>
      </c>
      <c r="G72" s="56">
        <f t="array" ref="G72">G$9*$L72</f>
        <v>0</v>
      </c>
      <c r="H72" s="56">
        <f t="array" ref="H72">E72+D72</f>
        <v>0</v>
      </c>
      <c r="I72" s="56">
        <f t="array" ref="I72">G72+F72</f>
        <v>0</v>
      </c>
      <c r="J72" s="56">
        <f t="array" ref="J72">D72+F72</f>
        <v>0</v>
      </c>
      <c r="K72" s="56">
        <f t="array" ref="K72">E72+G72</f>
        <v>0</v>
      </c>
      <c r="L72" s="58"/>
      <c r="M72" s="1"/>
      <c r="N72" s="1"/>
      <c r="O72" s="1"/>
      <c r="P72" s="1"/>
      <c r="Q72" s="1"/>
      <c r="R72" s="1"/>
      <c r="S72" s="1"/>
      <c r="T72" s="1"/>
      <c r="U72" s="1"/>
      <c r="V72" s="1"/>
      <c r="W72" s="1"/>
      <c r="X72" s="1"/>
      <c r="Y72" s="1"/>
      <c r="Z72" s="1"/>
    </row>
    <row r="73" spans="1:26" ht="19.5" customHeight="1">
      <c r="A73" s="39" t="s">
        <v>677</v>
      </c>
      <c r="B73" s="22" t="s">
        <v>224</v>
      </c>
      <c r="C73" s="56">
        <f t="array" ref="C73">H73+I73</f>
        <v>0</v>
      </c>
      <c r="D73" s="56">
        <f t="array" ref="D73">D$9*$L73</f>
        <v>0</v>
      </c>
      <c r="E73" s="56">
        <f t="array" ref="E73">E$9*$L73</f>
        <v>0</v>
      </c>
      <c r="F73" s="56">
        <f t="array" ref="F73">F$9*$L73</f>
        <v>0</v>
      </c>
      <c r="G73" s="56">
        <f t="array" ref="G73">G$9*$L73</f>
        <v>0</v>
      </c>
      <c r="H73" s="56">
        <f t="array" ref="H73">E73+D73</f>
        <v>0</v>
      </c>
      <c r="I73" s="56">
        <f t="array" ref="I73">G73+F73</f>
        <v>0</v>
      </c>
      <c r="J73" s="56">
        <f t="array" ref="J73">D73+F73</f>
        <v>0</v>
      </c>
      <c r="K73" s="56">
        <f t="array" ref="K73">E73+G73</f>
        <v>0</v>
      </c>
      <c r="L73" s="58"/>
      <c r="M73" s="1"/>
      <c r="N73" s="1"/>
      <c r="O73" s="1"/>
      <c r="P73" s="1"/>
      <c r="Q73" s="1"/>
      <c r="R73" s="1"/>
      <c r="S73" s="1"/>
      <c r="T73" s="1"/>
      <c r="U73" s="1"/>
      <c r="V73" s="1"/>
      <c r="W73" s="1"/>
      <c r="X73" s="1"/>
      <c r="Y73" s="1"/>
      <c r="Z73" s="1"/>
    </row>
    <row r="74" spans="1:26" ht="19.5" customHeight="1">
      <c r="A74" s="39" t="s">
        <v>678</v>
      </c>
      <c r="B74" s="22" t="s">
        <v>226</v>
      </c>
      <c r="C74" s="56">
        <f t="array" ref="C74">H74+I74</f>
        <v>0</v>
      </c>
      <c r="D74" s="56">
        <f t="array" ref="D74">D$9*$L74</f>
        <v>0</v>
      </c>
      <c r="E74" s="56">
        <f t="array" ref="E74">E$9*$L74</f>
        <v>0</v>
      </c>
      <c r="F74" s="56">
        <f t="array" ref="F74">F$9*$L74</f>
        <v>0</v>
      </c>
      <c r="G74" s="56">
        <f t="array" ref="G74">G$9*$L74</f>
        <v>0</v>
      </c>
      <c r="H74" s="56">
        <f t="array" ref="H74">E74+D74</f>
        <v>0</v>
      </c>
      <c r="I74" s="56">
        <f t="array" ref="I74">G74+F74</f>
        <v>0</v>
      </c>
      <c r="J74" s="56">
        <f t="array" ref="J74">D74+F74</f>
        <v>0</v>
      </c>
      <c r="K74" s="56">
        <f t="array" ref="K74">E74+G74</f>
        <v>0</v>
      </c>
      <c r="L74" s="58"/>
      <c r="M74" s="1"/>
      <c r="N74" s="1"/>
      <c r="O74" s="1"/>
      <c r="P74" s="1"/>
      <c r="Q74" s="1"/>
      <c r="R74" s="1"/>
      <c r="S74" s="1"/>
      <c r="T74" s="1"/>
      <c r="U74" s="1"/>
      <c r="V74" s="1"/>
      <c r="W74" s="1"/>
      <c r="X74" s="1"/>
      <c r="Y74" s="1"/>
      <c r="Z74" s="1"/>
    </row>
    <row r="75" spans="1:26" ht="19.5" customHeight="1">
      <c r="A75" s="39" t="s">
        <v>679</v>
      </c>
      <c r="B75" s="22" t="s">
        <v>228</v>
      </c>
      <c r="C75" s="56">
        <f t="array" ref="C75">H75+I75</f>
        <v>0</v>
      </c>
      <c r="D75" s="56">
        <f t="array" ref="D75">D$9*$L75</f>
        <v>0</v>
      </c>
      <c r="E75" s="56">
        <f t="array" ref="E75">E$9*$L75</f>
        <v>0</v>
      </c>
      <c r="F75" s="56">
        <f t="array" ref="F75">F$9*$L75</f>
        <v>0</v>
      </c>
      <c r="G75" s="56">
        <f t="array" ref="G75">G$9*$L75</f>
        <v>0</v>
      </c>
      <c r="H75" s="56">
        <f t="array" ref="H75">E75+D75</f>
        <v>0</v>
      </c>
      <c r="I75" s="56">
        <f t="array" ref="I75">G75+F75</f>
        <v>0</v>
      </c>
      <c r="J75" s="56">
        <f t="array" ref="J75">D75+F75</f>
        <v>0</v>
      </c>
      <c r="K75" s="56">
        <f t="array" ref="K75">E75+G75</f>
        <v>0</v>
      </c>
      <c r="L75" s="58"/>
      <c r="M75" s="1"/>
      <c r="N75" s="1"/>
      <c r="O75" s="1"/>
      <c r="P75" s="1"/>
      <c r="Q75" s="1"/>
      <c r="R75" s="1"/>
      <c r="S75" s="1"/>
      <c r="T75" s="1"/>
      <c r="U75" s="1"/>
      <c r="V75" s="1"/>
      <c r="W75" s="1"/>
      <c r="X75" s="1"/>
      <c r="Y75" s="1"/>
      <c r="Z75" s="1"/>
    </row>
    <row r="76" spans="1:26" ht="19.5" customHeight="1">
      <c r="A76" s="39" t="s">
        <v>680</v>
      </c>
      <c r="B76" s="22" t="s">
        <v>230</v>
      </c>
      <c r="C76" s="56">
        <f t="array" ref="C76">H76+I76</f>
        <v>0</v>
      </c>
      <c r="D76" s="56">
        <f t="array" ref="D76">D$9*$L76</f>
        <v>0</v>
      </c>
      <c r="E76" s="56">
        <f t="array" ref="E76">E$9*$L76</f>
        <v>0</v>
      </c>
      <c r="F76" s="56">
        <f t="array" ref="F76">F$9*$L76</f>
        <v>0</v>
      </c>
      <c r="G76" s="56">
        <f t="array" ref="G76">G$9*$L76</f>
        <v>0</v>
      </c>
      <c r="H76" s="56">
        <f t="array" ref="H76">E76+D76</f>
        <v>0</v>
      </c>
      <c r="I76" s="56">
        <f t="array" ref="I76">G76+F76</f>
        <v>0</v>
      </c>
      <c r="J76" s="56">
        <f t="array" ref="J76">D76+F76</f>
        <v>0</v>
      </c>
      <c r="K76" s="56">
        <f t="array" ref="K76">E76+G76</f>
        <v>0</v>
      </c>
      <c r="L76" s="58"/>
      <c r="M76" s="1"/>
      <c r="N76" s="1"/>
      <c r="O76" s="1"/>
      <c r="P76" s="1"/>
      <c r="Q76" s="1"/>
      <c r="R76" s="1"/>
      <c r="S76" s="1"/>
      <c r="T76" s="1"/>
      <c r="U76" s="1"/>
      <c r="V76" s="1"/>
      <c r="W76" s="1"/>
      <c r="X76" s="1"/>
      <c r="Y76" s="1"/>
      <c r="Z76" s="1"/>
    </row>
    <row r="77" spans="1:26" ht="19.5" customHeight="1">
      <c r="A77" s="39" t="s">
        <v>681</v>
      </c>
      <c r="B77" s="22" t="s">
        <v>232</v>
      </c>
      <c r="C77" s="56">
        <f t="array" ref="C77">H77+I77</f>
        <v>0</v>
      </c>
      <c r="D77" s="56">
        <f t="array" ref="D77">D$9*$L77</f>
        <v>0</v>
      </c>
      <c r="E77" s="56">
        <f t="array" ref="E77">E$9*$L77</f>
        <v>0</v>
      </c>
      <c r="F77" s="56">
        <f t="array" ref="F77">F$9*$L77</f>
        <v>0</v>
      </c>
      <c r="G77" s="56">
        <f t="array" ref="G77">G$9*$L77</f>
        <v>0</v>
      </c>
      <c r="H77" s="56">
        <f t="array" ref="H77">E77+D77</f>
        <v>0</v>
      </c>
      <c r="I77" s="56">
        <f t="array" ref="I77">G77+F77</f>
        <v>0</v>
      </c>
      <c r="J77" s="56">
        <f t="array" ref="J77">D77+F77</f>
        <v>0</v>
      </c>
      <c r="K77" s="56">
        <f t="array" ref="K77">E77+G77</f>
        <v>0</v>
      </c>
      <c r="L77" s="58"/>
      <c r="M77" s="1"/>
      <c r="N77" s="1"/>
      <c r="O77" s="1"/>
      <c r="P77" s="1"/>
      <c r="Q77" s="1"/>
      <c r="R77" s="1"/>
      <c r="S77" s="1"/>
      <c r="T77" s="1"/>
      <c r="U77" s="1"/>
      <c r="V77" s="1"/>
      <c r="W77" s="1"/>
      <c r="X77" s="1"/>
      <c r="Y77" s="1"/>
      <c r="Z77" s="1"/>
    </row>
    <row r="78" spans="1:26" ht="19.5" customHeight="1">
      <c r="A78" s="39" t="s">
        <v>682</v>
      </c>
      <c r="B78" s="22" t="s">
        <v>234</v>
      </c>
      <c r="C78" s="56">
        <f t="array" ref="C78">H78+I78</f>
        <v>0</v>
      </c>
      <c r="D78" s="56">
        <f t="array" ref="D78">D$9*$L78</f>
        <v>0</v>
      </c>
      <c r="E78" s="56">
        <f t="array" ref="E78">E$9*$L78</f>
        <v>0</v>
      </c>
      <c r="F78" s="56">
        <f t="array" ref="F78">F$9*$L78</f>
        <v>0</v>
      </c>
      <c r="G78" s="56">
        <f t="array" ref="G78">G$9*$L78</f>
        <v>0</v>
      </c>
      <c r="H78" s="56">
        <f t="array" ref="H78">E78+D78</f>
        <v>0</v>
      </c>
      <c r="I78" s="56">
        <f t="array" ref="I78">G78+F78</f>
        <v>0</v>
      </c>
      <c r="J78" s="56">
        <f t="array" ref="J78">D78+F78</f>
        <v>0</v>
      </c>
      <c r="K78" s="56">
        <f t="array" ref="K78">E78+G78</f>
        <v>0</v>
      </c>
      <c r="L78" s="58"/>
      <c r="M78" s="1"/>
      <c r="N78" s="1"/>
      <c r="O78" s="1"/>
      <c r="P78" s="1"/>
      <c r="Q78" s="1"/>
      <c r="R78" s="1"/>
      <c r="S78" s="1"/>
      <c r="T78" s="1"/>
      <c r="U78" s="1"/>
      <c r="V78" s="1"/>
      <c r="W78" s="1"/>
      <c r="X78" s="1"/>
      <c r="Y78" s="1"/>
      <c r="Z78" s="1"/>
    </row>
    <row r="79" spans="1:26" ht="19.5" customHeight="1">
      <c r="A79" s="39" t="s">
        <v>683</v>
      </c>
      <c r="B79" s="22" t="s">
        <v>236</v>
      </c>
      <c r="C79" s="56">
        <f t="array" ref="C79">H79+I79</f>
        <v>0</v>
      </c>
      <c r="D79" s="56">
        <f t="array" ref="D79">D$9*$L79</f>
        <v>0</v>
      </c>
      <c r="E79" s="56">
        <f t="array" ref="E79">E$9*$L79</f>
        <v>0</v>
      </c>
      <c r="F79" s="56">
        <f t="array" ref="F79">F$9*$L79</f>
        <v>0</v>
      </c>
      <c r="G79" s="56">
        <f t="array" ref="G79">G$9*$L79</f>
        <v>0</v>
      </c>
      <c r="H79" s="56">
        <f t="array" ref="H79">E79+D79</f>
        <v>0</v>
      </c>
      <c r="I79" s="56">
        <f t="array" ref="I79">G79+F79</f>
        <v>0</v>
      </c>
      <c r="J79" s="56">
        <f t="array" ref="J79">D79+F79</f>
        <v>0</v>
      </c>
      <c r="K79" s="56">
        <f t="array" ref="K79">E79+G79</f>
        <v>0</v>
      </c>
      <c r="L79" s="58"/>
      <c r="M79" s="1"/>
      <c r="N79" s="1"/>
      <c r="O79" s="1"/>
      <c r="P79" s="1"/>
      <c r="Q79" s="1"/>
      <c r="R79" s="1"/>
      <c r="S79" s="1"/>
      <c r="T79" s="1"/>
      <c r="U79" s="1"/>
      <c r="V79" s="1"/>
      <c r="W79" s="1"/>
      <c r="X79" s="1"/>
      <c r="Y79" s="1"/>
      <c r="Z79" s="1"/>
    </row>
    <row r="80" spans="1:26" ht="19.5" customHeight="1">
      <c r="A80" s="39" t="s">
        <v>684</v>
      </c>
      <c r="B80" s="22" t="s">
        <v>238</v>
      </c>
      <c r="C80" s="56">
        <f t="array" ref="C80">H80+I80</f>
        <v>0</v>
      </c>
      <c r="D80" s="56">
        <f t="array" ref="D80">D$9*$L80</f>
        <v>0</v>
      </c>
      <c r="E80" s="56">
        <f t="array" ref="E80">E$9*$L80</f>
        <v>0</v>
      </c>
      <c r="F80" s="56">
        <f t="array" ref="F80">F$9*$L80</f>
        <v>0</v>
      </c>
      <c r="G80" s="56">
        <f t="array" ref="G80">G$9*$L80</f>
        <v>0</v>
      </c>
      <c r="H80" s="56">
        <f t="array" ref="H80">E80+D80</f>
        <v>0</v>
      </c>
      <c r="I80" s="56">
        <f t="array" ref="I80">G80+F80</f>
        <v>0</v>
      </c>
      <c r="J80" s="56">
        <f t="array" ref="J80">D80+F80</f>
        <v>0</v>
      </c>
      <c r="K80" s="56">
        <f t="array" ref="K80">E80+G80</f>
        <v>0</v>
      </c>
      <c r="L80" s="58"/>
      <c r="M80" s="1"/>
      <c r="N80" s="1"/>
      <c r="O80" s="1"/>
      <c r="P80" s="1"/>
      <c r="Q80" s="1"/>
      <c r="R80" s="1"/>
      <c r="S80" s="1"/>
      <c r="T80" s="1"/>
      <c r="U80" s="1"/>
      <c r="V80" s="1"/>
      <c r="W80" s="1"/>
      <c r="X80" s="1"/>
      <c r="Y80" s="1"/>
      <c r="Z80" s="1"/>
    </row>
    <row r="81" spans="1:26" ht="19.5" customHeight="1">
      <c r="A81" s="39" t="s">
        <v>685</v>
      </c>
      <c r="B81" s="22" t="s">
        <v>240</v>
      </c>
      <c r="C81" s="56">
        <f t="array" ref="C81">H81+I81</f>
        <v>0</v>
      </c>
      <c r="D81" s="56">
        <f t="array" ref="D81">D$9*$L81</f>
        <v>0</v>
      </c>
      <c r="E81" s="56">
        <f t="array" ref="E81">E$9*$L81</f>
        <v>0</v>
      </c>
      <c r="F81" s="56">
        <f t="array" ref="F81">F$9*$L81</f>
        <v>0</v>
      </c>
      <c r="G81" s="56">
        <f t="array" ref="G81">G$9*$L81</f>
        <v>0</v>
      </c>
      <c r="H81" s="56">
        <f t="array" ref="H81">E81+D81</f>
        <v>0</v>
      </c>
      <c r="I81" s="56">
        <f t="array" ref="I81">G81+F81</f>
        <v>0</v>
      </c>
      <c r="J81" s="56">
        <f t="array" ref="J81">D81+F81</f>
        <v>0</v>
      </c>
      <c r="K81" s="56">
        <f t="array" ref="K81">E81+G81</f>
        <v>0</v>
      </c>
      <c r="L81" s="58"/>
      <c r="M81" s="1"/>
      <c r="N81" s="1"/>
      <c r="O81" s="1"/>
      <c r="P81" s="1"/>
      <c r="Q81" s="1"/>
      <c r="R81" s="1"/>
      <c r="S81" s="1"/>
      <c r="T81" s="1"/>
      <c r="U81" s="1"/>
      <c r="V81" s="1"/>
      <c r="W81" s="1"/>
      <c r="X81" s="1"/>
      <c r="Y81" s="1"/>
      <c r="Z81" s="1"/>
    </row>
    <row r="82" spans="1:26" ht="19.5" customHeight="1">
      <c r="A82" s="39" t="s">
        <v>686</v>
      </c>
      <c r="B82" s="22" t="s">
        <v>242</v>
      </c>
      <c r="C82" s="56">
        <f t="array" ref="C82">H82+I82</f>
        <v>0</v>
      </c>
      <c r="D82" s="56">
        <f t="array" ref="D82">D$9*$L82</f>
        <v>0</v>
      </c>
      <c r="E82" s="56">
        <f t="array" ref="E82">E$9*$L82</f>
        <v>0</v>
      </c>
      <c r="F82" s="56">
        <f t="array" ref="F82">F$9*$L82</f>
        <v>0</v>
      </c>
      <c r="G82" s="56">
        <f t="array" ref="G82">G$9*$L82</f>
        <v>0</v>
      </c>
      <c r="H82" s="56">
        <f t="array" ref="H82">E82+D82</f>
        <v>0</v>
      </c>
      <c r="I82" s="56">
        <f t="array" ref="I82">G82+F82</f>
        <v>0</v>
      </c>
      <c r="J82" s="56">
        <f t="array" ref="J82">D82+F82</f>
        <v>0</v>
      </c>
      <c r="K82" s="56">
        <f t="array" ref="K82">E82+G82</f>
        <v>0</v>
      </c>
      <c r="L82" s="58"/>
      <c r="M82" s="1"/>
      <c r="N82" s="1"/>
      <c r="O82" s="1"/>
      <c r="P82" s="1"/>
      <c r="Q82" s="1"/>
      <c r="R82" s="1"/>
      <c r="S82" s="1"/>
      <c r="T82" s="1"/>
      <c r="U82" s="1"/>
      <c r="V82" s="1"/>
      <c r="W82" s="1"/>
      <c r="X82" s="1"/>
      <c r="Y82" s="1"/>
      <c r="Z82" s="1"/>
    </row>
    <row r="83" spans="1:26" ht="19.5" customHeight="1">
      <c r="A83" s="39" t="s">
        <v>687</v>
      </c>
      <c r="B83" s="22" t="s">
        <v>244</v>
      </c>
      <c r="C83" s="56">
        <f t="array" ref="C83">H83+I83</f>
        <v>0</v>
      </c>
      <c r="D83" s="56">
        <f t="array" ref="D83">D$9*$L83</f>
        <v>0</v>
      </c>
      <c r="E83" s="56">
        <f t="array" ref="E83">E$9*$L83</f>
        <v>0</v>
      </c>
      <c r="F83" s="56">
        <f t="array" ref="F83">F$9*$L83</f>
        <v>0</v>
      </c>
      <c r="G83" s="56">
        <f t="array" ref="G83">G$9*$L83</f>
        <v>0</v>
      </c>
      <c r="H83" s="56">
        <f t="array" ref="H83">E83+D83</f>
        <v>0</v>
      </c>
      <c r="I83" s="56">
        <f t="array" ref="I83">G83+F83</f>
        <v>0</v>
      </c>
      <c r="J83" s="56">
        <f t="array" ref="J83">D83+F83</f>
        <v>0</v>
      </c>
      <c r="K83" s="56">
        <f t="array" ref="K83">E83+G83</f>
        <v>0</v>
      </c>
      <c r="L83" s="58"/>
      <c r="M83" s="1"/>
      <c r="N83" s="1"/>
      <c r="O83" s="1"/>
      <c r="P83" s="1"/>
      <c r="Q83" s="1"/>
      <c r="R83" s="1"/>
      <c r="S83" s="1"/>
      <c r="T83" s="1"/>
      <c r="U83" s="1"/>
      <c r="V83" s="1"/>
      <c r="W83" s="1"/>
      <c r="X83" s="1"/>
      <c r="Y83" s="1"/>
      <c r="Z83" s="1"/>
    </row>
    <row r="84" spans="1:26" ht="19.5" customHeight="1">
      <c r="A84" s="39" t="s">
        <v>688</v>
      </c>
      <c r="B84" s="22" t="s">
        <v>246</v>
      </c>
      <c r="C84" s="56">
        <f t="array" ref="C84">H84+I84</f>
        <v>0</v>
      </c>
      <c r="D84" s="56">
        <f t="array" ref="D84">D$9*$L84</f>
        <v>0</v>
      </c>
      <c r="E84" s="56">
        <f t="array" ref="E84">E$9*$L84</f>
        <v>0</v>
      </c>
      <c r="F84" s="56">
        <f t="array" ref="F84">F$9*$L84</f>
        <v>0</v>
      </c>
      <c r="G84" s="56">
        <f t="array" ref="G84">G$9*$L84</f>
        <v>0</v>
      </c>
      <c r="H84" s="56">
        <f t="array" ref="H84">E84+D84</f>
        <v>0</v>
      </c>
      <c r="I84" s="56">
        <f t="array" ref="I84">G84+F84</f>
        <v>0</v>
      </c>
      <c r="J84" s="56">
        <f t="array" ref="J84">D84+F84</f>
        <v>0</v>
      </c>
      <c r="K84" s="56">
        <f t="array" ref="K84">E84+G84</f>
        <v>0</v>
      </c>
      <c r="L84" s="58"/>
      <c r="M84" s="1"/>
      <c r="N84" s="1"/>
      <c r="O84" s="1"/>
      <c r="P84" s="1"/>
      <c r="Q84" s="1"/>
      <c r="R84" s="1"/>
      <c r="S84" s="1"/>
      <c r="T84" s="1"/>
      <c r="U84" s="1"/>
      <c r="V84" s="1"/>
      <c r="W84" s="1"/>
      <c r="X84" s="1"/>
      <c r="Y84" s="1"/>
      <c r="Z84" s="1"/>
    </row>
    <row r="85" spans="1:26" ht="19.5" customHeight="1">
      <c r="A85" s="39" t="s">
        <v>689</v>
      </c>
      <c r="B85" s="22" t="s">
        <v>248</v>
      </c>
      <c r="C85" s="56">
        <f t="array" ref="C85">H85+I85</f>
        <v>0</v>
      </c>
      <c r="D85" s="56">
        <f t="array" ref="D85">D$9*$L85</f>
        <v>0</v>
      </c>
      <c r="E85" s="56">
        <f t="array" ref="E85">E$9*$L85</f>
        <v>0</v>
      </c>
      <c r="F85" s="56">
        <f t="array" ref="F85">F$9*$L85</f>
        <v>0</v>
      </c>
      <c r="G85" s="56">
        <f t="array" ref="G85">G$9*$L85</f>
        <v>0</v>
      </c>
      <c r="H85" s="56">
        <f t="array" ref="H85">E85+D85</f>
        <v>0</v>
      </c>
      <c r="I85" s="56">
        <f t="array" ref="I85">G85+F85</f>
        <v>0</v>
      </c>
      <c r="J85" s="56">
        <f t="array" ref="J85">D85+F85</f>
        <v>0</v>
      </c>
      <c r="K85" s="56">
        <f t="array" ref="K85">E85+G85</f>
        <v>0</v>
      </c>
      <c r="L85" s="58"/>
      <c r="M85" s="1"/>
      <c r="N85" s="1"/>
      <c r="O85" s="1"/>
      <c r="P85" s="1"/>
      <c r="Q85" s="1"/>
      <c r="R85" s="1"/>
      <c r="S85" s="1"/>
      <c r="T85" s="1"/>
      <c r="U85" s="1"/>
      <c r="V85" s="1"/>
      <c r="W85" s="1"/>
      <c r="X85" s="1"/>
      <c r="Y85" s="1"/>
      <c r="Z85" s="1"/>
    </row>
    <row r="86" spans="1:26" ht="19.5" customHeight="1">
      <c r="A86" s="39" t="s">
        <v>690</v>
      </c>
      <c r="B86" s="22" t="s">
        <v>250</v>
      </c>
      <c r="C86" s="56">
        <f t="array" ref="C86">H86+I86</f>
        <v>0</v>
      </c>
      <c r="D86" s="56">
        <f t="array" ref="D86">D$9*$L86</f>
        <v>0</v>
      </c>
      <c r="E86" s="56">
        <f t="array" ref="E86">E$9*$L86</f>
        <v>0</v>
      </c>
      <c r="F86" s="56">
        <f t="array" ref="F86">F$9*$L86</f>
        <v>0</v>
      </c>
      <c r="G86" s="56">
        <f t="array" ref="G86">G$9*$L86</f>
        <v>0</v>
      </c>
      <c r="H86" s="56">
        <f t="array" ref="H86">E86+D86</f>
        <v>0</v>
      </c>
      <c r="I86" s="56">
        <f t="array" ref="I86">G86+F86</f>
        <v>0</v>
      </c>
      <c r="J86" s="56">
        <f t="array" ref="J86">D86+F86</f>
        <v>0</v>
      </c>
      <c r="K86" s="56">
        <f t="array" ref="K86">E86+G86</f>
        <v>0</v>
      </c>
      <c r="L86" s="58"/>
      <c r="M86" s="1"/>
      <c r="N86" s="1"/>
      <c r="O86" s="1"/>
      <c r="P86" s="1"/>
      <c r="Q86" s="1"/>
      <c r="R86" s="1"/>
      <c r="S86" s="1"/>
      <c r="T86" s="1"/>
      <c r="U86" s="1"/>
      <c r="V86" s="1"/>
      <c r="W86" s="1"/>
      <c r="X86" s="1"/>
      <c r="Y86" s="1"/>
      <c r="Z86" s="1"/>
    </row>
    <row r="87" spans="1:26" ht="19.5" customHeight="1">
      <c r="A87" s="39" t="s">
        <v>691</v>
      </c>
      <c r="B87" s="22" t="s">
        <v>252</v>
      </c>
      <c r="C87" s="56">
        <f t="array" ref="C87">H87+I87</f>
        <v>0</v>
      </c>
      <c r="D87" s="56">
        <f t="array" ref="D87">D$9*$L87</f>
        <v>0</v>
      </c>
      <c r="E87" s="56">
        <f t="array" ref="E87">E$9*$L87</f>
        <v>0</v>
      </c>
      <c r="F87" s="56">
        <f t="array" ref="F87">F$9*$L87</f>
        <v>0</v>
      </c>
      <c r="G87" s="56">
        <f t="array" ref="G87">G$9*$L87</f>
        <v>0</v>
      </c>
      <c r="H87" s="56">
        <f t="array" ref="H87">E87+D87</f>
        <v>0</v>
      </c>
      <c r="I87" s="56">
        <f t="array" ref="I87">G87+F87</f>
        <v>0</v>
      </c>
      <c r="J87" s="56">
        <f t="array" ref="J87">D87+F87</f>
        <v>0</v>
      </c>
      <c r="K87" s="56">
        <f t="array" ref="K87">E87+G87</f>
        <v>0</v>
      </c>
      <c r="L87" s="58"/>
      <c r="M87" s="1"/>
      <c r="N87" s="1"/>
      <c r="O87" s="1"/>
      <c r="P87" s="1"/>
      <c r="Q87" s="1"/>
      <c r="R87" s="1"/>
      <c r="S87" s="1"/>
      <c r="T87" s="1"/>
      <c r="U87" s="1"/>
      <c r="V87" s="1"/>
      <c r="W87" s="1"/>
      <c r="X87" s="1"/>
      <c r="Y87" s="1"/>
      <c r="Z87" s="1"/>
    </row>
    <row r="88" spans="1:26" ht="19.5" customHeight="1">
      <c r="A88" s="39" t="s">
        <v>692</v>
      </c>
      <c r="B88" s="22" t="s">
        <v>254</v>
      </c>
      <c r="C88" s="56">
        <f t="array" ref="C88">H88+I88</f>
        <v>0</v>
      </c>
      <c r="D88" s="56">
        <f t="array" ref="D88">D$9*$L88</f>
        <v>0</v>
      </c>
      <c r="E88" s="56">
        <f t="array" ref="E88">E$9*$L88</f>
        <v>0</v>
      </c>
      <c r="F88" s="56">
        <f t="array" ref="F88">F$9*$L88</f>
        <v>0</v>
      </c>
      <c r="G88" s="56">
        <f t="array" ref="G88">G$9*$L88</f>
        <v>0</v>
      </c>
      <c r="H88" s="56">
        <f t="array" ref="H88">E88+D88</f>
        <v>0</v>
      </c>
      <c r="I88" s="56">
        <f t="array" ref="I88">G88+F88</f>
        <v>0</v>
      </c>
      <c r="J88" s="56">
        <f t="array" ref="J88">D88+F88</f>
        <v>0</v>
      </c>
      <c r="K88" s="56">
        <f t="array" ref="K88">E88+G88</f>
        <v>0</v>
      </c>
      <c r="L88" s="58"/>
      <c r="M88" s="1"/>
      <c r="N88" s="1"/>
      <c r="O88" s="1"/>
      <c r="P88" s="1"/>
      <c r="Q88" s="1"/>
      <c r="R88" s="1"/>
      <c r="S88" s="1"/>
      <c r="T88" s="1"/>
      <c r="U88" s="1"/>
      <c r="V88" s="1"/>
      <c r="W88" s="1"/>
      <c r="X88" s="1"/>
      <c r="Y88" s="1"/>
      <c r="Z88" s="1"/>
    </row>
    <row r="89" spans="1:26" ht="19.5" customHeight="1">
      <c r="A89" s="39" t="s">
        <v>693</v>
      </c>
      <c r="B89" s="22" t="s">
        <v>256</v>
      </c>
      <c r="C89" s="56">
        <f t="array" ref="C89">H89+I89</f>
        <v>0</v>
      </c>
      <c r="D89" s="56">
        <f t="array" ref="D89">D$9*$L89</f>
        <v>0</v>
      </c>
      <c r="E89" s="56">
        <f t="array" ref="E89">E$9*$L89</f>
        <v>0</v>
      </c>
      <c r="F89" s="56">
        <f t="array" ref="F89">F$9*$L89</f>
        <v>0</v>
      </c>
      <c r="G89" s="56">
        <f t="array" ref="G89">G$9*$L89</f>
        <v>0</v>
      </c>
      <c r="H89" s="56">
        <f t="array" ref="H89">E89+D89</f>
        <v>0</v>
      </c>
      <c r="I89" s="56">
        <f t="array" ref="I89">G89+F89</f>
        <v>0</v>
      </c>
      <c r="J89" s="56">
        <f t="array" ref="J89">D89+F89</f>
        <v>0</v>
      </c>
      <c r="K89" s="56">
        <f t="array" ref="K89">E89+G89</f>
        <v>0</v>
      </c>
      <c r="L89" s="58"/>
      <c r="M89" s="1"/>
      <c r="N89" s="1"/>
      <c r="O89" s="1"/>
      <c r="P89" s="1"/>
      <c r="Q89" s="1"/>
      <c r="R89" s="1"/>
      <c r="S89" s="1"/>
      <c r="T89" s="1"/>
      <c r="U89" s="1"/>
      <c r="V89" s="1"/>
      <c r="W89" s="1"/>
      <c r="X89" s="1"/>
      <c r="Y89" s="1"/>
      <c r="Z89" s="1"/>
    </row>
    <row r="90" spans="1:26" ht="19.5" customHeight="1">
      <c r="A90" s="39" t="s">
        <v>694</v>
      </c>
      <c r="B90" s="22" t="s">
        <v>258</v>
      </c>
      <c r="C90" s="56">
        <f t="array" ref="C90">H90+I90</f>
        <v>0</v>
      </c>
      <c r="D90" s="56">
        <f t="array" ref="D90">D$9*$L90</f>
        <v>0</v>
      </c>
      <c r="E90" s="56">
        <f t="array" ref="E90">E$9*$L90</f>
        <v>0</v>
      </c>
      <c r="F90" s="56">
        <f t="array" ref="F90">F$9*$L90</f>
        <v>0</v>
      </c>
      <c r="G90" s="56">
        <f t="array" ref="G90">G$9*$L90</f>
        <v>0</v>
      </c>
      <c r="H90" s="56">
        <f t="array" ref="H90">E90+D90</f>
        <v>0</v>
      </c>
      <c r="I90" s="56">
        <f t="array" ref="I90">G90+F90</f>
        <v>0</v>
      </c>
      <c r="J90" s="56">
        <f t="array" ref="J90">D90+F90</f>
        <v>0</v>
      </c>
      <c r="K90" s="56">
        <f t="array" ref="K90">E90+G90</f>
        <v>0</v>
      </c>
      <c r="L90" s="58"/>
      <c r="M90" s="1"/>
      <c r="N90" s="1"/>
      <c r="O90" s="1"/>
      <c r="P90" s="1"/>
      <c r="Q90" s="1"/>
      <c r="R90" s="1"/>
      <c r="S90" s="1"/>
      <c r="T90" s="1"/>
      <c r="U90" s="1"/>
      <c r="V90" s="1"/>
      <c r="W90" s="1"/>
      <c r="X90" s="1"/>
      <c r="Y90" s="1"/>
      <c r="Z90" s="1"/>
    </row>
    <row r="91" spans="1:26" ht="19.5" customHeight="1">
      <c r="A91" s="39" t="s">
        <v>695</v>
      </c>
      <c r="B91" s="22" t="s">
        <v>260</v>
      </c>
      <c r="C91" s="56">
        <f t="array" ref="C91">H91+I91</f>
        <v>0</v>
      </c>
      <c r="D91" s="56">
        <f t="array" ref="D91">D$9*$L91</f>
        <v>0</v>
      </c>
      <c r="E91" s="56">
        <f t="array" ref="E91">E$9*$L91</f>
        <v>0</v>
      </c>
      <c r="F91" s="56">
        <f t="array" ref="F91">F$9*$L91</f>
        <v>0</v>
      </c>
      <c r="G91" s="56">
        <f t="array" ref="G91">G$9*$L91</f>
        <v>0</v>
      </c>
      <c r="H91" s="56">
        <f t="array" ref="H91">E91+D91</f>
        <v>0</v>
      </c>
      <c r="I91" s="56">
        <f t="array" ref="I91">G91+F91</f>
        <v>0</v>
      </c>
      <c r="J91" s="56">
        <f t="array" ref="J91">D91+F91</f>
        <v>0</v>
      </c>
      <c r="K91" s="56">
        <f t="array" ref="K91">E91+G91</f>
        <v>0</v>
      </c>
      <c r="L91" s="58"/>
      <c r="M91" s="1"/>
      <c r="N91" s="1"/>
      <c r="O91" s="1"/>
      <c r="P91" s="1"/>
      <c r="Q91" s="1"/>
      <c r="R91" s="1"/>
      <c r="S91" s="1"/>
      <c r="T91" s="1"/>
      <c r="U91" s="1"/>
      <c r="V91" s="1"/>
      <c r="W91" s="1"/>
      <c r="X91" s="1"/>
      <c r="Y91" s="1"/>
      <c r="Z91" s="1"/>
    </row>
    <row r="92" spans="1:26" ht="19.5" customHeight="1">
      <c r="A92" s="39" t="s">
        <v>696</v>
      </c>
      <c r="B92" s="22" t="s">
        <v>262</v>
      </c>
      <c r="C92" s="56">
        <f t="array" ref="C92">H92+I92</f>
        <v>0</v>
      </c>
      <c r="D92" s="56">
        <f t="array" ref="D92">D$9*$L92</f>
        <v>0</v>
      </c>
      <c r="E92" s="56">
        <f t="array" ref="E92">E$9*$L92</f>
        <v>0</v>
      </c>
      <c r="F92" s="56">
        <f t="array" ref="F92">F$9*$L92</f>
        <v>0</v>
      </c>
      <c r="G92" s="56">
        <f t="array" ref="G92">G$9*$L92</f>
        <v>0</v>
      </c>
      <c r="H92" s="56">
        <f t="array" ref="H92">E92+D92</f>
        <v>0</v>
      </c>
      <c r="I92" s="56">
        <f t="array" ref="I92">G92+F92</f>
        <v>0</v>
      </c>
      <c r="J92" s="56">
        <f t="array" ref="J92">D92+F92</f>
        <v>0</v>
      </c>
      <c r="K92" s="56">
        <f t="array" ref="K92">E92+G92</f>
        <v>0</v>
      </c>
      <c r="L92" s="58"/>
      <c r="M92" s="1"/>
      <c r="N92" s="1"/>
      <c r="O92" s="1"/>
      <c r="P92" s="1"/>
      <c r="Q92" s="1"/>
      <c r="R92" s="1"/>
      <c r="S92" s="1"/>
      <c r="T92" s="1"/>
      <c r="U92" s="1"/>
      <c r="V92" s="1"/>
      <c r="W92" s="1"/>
      <c r="X92" s="1"/>
      <c r="Y92" s="1"/>
      <c r="Z92" s="1"/>
    </row>
    <row r="93" spans="1:26" ht="19.5" customHeight="1">
      <c r="A93" s="39" t="s">
        <v>697</v>
      </c>
      <c r="B93" s="22" t="s">
        <v>264</v>
      </c>
      <c r="C93" s="56">
        <f t="array" ref="C93">H93+I93</f>
        <v>0</v>
      </c>
      <c r="D93" s="56">
        <f t="array" ref="D93">D$9*$L93</f>
        <v>0</v>
      </c>
      <c r="E93" s="56">
        <f t="array" ref="E93">E$9*$L93</f>
        <v>0</v>
      </c>
      <c r="F93" s="56">
        <f t="array" ref="F93">F$9*$L93</f>
        <v>0</v>
      </c>
      <c r="G93" s="56">
        <f t="array" ref="G93">G$9*$L93</f>
        <v>0</v>
      </c>
      <c r="H93" s="56">
        <f t="array" ref="H93">E93+D93</f>
        <v>0</v>
      </c>
      <c r="I93" s="56">
        <f t="array" ref="I93">G93+F93</f>
        <v>0</v>
      </c>
      <c r="J93" s="56">
        <f t="array" ref="J93">D93+F93</f>
        <v>0</v>
      </c>
      <c r="K93" s="56">
        <f t="array" ref="K93">E93+G93</f>
        <v>0</v>
      </c>
      <c r="L93" s="58"/>
      <c r="M93" s="1"/>
      <c r="N93" s="1"/>
      <c r="O93" s="1"/>
      <c r="P93" s="1"/>
      <c r="Q93" s="1"/>
      <c r="R93" s="1"/>
      <c r="S93" s="1"/>
      <c r="T93" s="1"/>
      <c r="U93" s="1"/>
      <c r="V93" s="1"/>
      <c r="W93" s="1"/>
      <c r="X93" s="1"/>
      <c r="Y93" s="1"/>
      <c r="Z93" s="1"/>
    </row>
    <row r="94" spans="1:26" ht="19.5" customHeight="1">
      <c r="A94" s="39" t="s">
        <v>698</v>
      </c>
      <c r="B94" s="22" t="s">
        <v>266</v>
      </c>
      <c r="C94" s="56">
        <f t="array" ref="C94">H94+I94</f>
        <v>0</v>
      </c>
      <c r="D94" s="56">
        <f t="array" ref="D94">D$9*$L94</f>
        <v>0</v>
      </c>
      <c r="E94" s="56">
        <f t="array" ref="E94">E$9*$L94</f>
        <v>0</v>
      </c>
      <c r="F94" s="56">
        <f t="array" ref="F94">F$9*$L94</f>
        <v>0</v>
      </c>
      <c r="G94" s="56">
        <f t="array" ref="G94">G$9*$L94</f>
        <v>0</v>
      </c>
      <c r="H94" s="56">
        <f t="array" ref="H94">E94+D94</f>
        <v>0</v>
      </c>
      <c r="I94" s="56">
        <f t="array" ref="I94">G94+F94</f>
        <v>0</v>
      </c>
      <c r="J94" s="56">
        <f t="array" ref="J94">D94+F94</f>
        <v>0</v>
      </c>
      <c r="K94" s="56">
        <f t="array" ref="K94">E94+G94</f>
        <v>0</v>
      </c>
      <c r="L94" s="58"/>
      <c r="M94" s="1"/>
      <c r="N94" s="1"/>
      <c r="O94" s="1"/>
      <c r="P94" s="1"/>
      <c r="Q94" s="1"/>
      <c r="R94" s="1"/>
      <c r="S94" s="1"/>
      <c r="T94" s="1"/>
      <c r="U94" s="1"/>
      <c r="V94" s="1"/>
      <c r="W94" s="1"/>
      <c r="X94" s="1"/>
      <c r="Y94" s="1"/>
      <c r="Z94" s="1"/>
    </row>
    <row r="95" spans="1:26" ht="19.5" customHeight="1">
      <c r="A95" s="39" t="s">
        <v>699</v>
      </c>
      <c r="B95" s="22" t="s">
        <v>268</v>
      </c>
      <c r="C95" s="56">
        <f t="array" ref="C95">H95+I95</f>
        <v>0</v>
      </c>
      <c r="D95" s="56">
        <f t="array" ref="D95">D$9*$L95</f>
        <v>0</v>
      </c>
      <c r="E95" s="56">
        <f t="array" ref="E95">E$9*$L95</f>
        <v>0</v>
      </c>
      <c r="F95" s="56">
        <f t="array" ref="F95">F$9*$L95</f>
        <v>0</v>
      </c>
      <c r="G95" s="56">
        <f t="array" ref="G95">G$9*$L95</f>
        <v>0</v>
      </c>
      <c r="H95" s="56">
        <f t="array" ref="H95">E95+D95</f>
        <v>0</v>
      </c>
      <c r="I95" s="56">
        <f t="array" ref="I95">G95+F95</f>
        <v>0</v>
      </c>
      <c r="J95" s="56">
        <f t="array" ref="J95">D95+F95</f>
        <v>0</v>
      </c>
      <c r="K95" s="56">
        <f t="array" ref="K95">E95+G95</f>
        <v>0</v>
      </c>
      <c r="L95" s="58"/>
      <c r="M95" s="1"/>
      <c r="N95" s="1"/>
      <c r="O95" s="1"/>
      <c r="P95" s="1"/>
      <c r="Q95" s="1"/>
      <c r="R95" s="1"/>
      <c r="S95" s="1"/>
      <c r="T95" s="1"/>
      <c r="U95" s="1"/>
      <c r="V95" s="1"/>
      <c r="W95" s="1"/>
      <c r="X95" s="1"/>
      <c r="Y95" s="1"/>
      <c r="Z95" s="1"/>
    </row>
    <row r="96" spans="1:26" ht="19.5" customHeight="1">
      <c r="A96" s="39" t="s">
        <v>700</v>
      </c>
      <c r="B96" s="22" t="s">
        <v>270</v>
      </c>
      <c r="C96" s="56">
        <f t="array" ref="C96">H96+I96</f>
        <v>0</v>
      </c>
      <c r="D96" s="56">
        <f t="array" ref="D96">D$9*$L96</f>
        <v>0</v>
      </c>
      <c r="E96" s="56">
        <f t="array" ref="E96">E$9*$L96</f>
        <v>0</v>
      </c>
      <c r="F96" s="56">
        <f t="array" ref="F96">F$9*$L96</f>
        <v>0</v>
      </c>
      <c r="G96" s="56">
        <f t="array" ref="G96">G$9*$L96</f>
        <v>0</v>
      </c>
      <c r="H96" s="56">
        <f t="array" ref="H96">E96+D96</f>
        <v>0</v>
      </c>
      <c r="I96" s="56">
        <f t="array" ref="I96">G96+F96</f>
        <v>0</v>
      </c>
      <c r="J96" s="56">
        <f t="array" ref="J96">D96+F96</f>
        <v>0</v>
      </c>
      <c r="K96" s="56">
        <f t="array" ref="K96">E96+G96</f>
        <v>0</v>
      </c>
      <c r="L96" s="58"/>
      <c r="M96" s="1"/>
      <c r="N96" s="1"/>
      <c r="O96" s="1"/>
      <c r="P96" s="1"/>
      <c r="Q96" s="1"/>
      <c r="R96" s="1"/>
      <c r="S96" s="1"/>
      <c r="T96" s="1"/>
      <c r="U96" s="1"/>
      <c r="V96" s="1"/>
      <c r="W96" s="1"/>
      <c r="X96" s="1"/>
      <c r="Y96" s="1"/>
      <c r="Z96" s="1"/>
    </row>
    <row r="97" spans="1:26" ht="19.5" customHeight="1">
      <c r="A97" s="39" t="s">
        <v>701</v>
      </c>
      <c r="B97" s="22" t="s">
        <v>272</v>
      </c>
      <c r="C97" s="56">
        <f t="array" ref="C97">H97+I97</f>
        <v>0</v>
      </c>
      <c r="D97" s="56">
        <f t="array" ref="D97">D$9*$L97</f>
        <v>0</v>
      </c>
      <c r="E97" s="56">
        <f t="array" ref="E97">E$9*$L97</f>
        <v>0</v>
      </c>
      <c r="F97" s="56">
        <f t="array" ref="F97">F$9*$L97</f>
        <v>0</v>
      </c>
      <c r="G97" s="56">
        <f t="array" ref="G97">G$9*$L97</f>
        <v>0</v>
      </c>
      <c r="H97" s="56">
        <f t="array" ref="H97">E97+D97</f>
        <v>0</v>
      </c>
      <c r="I97" s="56">
        <f t="array" ref="I97">G97+F97</f>
        <v>0</v>
      </c>
      <c r="J97" s="56">
        <f t="array" ref="J97">D97+F97</f>
        <v>0</v>
      </c>
      <c r="K97" s="56">
        <f t="array" ref="K97">E97+G97</f>
        <v>0</v>
      </c>
      <c r="L97" s="58"/>
      <c r="M97" s="1"/>
      <c r="N97" s="1"/>
      <c r="O97" s="1"/>
      <c r="P97" s="1"/>
      <c r="Q97" s="1"/>
      <c r="R97" s="1"/>
      <c r="S97" s="1"/>
      <c r="T97" s="1"/>
      <c r="U97" s="1"/>
      <c r="V97" s="1"/>
      <c r="W97" s="1"/>
      <c r="X97" s="1"/>
      <c r="Y97" s="1"/>
      <c r="Z97" s="1"/>
    </row>
    <row r="98" spans="1:26" ht="19.5" customHeight="1">
      <c r="A98" s="39" t="s">
        <v>702</v>
      </c>
      <c r="B98" s="22" t="s">
        <v>274</v>
      </c>
      <c r="C98" s="56">
        <f t="array" ref="C98">H98+I98</f>
        <v>0</v>
      </c>
      <c r="D98" s="56">
        <f t="array" ref="D98">D$9*$L98</f>
        <v>0</v>
      </c>
      <c r="E98" s="56">
        <f t="array" ref="E98">E$9*$L98</f>
        <v>0</v>
      </c>
      <c r="F98" s="56">
        <f t="array" ref="F98">F$9*$L98</f>
        <v>0</v>
      </c>
      <c r="G98" s="56">
        <f t="array" ref="G98">G$9*$L98</f>
        <v>0</v>
      </c>
      <c r="H98" s="56">
        <f t="array" ref="H98">E98+D98</f>
        <v>0</v>
      </c>
      <c r="I98" s="56">
        <f t="array" ref="I98">G98+F98</f>
        <v>0</v>
      </c>
      <c r="J98" s="56">
        <f t="array" ref="J98">D98+F98</f>
        <v>0</v>
      </c>
      <c r="K98" s="56">
        <f t="array" ref="K98">E98+G98</f>
        <v>0</v>
      </c>
      <c r="L98" s="58"/>
      <c r="M98" s="1"/>
      <c r="N98" s="1"/>
      <c r="O98" s="1"/>
      <c r="P98" s="1"/>
      <c r="Q98" s="1"/>
      <c r="R98" s="1"/>
      <c r="S98" s="1"/>
      <c r="T98" s="1"/>
      <c r="U98" s="1"/>
      <c r="V98" s="1"/>
      <c r="W98" s="1"/>
      <c r="X98" s="1"/>
      <c r="Y98" s="1"/>
      <c r="Z98" s="1"/>
    </row>
    <row r="99" spans="1:26" ht="19.5" customHeight="1">
      <c r="A99" s="39" t="s">
        <v>703</v>
      </c>
      <c r="B99" s="22" t="s">
        <v>276</v>
      </c>
      <c r="C99" s="56">
        <f t="array" ref="C99">H99+I99</f>
        <v>0</v>
      </c>
      <c r="D99" s="56">
        <f t="array" ref="D99">D$9*$L99</f>
        <v>0</v>
      </c>
      <c r="E99" s="56">
        <f t="array" ref="E99">E$9*$L99</f>
        <v>0</v>
      </c>
      <c r="F99" s="56">
        <f t="array" ref="F99">F$9*$L99</f>
        <v>0</v>
      </c>
      <c r="G99" s="56">
        <f t="array" ref="G99">G$9*$L99</f>
        <v>0</v>
      </c>
      <c r="H99" s="56">
        <f t="array" ref="H99">E99+D99</f>
        <v>0</v>
      </c>
      <c r="I99" s="56">
        <f t="array" ref="I99">G99+F99</f>
        <v>0</v>
      </c>
      <c r="J99" s="56">
        <f t="array" ref="J99">D99+F99</f>
        <v>0</v>
      </c>
      <c r="K99" s="56">
        <f t="array" ref="K99">E99+G99</f>
        <v>0</v>
      </c>
      <c r="L99" s="58"/>
      <c r="M99" s="1"/>
      <c r="N99" s="1"/>
      <c r="O99" s="1"/>
      <c r="P99" s="1"/>
      <c r="Q99" s="1"/>
      <c r="R99" s="1"/>
      <c r="S99" s="1"/>
      <c r="T99" s="1"/>
      <c r="U99" s="1"/>
      <c r="V99" s="1"/>
      <c r="W99" s="1"/>
      <c r="X99" s="1"/>
      <c r="Y99" s="1"/>
      <c r="Z99" s="1"/>
    </row>
    <row r="100" spans="1:26" ht="19.5" customHeight="1">
      <c r="A100" s="39" t="s">
        <v>704</v>
      </c>
      <c r="B100" s="22" t="s">
        <v>278</v>
      </c>
      <c r="C100" s="56">
        <f t="array" ref="C100">H100+I100</f>
        <v>0</v>
      </c>
      <c r="D100" s="56">
        <f t="array" ref="D100">D$9*$L100</f>
        <v>0</v>
      </c>
      <c r="E100" s="56">
        <f t="array" ref="E100">E$9*$L100</f>
        <v>0</v>
      </c>
      <c r="F100" s="56">
        <f t="array" ref="F100">F$9*$L100</f>
        <v>0</v>
      </c>
      <c r="G100" s="56">
        <f t="array" ref="G100">G$9*$L100</f>
        <v>0</v>
      </c>
      <c r="H100" s="56">
        <f t="array" ref="H100">E100+D100</f>
        <v>0</v>
      </c>
      <c r="I100" s="56">
        <f t="array" ref="I100">G100+F100</f>
        <v>0</v>
      </c>
      <c r="J100" s="56">
        <f t="array" ref="J100">D100+F100</f>
        <v>0</v>
      </c>
      <c r="K100" s="56">
        <f t="array" ref="K100">E100+G100</f>
        <v>0</v>
      </c>
      <c r="L100" s="58"/>
      <c r="M100" s="1"/>
      <c r="N100" s="1"/>
      <c r="O100" s="1"/>
      <c r="P100" s="1"/>
      <c r="Q100" s="1"/>
      <c r="R100" s="1"/>
      <c r="S100" s="1"/>
      <c r="T100" s="1"/>
      <c r="U100" s="1"/>
      <c r="V100" s="1"/>
      <c r="W100" s="1"/>
      <c r="X100" s="1"/>
      <c r="Y100" s="1"/>
      <c r="Z100" s="1"/>
    </row>
    <row r="101" spans="1:26" ht="19.5" customHeight="1">
      <c r="A101" s="39" t="s">
        <v>705</v>
      </c>
      <c r="B101" s="22" t="s">
        <v>280</v>
      </c>
      <c r="C101" s="56">
        <f t="array" ref="C101">H101+I101</f>
        <v>0</v>
      </c>
      <c r="D101" s="56">
        <f t="array" ref="D101">D$9*$L101</f>
        <v>0</v>
      </c>
      <c r="E101" s="56">
        <f t="array" ref="E101">E$9*$L101</f>
        <v>0</v>
      </c>
      <c r="F101" s="56">
        <f t="array" ref="F101">F$9*$L101</f>
        <v>0</v>
      </c>
      <c r="G101" s="56">
        <f t="array" ref="G101">G$9*$L101</f>
        <v>0</v>
      </c>
      <c r="H101" s="56">
        <f t="array" ref="H101">E101+D101</f>
        <v>0</v>
      </c>
      <c r="I101" s="56">
        <f t="array" ref="I101">G101+F101</f>
        <v>0</v>
      </c>
      <c r="J101" s="56">
        <f t="array" ref="J101">D101+F101</f>
        <v>0</v>
      </c>
      <c r="K101" s="56">
        <f t="array" ref="K101">E101+G101</f>
        <v>0</v>
      </c>
      <c r="L101" s="58"/>
      <c r="M101" s="1"/>
      <c r="N101" s="1"/>
      <c r="O101" s="1"/>
      <c r="P101" s="1"/>
      <c r="Q101" s="1"/>
      <c r="R101" s="1"/>
      <c r="S101" s="1"/>
      <c r="T101" s="1"/>
      <c r="U101" s="1"/>
      <c r="V101" s="1"/>
      <c r="W101" s="1"/>
      <c r="X101" s="1"/>
      <c r="Y101" s="1"/>
      <c r="Z101" s="1"/>
    </row>
    <row r="102" spans="1:26" ht="19.5" customHeight="1">
      <c r="A102" s="39" t="s">
        <v>706</v>
      </c>
      <c r="B102" s="22" t="s">
        <v>282</v>
      </c>
      <c r="C102" s="56">
        <f t="array" ref="C102">H102+I102</f>
        <v>0</v>
      </c>
      <c r="D102" s="56">
        <f t="array" ref="D102">D$9*$L102</f>
        <v>0</v>
      </c>
      <c r="E102" s="56">
        <f t="array" ref="E102">E$9*$L102</f>
        <v>0</v>
      </c>
      <c r="F102" s="56">
        <f t="array" ref="F102">F$9*$L102</f>
        <v>0</v>
      </c>
      <c r="G102" s="56">
        <f t="array" ref="G102">G$9*$L102</f>
        <v>0</v>
      </c>
      <c r="H102" s="56">
        <f t="array" ref="H102">E102+D102</f>
        <v>0</v>
      </c>
      <c r="I102" s="56">
        <f t="array" ref="I102">G102+F102</f>
        <v>0</v>
      </c>
      <c r="J102" s="56">
        <f t="array" ref="J102">D102+F102</f>
        <v>0</v>
      </c>
      <c r="K102" s="56">
        <f t="array" ref="K102">E102+G102</f>
        <v>0</v>
      </c>
      <c r="L102" s="58"/>
      <c r="M102" s="1"/>
      <c r="N102" s="1"/>
      <c r="O102" s="1"/>
      <c r="P102" s="1"/>
      <c r="Q102" s="1"/>
      <c r="R102" s="1"/>
      <c r="S102" s="1"/>
      <c r="T102" s="1"/>
      <c r="U102" s="1"/>
      <c r="V102" s="1"/>
      <c r="W102" s="1"/>
      <c r="X102" s="1"/>
      <c r="Y102" s="1"/>
      <c r="Z102" s="1"/>
    </row>
    <row r="103" spans="1:26" ht="19.5" customHeight="1">
      <c r="A103" s="39" t="s">
        <v>707</v>
      </c>
      <c r="B103" s="22" t="s">
        <v>284</v>
      </c>
      <c r="C103" s="56">
        <f t="array" ref="C103">H103+I103</f>
        <v>0</v>
      </c>
      <c r="D103" s="56">
        <f t="array" ref="D103">D$9*$L103</f>
        <v>0</v>
      </c>
      <c r="E103" s="56">
        <f t="array" ref="E103">E$9*$L103</f>
        <v>0</v>
      </c>
      <c r="F103" s="56">
        <f t="array" ref="F103">F$9*$L103</f>
        <v>0</v>
      </c>
      <c r="G103" s="56">
        <f t="array" ref="G103">G$9*$L103</f>
        <v>0</v>
      </c>
      <c r="H103" s="56">
        <f t="array" ref="H103">E103+D103</f>
        <v>0</v>
      </c>
      <c r="I103" s="56">
        <f t="array" ref="I103">G103+F103</f>
        <v>0</v>
      </c>
      <c r="J103" s="56">
        <f t="array" ref="J103">D103+F103</f>
        <v>0</v>
      </c>
      <c r="K103" s="56">
        <f t="array" ref="K103">E103+G103</f>
        <v>0</v>
      </c>
      <c r="L103" s="58"/>
      <c r="M103" s="1"/>
      <c r="N103" s="1"/>
      <c r="O103" s="1"/>
      <c r="P103" s="1"/>
      <c r="Q103" s="1"/>
      <c r="R103" s="1"/>
      <c r="S103" s="1"/>
      <c r="T103" s="1"/>
      <c r="U103" s="1"/>
      <c r="V103" s="1"/>
      <c r="W103" s="1"/>
      <c r="X103" s="1"/>
      <c r="Y103" s="1"/>
      <c r="Z103" s="1"/>
    </row>
    <row r="104" spans="1:26" ht="19.5" customHeight="1">
      <c r="A104" s="39" t="s">
        <v>708</v>
      </c>
      <c r="B104" s="22" t="s">
        <v>286</v>
      </c>
      <c r="C104" s="56">
        <f t="array" ref="C104">H104+I104</f>
        <v>0</v>
      </c>
      <c r="D104" s="56">
        <f t="array" ref="D104">D$9*$L104</f>
        <v>0</v>
      </c>
      <c r="E104" s="56">
        <f t="array" ref="E104">E$9*$L104</f>
        <v>0</v>
      </c>
      <c r="F104" s="56">
        <f t="array" ref="F104">F$9*$L104</f>
        <v>0</v>
      </c>
      <c r="G104" s="56">
        <f t="array" ref="G104">G$9*$L104</f>
        <v>0</v>
      </c>
      <c r="H104" s="56">
        <f t="array" ref="H104">E104+D104</f>
        <v>0</v>
      </c>
      <c r="I104" s="56">
        <f t="array" ref="I104">G104+F104</f>
        <v>0</v>
      </c>
      <c r="J104" s="56">
        <f t="array" ref="J104">D104+F104</f>
        <v>0</v>
      </c>
      <c r="K104" s="56">
        <f t="array" ref="K104">E104+G104</f>
        <v>0</v>
      </c>
      <c r="L104" s="58"/>
      <c r="M104" s="1"/>
      <c r="N104" s="1"/>
      <c r="O104" s="1"/>
      <c r="P104" s="1"/>
      <c r="Q104" s="1"/>
      <c r="R104" s="1"/>
      <c r="S104" s="1"/>
      <c r="T104" s="1"/>
      <c r="U104" s="1"/>
      <c r="V104" s="1"/>
      <c r="W104" s="1"/>
      <c r="X104" s="1"/>
      <c r="Y104" s="1"/>
      <c r="Z104" s="1"/>
    </row>
    <row r="105" spans="1:26" ht="19.5" customHeight="1">
      <c r="A105" s="39" t="s">
        <v>709</v>
      </c>
      <c r="B105" s="22" t="s">
        <v>288</v>
      </c>
      <c r="C105" s="56">
        <f t="array" ref="C105">H105+I105</f>
        <v>0</v>
      </c>
      <c r="D105" s="56">
        <f t="array" ref="D105">D$9*$L105</f>
        <v>0</v>
      </c>
      <c r="E105" s="56">
        <f t="array" ref="E105">E$9*$L105</f>
        <v>0</v>
      </c>
      <c r="F105" s="56">
        <f t="array" ref="F105">F$9*$L105</f>
        <v>0</v>
      </c>
      <c r="G105" s="56">
        <f t="array" ref="G105">G$9*$L105</f>
        <v>0</v>
      </c>
      <c r="H105" s="56">
        <f t="array" ref="H105">E105+D105</f>
        <v>0</v>
      </c>
      <c r="I105" s="56">
        <f t="array" ref="I105">G105+F105</f>
        <v>0</v>
      </c>
      <c r="J105" s="56">
        <f t="array" ref="J105">D105+F105</f>
        <v>0</v>
      </c>
      <c r="K105" s="56">
        <f t="array" ref="K105">E105+G105</f>
        <v>0</v>
      </c>
      <c r="L105" s="58"/>
      <c r="M105" s="1"/>
      <c r="N105" s="1"/>
      <c r="O105" s="1"/>
      <c r="P105" s="1"/>
      <c r="Q105" s="1"/>
      <c r="R105" s="1"/>
      <c r="S105" s="1"/>
      <c r="T105" s="1"/>
      <c r="U105" s="1"/>
      <c r="V105" s="1"/>
      <c r="W105" s="1"/>
      <c r="X105" s="1"/>
      <c r="Y105" s="1"/>
      <c r="Z105" s="1"/>
    </row>
    <row r="106" spans="1:26" ht="19.5" customHeight="1">
      <c r="A106" s="39" t="s">
        <v>710</v>
      </c>
      <c r="B106" s="22" t="s">
        <v>290</v>
      </c>
      <c r="C106" s="56">
        <f t="array" ref="C106">H106+I106</f>
        <v>0</v>
      </c>
      <c r="D106" s="56">
        <f t="array" ref="D106">D$9*$L106</f>
        <v>0</v>
      </c>
      <c r="E106" s="56">
        <f t="array" ref="E106">E$9*$L106</f>
        <v>0</v>
      </c>
      <c r="F106" s="56">
        <f t="array" ref="F106">F$9*$L106</f>
        <v>0</v>
      </c>
      <c r="G106" s="56">
        <f t="array" ref="G106">G$9*$L106</f>
        <v>0</v>
      </c>
      <c r="H106" s="56">
        <f t="array" ref="H106">E106+D106</f>
        <v>0</v>
      </c>
      <c r="I106" s="56">
        <f t="array" ref="I106">G106+F106</f>
        <v>0</v>
      </c>
      <c r="J106" s="56">
        <f t="array" ref="J106">D106+F106</f>
        <v>0</v>
      </c>
      <c r="K106" s="56">
        <f t="array" ref="K106">E106+G106</f>
        <v>0</v>
      </c>
      <c r="L106" s="58"/>
      <c r="M106" s="1"/>
      <c r="N106" s="1"/>
      <c r="O106" s="1"/>
      <c r="P106" s="1"/>
      <c r="Q106" s="1"/>
      <c r="R106" s="1"/>
      <c r="S106" s="1"/>
      <c r="T106" s="1"/>
      <c r="U106" s="1"/>
      <c r="V106" s="1"/>
      <c r="W106" s="1"/>
      <c r="X106" s="1"/>
      <c r="Y106" s="1"/>
      <c r="Z106" s="1"/>
    </row>
    <row r="107" spans="1:26" ht="19.5" customHeight="1">
      <c r="A107" s="39" t="s">
        <v>711</v>
      </c>
      <c r="B107" s="22" t="s">
        <v>292</v>
      </c>
      <c r="C107" s="56">
        <f t="array" ref="C107">H107+I107</f>
        <v>0</v>
      </c>
      <c r="D107" s="56">
        <f t="array" ref="D107">D$9*$L107</f>
        <v>0</v>
      </c>
      <c r="E107" s="56">
        <f t="array" ref="E107">E$9*$L107</f>
        <v>0</v>
      </c>
      <c r="F107" s="56">
        <f t="array" ref="F107">F$9*$L107</f>
        <v>0</v>
      </c>
      <c r="G107" s="56">
        <f t="array" ref="G107">G$9*$L107</f>
        <v>0</v>
      </c>
      <c r="H107" s="56">
        <f t="array" ref="H107">E107+D107</f>
        <v>0</v>
      </c>
      <c r="I107" s="56">
        <f t="array" ref="I107">G107+F107</f>
        <v>0</v>
      </c>
      <c r="J107" s="56">
        <f t="array" ref="J107">D107+F107</f>
        <v>0</v>
      </c>
      <c r="K107" s="56">
        <f t="array" ref="K107">E107+G107</f>
        <v>0</v>
      </c>
      <c r="L107" s="58"/>
      <c r="M107" s="1"/>
      <c r="N107" s="1"/>
      <c r="O107" s="1"/>
      <c r="P107" s="1"/>
      <c r="Q107" s="1"/>
      <c r="R107" s="1"/>
      <c r="S107" s="1"/>
      <c r="T107" s="1"/>
      <c r="U107" s="1"/>
      <c r="V107" s="1"/>
      <c r="W107" s="1"/>
      <c r="X107" s="1"/>
      <c r="Y107" s="1"/>
      <c r="Z107" s="1"/>
    </row>
    <row r="108" spans="1:26" ht="19.5" customHeight="1">
      <c r="A108" s="39" t="s">
        <v>712</v>
      </c>
      <c r="B108" s="22" t="s">
        <v>294</v>
      </c>
      <c r="C108" s="56">
        <f t="array" ref="C108">H108+I108</f>
        <v>0</v>
      </c>
      <c r="D108" s="56">
        <f t="array" ref="D108">D$9*$L108</f>
        <v>0</v>
      </c>
      <c r="E108" s="56">
        <f t="array" ref="E108">E$9*$L108</f>
        <v>0</v>
      </c>
      <c r="F108" s="56">
        <f t="array" ref="F108">F$9*$L108</f>
        <v>0</v>
      </c>
      <c r="G108" s="56">
        <f t="array" ref="G108">G$9*$L108</f>
        <v>0</v>
      </c>
      <c r="H108" s="56">
        <f t="array" ref="H108">E108+D108</f>
        <v>0</v>
      </c>
      <c r="I108" s="56">
        <f t="array" ref="I108">G108+F108</f>
        <v>0</v>
      </c>
      <c r="J108" s="56">
        <f t="array" ref="J108">D108+F108</f>
        <v>0</v>
      </c>
      <c r="K108" s="56">
        <f t="array" ref="K108">E108+G108</f>
        <v>0</v>
      </c>
      <c r="L108" s="58"/>
      <c r="M108" s="1"/>
      <c r="N108" s="1"/>
      <c r="O108" s="1"/>
      <c r="P108" s="1"/>
      <c r="Q108" s="1"/>
      <c r="R108" s="1"/>
      <c r="S108" s="1"/>
      <c r="T108" s="1"/>
      <c r="U108" s="1"/>
      <c r="V108" s="1"/>
      <c r="W108" s="1"/>
      <c r="X108" s="1"/>
      <c r="Y108" s="1"/>
      <c r="Z108" s="1"/>
    </row>
    <row r="109" spans="1:26" ht="19.5" customHeight="1">
      <c r="A109" s="39" t="s">
        <v>713</v>
      </c>
      <c r="B109" s="22" t="s">
        <v>296</v>
      </c>
      <c r="C109" s="56">
        <f t="array" ref="C109">H109+I109</f>
        <v>0</v>
      </c>
      <c r="D109" s="56">
        <f t="array" ref="D109">D$9*$L109</f>
        <v>0</v>
      </c>
      <c r="E109" s="56">
        <f t="array" ref="E109">E$9*$L109</f>
        <v>0</v>
      </c>
      <c r="F109" s="56">
        <f t="array" ref="F109">F$9*$L109</f>
        <v>0</v>
      </c>
      <c r="G109" s="56">
        <f t="array" ref="G109">G$9*$L109</f>
        <v>0</v>
      </c>
      <c r="H109" s="56">
        <f t="array" ref="H109">E109+D109</f>
        <v>0</v>
      </c>
      <c r="I109" s="56">
        <f t="array" ref="I109">G109+F109</f>
        <v>0</v>
      </c>
      <c r="J109" s="56">
        <f t="array" ref="J109">D109+F109</f>
        <v>0</v>
      </c>
      <c r="K109" s="56">
        <f t="array" ref="K109">E109+G109</f>
        <v>0</v>
      </c>
      <c r="L109" s="58"/>
      <c r="M109" s="1"/>
      <c r="N109" s="1"/>
      <c r="O109" s="1"/>
      <c r="P109" s="1"/>
      <c r="Q109" s="1"/>
      <c r="R109" s="1"/>
      <c r="S109" s="1"/>
      <c r="T109" s="1"/>
      <c r="U109" s="1"/>
      <c r="V109" s="1"/>
      <c r="W109" s="1"/>
      <c r="X109" s="1"/>
      <c r="Y109" s="1"/>
      <c r="Z109" s="1"/>
    </row>
    <row r="110" spans="1:26" ht="19.5" customHeight="1">
      <c r="A110" s="39" t="s">
        <v>714</v>
      </c>
      <c r="B110" s="22" t="s">
        <v>298</v>
      </c>
      <c r="C110" s="56">
        <f t="array" ref="C110">H110+I110</f>
        <v>0</v>
      </c>
      <c r="D110" s="56">
        <f t="array" ref="D110">D$9*$L110</f>
        <v>0</v>
      </c>
      <c r="E110" s="56">
        <f t="array" ref="E110">E$9*$L110</f>
        <v>0</v>
      </c>
      <c r="F110" s="56">
        <f t="array" ref="F110">F$9*$L110</f>
        <v>0</v>
      </c>
      <c r="G110" s="56">
        <f t="array" ref="G110">G$9*$L110</f>
        <v>0</v>
      </c>
      <c r="H110" s="56">
        <f t="array" ref="H110">E110+D110</f>
        <v>0</v>
      </c>
      <c r="I110" s="56">
        <f t="array" ref="I110">G110+F110</f>
        <v>0</v>
      </c>
      <c r="J110" s="56">
        <f t="array" ref="J110">D110+F110</f>
        <v>0</v>
      </c>
      <c r="K110" s="56">
        <f t="array" ref="K110">E110+G110</f>
        <v>0</v>
      </c>
      <c r="L110" s="58"/>
      <c r="M110" s="1"/>
      <c r="N110" s="1"/>
      <c r="O110" s="1"/>
      <c r="P110" s="1"/>
      <c r="Q110" s="1"/>
      <c r="R110" s="1"/>
      <c r="S110" s="1"/>
      <c r="T110" s="1"/>
      <c r="U110" s="1"/>
      <c r="V110" s="1"/>
      <c r="W110" s="1"/>
      <c r="X110" s="1"/>
      <c r="Y110" s="1"/>
      <c r="Z110" s="1"/>
    </row>
    <row r="111" spans="1:26" ht="19.5" customHeight="1">
      <c r="A111" s="39" t="s">
        <v>715</v>
      </c>
      <c r="B111" s="22" t="s">
        <v>300</v>
      </c>
      <c r="C111" s="56">
        <f t="array" ref="C111">SUM(C11:C110)</f>
        <v>126035.20000000003</v>
      </c>
      <c r="D111" s="56">
        <f t="array" ref="D111">SUM(D11:D110)</f>
        <v>-36574.699999999983</v>
      </c>
      <c r="E111" s="56">
        <f t="array" ref="E111">SUM(E11:E110)</f>
        <v>-33924.999999999993</v>
      </c>
      <c r="F111" s="56">
        <f t="array" ref="F111">SUM(F11:F110)</f>
        <v>99975.400000000009</v>
      </c>
      <c r="G111" s="56">
        <f t="array" ref="G111">SUM(G11:G110)</f>
        <v>96559.499999999985</v>
      </c>
      <c r="H111" s="56">
        <f t="array" ref="H111">SUM(H11:H110)</f>
        <v>-70499.7</v>
      </c>
      <c r="I111" s="56">
        <f t="array" ref="I111">SUM(I11:I110)</f>
        <v>196534.89999999994</v>
      </c>
      <c r="J111" s="56">
        <f t="array" ref="J111">D111+F111</f>
        <v>63400.700000000026</v>
      </c>
      <c r="K111" s="56">
        <f t="array" ref="K111">E111+G111</f>
        <v>62634.499999999993</v>
      </c>
      <c r="L111" s="58"/>
      <c r="M111" s="1"/>
      <c r="N111" s="1"/>
      <c r="O111" s="1"/>
      <c r="P111" s="1"/>
      <c r="Q111" s="1"/>
      <c r="R111" s="1"/>
      <c r="S111" s="1"/>
      <c r="T111" s="1"/>
      <c r="U111" s="1"/>
      <c r="V111" s="1"/>
      <c r="W111" s="1"/>
      <c r="X111" s="1"/>
      <c r="Y111" s="1"/>
      <c r="Z111" s="1"/>
    </row>
    <row r="112" spans="1:26" ht="19.5" customHeight="1">
      <c r="A112" s="11"/>
      <c r="B112" s="17"/>
      <c r="C112" s="13"/>
      <c r="D112" s="13"/>
      <c r="E112" s="13"/>
      <c r="F112" s="13"/>
      <c r="G112" s="13"/>
      <c r="H112" s="13"/>
      <c r="I112" s="13"/>
      <c r="J112" s="13"/>
      <c r="K112" s="13"/>
      <c r="L112" s="13"/>
      <c r="M112" s="1"/>
      <c r="N112" s="1"/>
      <c r="O112" s="1"/>
      <c r="P112" s="1"/>
      <c r="Q112" s="1"/>
      <c r="R112" s="1"/>
      <c r="S112" s="1"/>
      <c r="T112" s="1"/>
      <c r="U112" s="1"/>
      <c r="V112" s="1"/>
      <c r="W112" s="1"/>
      <c r="X112" s="1"/>
      <c r="Y112" s="1"/>
      <c r="Z112" s="1"/>
    </row>
    <row r="113" spans="1:26" ht="31.5" customHeight="1">
      <c r="A113" s="39" t="s">
        <v>716</v>
      </c>
      <c r="B113" s="22" t="s">
        <v>76</v>
      </c>
      <c r="C113" s="163" t="str">
        <f t="array" ref="C113">IF(C114="","?",C114)&amp;IF(C115="","","; downloaded "&amp;C115)&amp;IF(C116="","","; "&amp;C116)</f>
        <v>Enter URLs here, if you have multiple URLs seperate them with a comma; downloaded yyyy-MM-dd; we used the 10-year average number of the migration balance (2015-2024); the numbers are binomially distributed between the age of 5 and 54</v>
      </c>
      <c r="D113" s="164"/>
      <c r="E113" s="164"/>
      <c r="F113" s="164"/>
      <c r="G113" s="164"/>
      <c r="H113" s="164"/>
      <c r="I113" s="164"/>
      <c r="J113" s="164"/>
      <c r="K113" s="165"/>
      <c r="L113" s="13"/>
      <c r="M113" s="1"/>
      <c r="N113" s="1"/>
      <c r="O113" s="1"/>
      <c r="P113" s="1"/>
      <c r="Q113" s="1"/>
      <c r="R113" s="1"/>
      <c r="S113" s="1"/>
      <c r="T113" s="1"/>
      <c r="U113" s="1"/>
      <c r="V113" s="1"/>
      <c r="W113" s="1"/>
      <c r="X113" s="1"/>
      <c r="Y113" s="1"/>
      <c r="Z113" s="1"/>
    </row>
    <row r="114" spans="1:26" ht="19.5" customHeight="1">
      <c r="A114" s="15"/>
      <c r="B114" s="22" t="s">
        <v>77</v>
      </c>
      <c r="C114" s="166" t="s">
        <v>717</v>
      </c>
      <c r="D114" s="164"/>
      <c r="E114" s="164"/>
      <c r="F114" s="164"/>
      <c r="G114" s="164"/>
      <c r="H114" s="164"/>
      <c r="I114" s="164"/>
      <c r="J114" s="164"/>
      <c r="K114" s="165"/>
      <c r="L114" s="13"/>
      <c r="M114" s="1"/>
      <c r="N114" s="1"/>
      <c r="O114" s="1"/>
      <c r="P114" s="1"/>
      <c r="Q114" s="1"/>
      <c r="R114" s="1"/>
      <c r="S114" s="1"/>
      <c r="T114" s="1"/>
      <c r="U114" s="1"/>
      <c r="V114" s="1"/>
      <c r="W114" s="1"/>
      <c r="X114" s="1"/>
      <c r="Y114" s="1"/>
      <c r="Z114" s="1"/>
    </row>
    <row r="115" spans="1:26" ht="19.5" customHeight="1">
      <c r="A115" s="23"/>
      <c r="B115" s="33" t="s">
        <v>79</v>
      </c>
      <c r="C115" s="167" t="s">
        <v>718</v>
      </c>
      <c r="D115" s="168"/>
      <c r="E115" s="168"/>
      <c r="F115" s="168"/>
      <c r="G115" s="168"/>
      <c r="H115" s="168"/>
      <c r="I115" s="168"/>
      <c r="J115" s="168"/>
      <c r="K115" s="169"/>
      <c r="L115" s="13"/>
      <c r="M115" s="1"/>
      <c r="N115" s="1"/>
      <c r="O115" s="1"/>
      <c r="P115" s="1"/>
      <c r="Q115" s="1"/>
      <c r="R115" s="1"/>
      <c r="S115" s="1"/>
      <c r="T115" s="1"/>
      <c r="U115" s="1"/>
      <c r="V115" s="1"/>
      <c r="W115" s="1"/>
      <c r="X115" s="1"/>
      <c r="Y115" s="1"/>
      <c r="Z115" s="1"/>
    </row>
    <row r="116" spans="1:26" ht="19.5" customHeight="1">
      <c r="A116" s="11"/>
      <c r="B116" s="12" t="s">
        <v>81</v>
      </c>
      <c r="C116" s="192" t="s">
        <v>719</v>
      </c>
      <c r="D116" s="158"/>
      <c r="E116" s="158"/>
      <c r="F116" s="158"/>
      <c r="G116" s="158"/>
      <c r="H116" s="158"/>
      <c r="I116" s="158"/>
      <c r="J116" s="158"/>
      <c r="K116" s="159"/>
      <c r="L116" s="13"/>
      <c r="M116" s="1"/>
      <c r="N116" s="1"/>
      <c r="O116" s="1"/>
      <c r="P116" s="1"/>
      <c r="Q116" s="1"/>
      <c r="R116" s="1"/>
      <c r="S116" s="1"/>
      <c r="T116" s="1"/>
      <c r="U116" s="1"/>
      <c r="V116" s="1"/>
      <c r="W116" s="1"/>
      <c r="X116" s="1"/>
      <c r="Y116" s="1"/>
      <c r="Z116" s="1"/>
    </row>
    <row r="117" spans="1:26" ht="19.5" customHeight="1">
      <c r="A117" s="11"/>
      <c r="B117" s="12" t="s">
        <v>82</v>
      </c>
      <c r="C117" s="170"/>
      <c r="D117" s="161"/>
      <c r="E117" s="161"/>
      <c r="F117" s="161"/>
      <c r="G117" s="161"/>
      <c r="H117" s="161"/>
      <c r="I117" s="161"/>
      <c r="J117" s="161"/>
      <c r="K117" s="162"/>
      <c r="L117" s="13"/>
      <c r="M117" s="1"/>
      <c r="N117" s="1"/>
      <c r="O117" s="1"/>
      <c r="P117" s="1"/>
      <c r="Q117" s="1"/>
      <c r="R117" s="1"/>
      <c r="S117" s="1"/>
      <c r="T117" s="1"/>
      <c r="U117" s="1"/>
      <c r="V117" s="1"/>
      <c r="W117" s="1"/>
      <c r="X117" s="1"/>
      <c r="Y117" s="1"/>
      <c r="Z117" s="1"/>
    </row>
    <row r="118" spans="1:26" ht="19.5" customHeight="1">
      <c r="A118" s="11"/>
      <c r="B118" s="12" t="s">
        <v>84</v>
      </c>
      <c r="C118" s="171"/>
      <c r="D118" s="164"/>
      <c r="E118" s="164"/>
      <c r="F118" s="164"/>
      <c r="G118" s="164"/>
      <c r="H118" s="164"/>
      <c r="I118" s="164"/>
      <c r="J118" s="164"/>
      <c r="K118" s="165"/>
      <c r="L118" s="13"/>
      <c r="M118" s="1"/>
      <c r="N118" s="1"/>
      <c r="O118" s="1"/>
      <c r="P118" s="1"/>
      <c r="Q118" s="1"/>
      <c r="R118" s="1"/>
      <c r="S118" s="1"/>
      <c r="T118" s="1"/>
      <c r="U118" s="1"/>
      <c r="V118" s="1"/>
      <c r="W118" s="1"/>
      <c r="X118" s="1"/>
      <c r="Y118" s="1"/>
      <c r="Z118" s="1"/>
    </row>
    <row r="119" spans="1:26" ht="19.5" customHeight="1">
      <c r="A119" s="15"/>
      <c r="B119" s="16"/>
      <c r="C119" s="13"/>
      <c r="D119" s="13"/>
      <c r="E119" s="13"/>
      <c r="F119" s="13"/>
      <c r="G119" s="13"/>
      <c r="H119" s="13"/>
      <c r="I119" s="13"/>
      <c r="J119" s="13"/>
      <c r="K119" s="13"/>
      <c r="L119" s="13"/>
      <c r="M119" s="1"/>
      <c r="N119" s="1"/>
      <c r="O119" s="1"/>
      <c r="P119" s="1"/>
      <c r="Q119" s="1"/>
      <c r="R119" s="1"/>
      <c r="S119" s="1"/>
      <c r="T119" s="1"/>
      <c r="U119" s="1"/>
      <c r="V119" s="1"/>
      <c r="W119" s="1"/>
      <c r="X119" s="1"/>
      <c r="Y119" s="1"/>
      <c r="Z119" s="1"/>
    </row>
    <row r="120" spans="1:26" ht="33" customHeight="1">
      <c r="A120" s="95"/>
      <c r="B120" s="96" t="s">
        <v>304</v>
      </c>
      <c r="C120" s="186" t="s">
        <v>305</v>
      </c>
      <c r="D120" s="164"/>
      <c r="E120" s="164"/>
      <c r="F120" s="164"/>
      <c r="G120" s="164"/>
      <c r="H120" s="164"/>
      <c r="I120" s="164"/>
      <c r="J120" s="164"/>
      <c r="K120" s="165"/>
      <c r="L120" s="59"/>
      <c r="M120" s="1"/>
      <c r="N120" s="1"/>
      <c r="O120" s="1"/>
      <c r="P120" s="1"/>
      <c r="Q120" s="1"/>
      <c r="R120" s="1"/>
      <c r="S120" s="1"/>
      <c r="T120" s="1"/>
      <c r="U120" s="1"/>
      <c r="V120" s="1"/>
      <c r="W120" s="1"/>
      <c r="X120" s="1"/>
      <c r="Y120" s="1"/>
      <c r="Z120" s="1"/>
    </row>
    <row r="121" spans="1:26" ht="31.5" customHeight="1">
      <c r="A121" s="111"/>
      <c r="B121" s="112" t="s">
        <v>720</v>
      </c>
      <c r="C121" s="185" t="s">
        <v>721</v>
      </c>
      <c r="D121" s="164"/>
      <c r="E121" s="164"/>
      <c r="F121" s="164"/>
      <c r="G121" s="164"/>
      <c r="H121" s="164"/>
      <c r="I121" s="164"/>
      <c r="J121" s="164"/>
      <c r="K121" s="165"/>
      <c r="L121" s="21"/>
      <c r="M121" s="1"/>
      <c r="N121" s="1"/>
      <c r="O121" s="1"/>
      <c r="P121" s="1"/>
      <c r="Q121" s="1"/>
      <c r="R121" s="1"/>
      <c r="S121" s="1"/>
      <c r="T121" s="1"/>
      <c r="U121" s="1"/>
      <c r="V121" s="1"/>
      <c r="W121" s="1"/>
      <c r="X121" s="1"/>
      <c r="Y121" s="1"/>
      <c r="Z121" s="1"/>
    </row>
    <row r="122" spans="1:26" ht="19.5" customHeight="1">
      <c r="A122" s="15"/>
      <c r="B122" s="16"/>
      <c r="C122" s="58"/>
      <c r="D122" s="58"/>
      <c r="E122" s="58"/>
      <c r="F122" s="58"/>
      <c r="G122" s="58"/>
      <c r="H122" s="58"/>
      <c r="I122" s="58"/>
      <c r="J122" s="58"/>
      <c r="K122" s="58"/>
      <c r="L122" s="58"/>
      <c r="M122" s="1"/>
      <c r="N122" s="1"/>
      <c r="O122" s="1"/>
      <c r="P122" s="1"/>
      <c r="Q122" s="1"/>
      <c r="R122" s="1"/>
      <c r="S122" s="1"/>
      <c r="T122" s="1"/>
      <c r="U122" s="1"/>
      <c r="V122" s="1"/>
      <c r="W122" s="1"/>
      <c r="X122" s="1"/>
      <c r="Y122" s="1"/>
      <c r="Z122" s="1"/>
    </row>
    <row r="123" spans="1:26" ht="19.5" customHeight="1">
      <c r="A123" s="2"/>
      <c r="B123" s="113">
        <f t="array" ref="B123">$B124-1</f>
        <v>1949</v>
      </c>
      <c r="C123" s="56">
        <f t="array" ref="C123">H123+I123</f>
        <v>0</v>
      </c>
      <c r="D123" s="75"/>
      <c r="E123" s="75"/>
      <c r="F123" s="57">
        <f t="array" ref="F123">J123-D123</f>
        <v>0</v>
      </c>
      <c r="G123" s="57">
        <f t="array" ref="G123">K123-E123</f>
        <v>0</v>
      </c>
      <c r="H123" s="56">
        <f t="array" ref="H123">E123+D123</f>
        <v>0</v>
      </c>
      <c r="I123" s="56">
        <f t="array" ref="I123">G123+F123</f>
        <v>0</v>
      </c>
      <c r="J123" s="75"/>
      <c r="K123" s="75"/>
      <c r="L123" s="85">
        <v>4.1870609400000001E-2</v>
      </c>
      <c r="M123" s="1"/>
      <c r="N123" s="1"/>
      <c r="O123" s="1"/>
      <c r="P123" s="1"/>
      <c r="Q123" s="1"/>
      <c r="R123" s="1"/>
      <c r="S123" s="1"/>
      <c r="T123" s="1"/>
      <c r="U123" s="1"/>
      <c r="V123" s="1"/>
      <c r="W123" s="1"/>
      <c r="X123" s="1"/>
      <c r="Y123" s="1"/>
      <c r="Z123" s="1"/>
    </row>
    <row r="124" spans="1:26" ht="19.5" customHeight="1">
      <c r="A124" s="2"/>
      <c r="B124" s="113">
        <f t="array" ref="B124">$B125-1</f>
        <v>1950</v>
      </c>
      <c r="C124" s="56">
        <f t="array" ref="C124">H124+I124</f>
        <v>0</v>
      </c>
      <c r="D124" s="75"/>
      <c r="E124" s="75"/>
      <c r="F124" s="57">
        <f t="array" ref="F124">J124-D124</f>
        <v>0</v>
      </c>
      <c r="G124" s="57">
        <f t="array" ref="G124">K124-E124</f>
        <v>0</v>
      </c>
      <c r="H124" s="56">
        <f t="array" ref="H124">E124+D124</f>
        <v>0</v>
      </c>
      <c r="I124" s="56">
        <f t="array" ref="I124">G124+F124</f>
        <v>0</v>
      </c>
      <c r="J124" s="75"/>
      <c r="K124" s="75"/>
      <c r="L124" s="85">
        <v>4.6368713399999997E-2</v>
      </c>
      <c r="M124" s="1"/>
      <c r="N124" s="1"/>
      <c r="O124" s="1"/>
      <c r="P124" s="1"/>
      <c r="Q124" s="1"/>
      <c r="R124" s="1"/>
      <c r="S124" s="1"/>
      <c r="T124" s="1"/>
      <c r="U124" s="1"/>
      <c r="V124" s="1"/>
      <c r="W124" s="1"/>
      <c r="X124" s="1"/>
      <c r="Y124" s="1"/>
      <c r="Z124" s="1"/>
    </row>
    <row r="125" spans="1:26" ht="19.5" customHeight="1">
      <c r="A125" s="2"/>
      <c r="B125" s="113">
        <f t="array" ref="B125">$B126-1</f>
        <v>1951</v>
      </c>
      <c r="C125" s="56">
        <f t="array" ref="C125">H125+I125</f>
        <v>0</v>
      </c>
      <c r="D125" s="75"/>
      <c r="E125" s="75"/>
      <c r="F125" s="57">
        <f t="array" ref="F125">J125-D125</f>
        <v>0</v>
      </c>
      <c r="G125" s="57">
        <f t="array" ref="G125">K125-E125</f>
        <v>0</v>
      </c>
      <c r="H125" s="56">
        <f t="array" ref="H125">E125+D125</f>
        <v>0</v>
      </c>
      <c r="I125" s="56">
        <f t="array" ref="I125">G125+F125</f>
        <v>0</v>
      </c>
      <c r="J125" s="75"/>
      <c r="K125" s="75"/>
      <c r="L125" s="85">
        <v>5.0312703700000003E-2</v>
      </c>
      <c r="M125" s="1"/>
      <c r="N125" s="1"/>
      <c r="O125" s="1"/>
      <c r="P125" s="1"/>
      <c r="Q125" s="1"/>
      <c r="R125" s="1"/>
      <c r="S125" s="1"/>
      <c r="T125" s="1"/>
      <c r="U125" s="1"/>
      <c r="V125" s="1"/>
      <c r="W125" s="1"/>
      <c r="X125" s="1"/>
      <c r="Y125" s="1"/>
      <c r="Z125" s="1"/>
    </row>
    <row r="126" spans="1:26" ht="19.5" customHeight="1">
      <c r="A126" s="2"/>
      <c r="B126" s="113">
        <f t="array" ref="B126">$B127-1</f>
        <v>1952</v>
      </c>
      <c r="C126" s="56">
        <f t="array" ref="C126">H126+I126</f>
        <v>0</v>
      </c>
      <c r="D126" s="75"/>
      <c r="E126" s="75"/>
      <c r="F126" s="57">
        <f t="array" ref="F126">J126-D126</f>
        <v>0</v>
      </c>
      <c r="G126" s="57">
        <f t="array" ref="G126">K126-E126</f>
        <v>0</v>
      </c>
      <c r="H126" s="56">
        <f t="array" ref="H126">E126+D126</f>
        <v>0</v>
      </c>
      <c r="I126" s="56">
        <f t="array" ref="I126">G126+F126</f>
        <v>0</v>
      </c>
      <c r="J126" s="75"/>
      <c r="K126" s="75"/>
      <c r="L126" s="85">
        <v>5.3489324599999999E-2</v>
      </c>
      <c r="M126" s="1"/>
      <c r="N126" s="1"/>
      <c r="O126" s="1"/>
      <c r="P126" s="1"/>
      <c r="Q126" s="1"/>
      <c r="R126" s="1"/>
      <c r="S126" s="1"/>
      <c r="T126" s="1"/>
      <c r="U126" s="1"/>
      <c r="V126" s="1"/>
      <c r="W126" s="1"/>
      <c r="X126" s="1"/>
      <c r="Y126" s="1"/>
      <c r="Z126" s="1"/>
    </row>
    <row r="127" spans="1:26" ht="19.5" customHeight="1">
      <c r="A127" s="2"/>
      <c r="B127" s="113">
        <f t="array" ref="B127">$B128-1</f>
        <v>1953</v>
      </c>
      <c r="C127" s="56">
        <f t="array" ref="C127">H127+I127</f>
        <v>0</v>
      </c>
      <c r="D127" s="75"/>
      <c r="E127" s="75"/>
      <c r="F127" s="57">
        <f t="array" ref="F127">J127-D127</f>
        <v>0</v>
      </c>
      <c r="G127" s="57">
        <f t="array" ref="G127">K127-E127</f>
        <v>0</v>
      </c>
      <c r="H127" s="56">
        <f t="array" ref="H127">E127+D127</f>
        <v>0</v>
      </c>
      <c r="I127" s="56">
        <f t="array" ref="I127">G127+F127</f>
        <v>0</v>
      </c>
      <c r="J127" s="75"/>
      <c r="K127" s="75"/>
      <c r="L127" s="85">
        <v>5.5717730600000001E-2</v>
      </c>
      <c r="M127" s="1"/>
      <c r="N127" s="1"/>
      <c r="O127" s="1"/>
      <c r="P127" s="1"/>
      <c r="Q127" s="1"/>
      <c r="R127" s="1"/>
      <c r="S127" s="1"/>
      <c r="T127" s="1"/>
      <c r="U127" s="1"/>
      <c r="V127" s="1"/>
      <c r="W127" s="1"/>
      <c r="X127" s="1"/>
      <c r="Y127" s="1"/>
      <c r="Z127" s="1"/>
    </row>
    <row r="128" spans="1:26" ht="19.5" customHeight="1">
      <c r="A128" s="2"/>
      <c r="B128" s="113">
        <f t="array" ref="B128">$B129-1</f>
        <v>1954</v>
      </c>
      <c r="C128" s="56">
        <f t="array" ref="C128">H128+I128</f>
        <v>0</v>
      </c>
      <c r="D128" s="75"/>
      <c r="E128" s="75"/>
      <c r="F128" s="57">
        <f t="array" ref="F128">J128-D128</f>
        <v>0</v>
      </c>
      <c r="G128" s="57">
        <f t="array" ref="G128">K128-E128</f>
        <v>0</v>
      </c>
      <c r="H128" s="56">
        <f t="array" ref="H128">E128+D128</f>
        <v>0</v>
      </c>
      <c r="I128" s="56">
        <f t="array" ref="I128">G128+F128</f>
        <v>0</v>
      </c>
      <c r="J128" s="75"/>
      <c r="K128" s="75"/>
      <c r="L128" s="85">
        <v>5.6866509599999997E-2</v>
      </c>
      <c r="M128" s="1"/>
      <c r="N128" s="1"/>
      <c r="O128" s="1"/>
      <c r="P128" s="1"/>
      <c r="Q128" s="1"/>
      <c r="R128" s="1"/>
      <c r="S128" s="1"/>
      <c r="T128" s="1"/>
      <c r="U128" s="1"/>
      <c r="V128" s="1"/>
      <c r="W128" s="1"/>
      <c r="X128" s="1"/>
      <c r="Y128" s="1"/>
      <c r="Z128" s="1"/>
    </row>
    <row r="129" spans="1:26" ht="19.5" customHeight="1">
      <c r="A129" s="2"/>
      <c r="B129" s="113">
        <f t="array" ref="B129">$B130-1</f>
        <v>1955</v>
      </c>
      <c r="C129" s="56">
        <f t="array" ref="C129">H129+I129</f>
        <v>0</v>
      </c>
      <c r="D129" s="75"/>
      <c r="E129" s="75"/>
      <c r="F129" s="57">
        <f t="array" ref="F129">J129-D129</f>
        <v>0</v>
      </c>
      <c r="G129" s="57">
        <f t="array" ref="G129">K129-E129</f>
        <v>0</v>
      </c>
      <c r="H129" s="56">
        <f t="array" ref="H129">E129+D129</f>
        <v>0</v>
      </c>
      <c r="I129" s="56">
        <f t="array" ref="I129">G129+F129</f>
        <v>0</v>
      </c>
      <c r="J129" s="75"/>
      <c r="K129" s="75"/>
      <c r="L129" s="85">
        <v>5.6866509599999997E-2</v>
      </c>
      <c r="M129" s="1"/>
      <c r="N129" s="1"/>
      <c r="O129" s="1"/>
      <c r="P129" s="1"/>
      <c r="Q129" s="1"/>
      <c r="R129" s="1"/>
      <c r="S129" s="1"/>
      <c r="T129" s="1"/>
      <c r="U129" s="1"/>
      <c r="V129" s="1"/>
      <c r="W129" s="1"/>
      <c r="X129" s="1"/>
      <c r="Y129" s="1"/>
      <c r="Z129" s="1"/>
    </row>
    <row r="130" spans="1:26" ht="19.5" customHeight="1">
      <c r="A130" s="2"/>
      <c r="B130" s="113">
        <f t="array" ref="B130">$B131-1</f>
        <v>1956</v>
      </c>
      <c r="C130" s="56">
        <f t="array" ref="C130">H130+I130</f>
        <v>0</v>
      </c>
      <c r="D130" s="75"/>
      <c r="E130" s="75"/>
      <c r="F130" s="57">
        <f t="array" ref="F130">J130-D130</f>
        <v>0</v>
      </c>
      <c r="G130" s="57">
        <f t="array" ref="G130">K130-E130</f>
        <v>0</v>
      </c>
      <c r="H130" s="56">
        <f t="array" ref="H130">E130+D130</f>
        <v>0</v>
      </c>
      <c r="I130" s="56">
        <f t="array" ref="I130">G130+F130</f>
        <v>0</v>
      </c>
      <c r="J130" s="75"/>
      <c r="K130" s="75"/>
      <c r="L130" s="85">
        <v>5.5717730600000001E-2</v>
      </c>
      <c r="M130" s="1"/>
      <c r="N130" s="1"/>
      <c r="O130" s="1"/>
      <c r="P130" s="1"/>
      <c r="Q130" s="1"/>
      <c r="R130" s="1"/>
      <c r="S130" s="1"/>
      <c r="T130" s="1"/>
      <c r="U130" s="1"/>
      <c r="V130" s="1"/>
      <c r="W130" s="1"/>
      <c r="X130" s="1"/>
      <c r="Y130" s="1"/>
      <c r="Z130" s="1"/>
    </row>
    <row r="131" spans="1:26" ht="19.5" customHeight="1">
      <c r="A131" s="2"/>
      <c r="B131" s="113">
        <f t="array" ref="B131">$B132-1</f>
        <v>1957</v>
      </c>
      <c r="C131" s="56">
        <f t="array" ref="C131">H131+I131</f>
        <v>0</v>
      </c>
      <c r="D131" s="75"/>
      <c r="E131" s="75"/>
      <c r="F131" s="57">
        <f t="array" ref="F131">J131-D131</f>
        <v>0</v>
      </c>
      <c r="G131" s="57">
        <f t="array" ref="G131">K131-E131</f>
        <v>0</v>
      </c>
      <c r="H131" s="56">
        <f t="array" ref="H131">E131+D131</f>
        <v>0</v>
      </c>
      <c r="I131" s="56">
        <f t="array" ref="I131">G131+F131</f>
        <v>0</v>
      </c>
      <c r="J131" s="75"/>
      <c r="K131" s="75"/>
      <c r="L131" s="85">
        <v>5.3489324599999999E-2</v>
      </c>
      <c r="M131" s="1"/>
      <c r="N131" s="1"/>
      <c r="O131" s="1"/>
      <c r="P131" s="1"/>
      <c r="Q131" s="1"/>
      <c r="R131" s="1"/>
      <c r="S131" s="1"/>
      <c r="T131" s="1"/>
      <c r="U131" s="1"/>
      <c r="V131" s="1"/>
      <c r="W131" s="1"/>
      <c r="X131" s="1"/>
      <c r="Y131" s="1"/>
      <c r="Z131" s="1"/>
    </row>
    <row r="132" spans="1:26" ht="19.5" customHeight="1">
      <c r="A132" s="2"/>
      <c r="B132" s="113">
        <f t="array" ref="B132">$B133-1</f>
        <v>1958</v>
      </c>
      <c r="C132" s="56">
        <f t="array" ref="C132">H132+I132</f>
        <v>0</v>
      </c>
      <c r="D132" s="75"/>
      <c r="E132" s="75"/>
      <c r="F132" s="57">
        <f t="array" ref="F132">J132-D132</f>
        <v>0</v>
      </c>
      <c r="G132" s="57">
        <f t="array" ref="G132">K132-E132</f>
        <v>0</v>
      </c>
      <c r="H132" s="56">
        <f t="array" ref="H132">E132+D132</f>
        <v>0</v>
      </c>
      <c r="I132" s="56">
        <f t="array" ref="I132">G132+F132</f>
        <v>0</v>
      </c>
      <c r="J132" s="75"/>
      <c r="K132" s="75"/>
      <c r="L132" s="85">
        <v>5.0312703700000003E-2</v>
      </c>
      <c r="M132" s="1"/>
      <c r="N132" s="1"/>
      <c r="O132" s="1"/>
      <c r="P132" s="1"/>
      <c r="Q132" s="1"/>
      <c r="R132" s="1"/>
      <c r="S132" s="1"/>
      <c r="T132" s="1"/>
      <c r="U132" s="1"/>
      <c r="V132" s="1"/>
      <c r="W132" s="1"/>
      <c r="X132" s="1"/>
      <c r="Y132" s="1"/>
      <c r="Z132" s="1"/>
    </row>
    <row r="133" spans="1:26" ht="19.5" customHeight="1">
      <c r="A133" s="2"/>
      <c r="B133" s="113">
        <f t="array" ref="B133">$B134-1</f>
        <v>1959</v>
      </c>
      <c r="C133" s="56">
        <f t="array" ref="C133">H133+I133</f>
        <v>0</v>
      </c>
      <c r="D133" s="75"/>
      <c r="E133" s="75"/>
      <c r="F133" s="57">
        <f t="array" ref="F133">J133-D133</f>
        <v>0</v>
      </c>
      <c r="G133" s="57">
        <f t="array" ref="G133">K133-E133</f>
        <v>0</v>
      </c>
      <c r="H133" s="56">
        <f t="array" ref="H133">E133+D133</f>
        <v>0</v>
      </c>
      <c r="I133" s="56">
        <f t="array" ref="I133">G133+F133</f>
        <v>0</v>
      </c>
      <c r="J133" s="75"/>
      <c r="K133" s="75"/>
      <c r="L133" s="85">
        <v>4.6368713399999997E-2</v>
      </c>
      <c r="M133" s="1"/>
      <c r="N133" s="1"/>
      <c r="O133" s="1"/>
      <c r="P133" s="1"/>
      <c r="Q133" s="1"/>
      <c r="R133" s="1"/>
      <c r="S133" s="1"/>
      <c r="T133" s="1"/>
      <c r="U133" s="1"/>
      <c r="V133" s="1"/>
      <c r="W133" s="1"/>
      <c r="X133" s="1"/>
      <c r="Y133" s="1"/>
      <c r="Z133" s="1"/>
    </row>
    <row r="134" spans="1:26" ht="19.5" customHeight="1">
      <c r="A134" s="2"/>
      <c r="B134" s="113">
        <f t="array" ref="B134">$B135-1</f>
        <v>1960</v>
      </c>
      <c r="C134" s="56">
        <f t="array" ref="C134">H134+I134</f>
        <v>0</v>
      </c>
      <c r="D134" s="75"/>
      <c r="E134" s="75"/>
      <c r="F134" s="57">
        <f t="array" ref="F134">J134-D134</f>
        <v>0</v>
      </c>
      <c r="G134" s="57">
        <f t="array" ref="G134">K134-E134</f>
        <v>0</v>
      </c>
      <c r="H134" s="56">
        <f t="array" ref="H134">E134+D134</f>
        <v>0</v>
      </c>
      <c r="I134" s="56">
        <f t="array" ref="I134">G134+F134</f>
        <v>0</v>
      </c>
      <c r="J134" s="75"/>
      <c r="K134" s="75"/>
      <c r="L134" s="85">
        <v>4.1870609400000001E-2</v>
      </c>
      <c r="M134" s="1"/>
      <c r="N134" s="1"/>
      <c r="O134" s="1"/>
      <c r="P134" s="1"/>
      <c r="Q134" s="1"/>
      <c r="R134" s="1"/>
      <c r="S134" s="1"/>
      <c r="T134" s="1"/>
      <c r="U134" s="1"/>
      <c r="V134" s="1"/>
      <c r="W134" s="1"/>
      <c r="X134" s="1"/>
      <c r="Y134" s="1"/>
      <c r="Z134" s="1"/>
    </row>
    <row r="135" spans="1:26" ht="19.5" customHeight="1">
      <c r="A135" s="2"/>
      <c r="B135" s="113">
        <f t="array" ref="B135">$B136-1</f>
        <v>1961</v>
      </c>
      <c r="C135" s="56">
        <f t="array" ref="C135">H135+I135</f>
        <v>0</v>
      </c>
      <c r="D135" s="75"/>
      <c r="E135" s="75"/>
      <c r="F135" s="57">
        <f t="array" ref="F135">J135-D135</f>
        <v>0</v>
      </c>
      <c r="G135" s="57">
        <f t="array" ref="G135">K135-E135</f>
        <v>0</v>
      </c>
      <c r="H135" s="56">
        <f t="array" ref="H135">E135+D135</f>
        <v>0</v>
      </c>
      <c r="I135" s="56">
        <f t="array" ref="I135">G135+F135</f>
        <v>0</v>
      </c>
      <c r="J135" s="75"/>
      <c r="K135" s="75"/>
      <c r="L135" s="85">
        <v>3.70450654E-2</v>
      </c>
      <c r="M135" s="1"/>
      <c r="N135" s="1"/>
      <c r="O135" s="1"/>
      <c r="P135" s="1"/>
      <c r="Q135" s="1"/>
      <c r="R135" s="1"/>
      <c r="S135" s="1"/>
      <c r="T135" s="1"/>
      <c r="U135" s="1"/>
      <c r="V135" s="1"/>
      <c r="W135" s="1"/>
      <c r="X135" s="1"/>
      <c r="Y135" s="1"/>
      <c r="Z135" s="1"/>
    </row>
    <row r="136" spans="1:26" ht="19.5" customHeight="1">
      <c r="A136" s="2"/>
      <c r="B136" s="113">
        <f t="array" ref="B136">$B137-1</f>
        <v>1962</v>
      </c>
      <c r="C136" s="56">
        <f t="array" ref="C136">H136+I136</f>
        <v>0</v>
      </c>
      <c r="D136" s="75"/>
      <c r="E136" s="75"/>
      <c r="F136" s="57">
        <f t="array" ref="F136">J136-D136</f>
        <v>0</v>
      </c>
      <c r="G136" s="57">
        <f t="array" ref="G136">K136-E136</f>
        <v>0</v>
      </c>
      <c r="H136" s="56">
        <f t="array" ref="H136">E136+D136</f>
        <v>0</v>
      </c>
      <c r="I136" s="56">
        <f t="array" ref="I136">G136+F136</f>
        <v>0</v>
      </c>
      <c r="J136" s="75"/>
      <c r="K136" s="75"/>
      <c r="L136" s="85">
        <v>3.2113548499999998E-2</v>
      </c>
      <c r="M136" s="1"/>
      <c r="N136" s="1"/>
      <c r="O136" s="1"/>
      <c r="P136" s="1"/>
      <c r="Q136" s="1"/>
      <c r="R136" s="1"/>
      <c r="S136" s="1"/>
      <c r="T136" s="1"/>
      <c r="U136" s="1"/>
      <c r="V136" s="1"/>
      <c r="W136" s="1"/>
      <c r="X136" s="1"/>
      <c r="Y136" s="1"/>
      <c r="Z136" s="1"/>
    </row>
    <row r="137" spans="1:26" ht="19.5" customHeight="1">
      <c r="A137" s="2"/>
      <c r="B137" s="113">
        <f t="array" ref="B137">$B138-1</f>
        <v>1963</v>
      </c>
      <c r="C137" s="56">
        <f t="array" ref="C137">H137+I137</f>
        <v>0</v>
      </c>
      <c r="D137" s="75"/>
      <c r="E137" s="75"/>
      <c r="F137" s="57">
        <f t="array" ref="F137">J137-D137</f>
        <v>0</v>
      </c>
      <c r="G137" s="57">
        <f t="array" ref="G137">K137-E137</f>
        <v>0</v>
      </c>
      <c r="H137" s="56">
        <f t="array" ref="H137">E137+D137</f>
        <v>0</v>
      </c>
      <c r="I137" s="56">
        <f t="array" ref="I137">G137+F137</f>
        <v>0</v>
      </c>
      <c r="J137" s="75"/>
      <c r="K137" s="75"/>
      <c r="L137" s="85">
        <v>2.72761503E-2</v>
      </c>
      <c r="M137" s="1"/>
      <c r="N137" s="1"/>
      <c r="O137" s="1"/>
      <c r="P137" s="1"/>
      <c r="Q137" s="1"/>
      <c r="R137" s="1"/>
      <c r="S137" s="1"/>
      <c r="T137" s="1"/>
      <c r="U137" s="1"/>
      <c r="V137" s="1"/>
      <c r="W137" s="1"/>
      <c r="X137" s="1"/>
      <c r="Y137" s="1"/>
      <c r="Z137" s="1"/>
    </row>
    <row r="138" spans="1:26" ht="19.5" customHeight="1">
      <c r="A138" s="2"/>
      <c r="B138" s="113">
        <f t="array" ref="B138">$B139-1</f>
        <v>1964</v>
      </c>
      <c r="C138" s="56">
        <f t="array" ref="C138">H138+I138</f>
        <v>0</v>
      </c>
      <c r="D138" s="75"/>
      <c r="E138" s="75"/>
      <c r="F138" s="57">
        <f t="array" ref="F138">J138-D138</f>
        <v>0</v>
      </c>
      <c r="G138" s="57">
        <f t="array" ref="G138">K138-E138</f>
        <v>0</v>
      </c>
      <c r="H138" s="56">
        <f t="array" ref="H138">E138+D138</f>
        <v>0</v>
      </c>
      <c r="I138" s="56">
        <f t="array" ref="I138">G138+F138</f>
        <v>0</v>
      </c>
      <c r="J138" s="75"/>
      <c r="K138" s="75"/>
      <c r="L138" s="85">
        <v>2.2699416900000002E-2</v>
      </c>
      <c r="M138" s="1"/>
      <c r="N138" s="1"/>
      <c r="O138" s="1"/>
      <c r="P138" s="1"/>
      <c r="Q138" s="1"/>
      <c r="R138" s="1"/>
      <c r="S138" s="1"/>
      <c r="T138" s="1"/>
      <c r="U138" s="1"/>
      <c r="V138" s="1"/>
      <c r="W138" s="1"/>
      <c r="X138" s="1"/>
      <c r="Y138" s="1"/>
      <c r="Z138" s="1"/>
    </row>
    <row r="139" spans="1:26" ht="19.5" customHeight="1">
      <c r="A139" s="2"/>
      <c r="B139" s="113">
        <f t="array" ref="B139">$B140-1</f>
        <v>1965</v>
      </c>
      <c r="C139" s="56">
        <f t="array" ref="C139">H139+I139</f>
        <v>0</v>
      </c>
      <c r="D139" s="75"/>
      <c r="E139" s="75"/>
      <c r="F139" s="57">
        <f t="array" ref="F139">J139-D139</f>
        <v>0</v>
      </c>
      <c r="G139" s="57">
        <f t="array" ref="G139">K139-E139</f>
        <v>0</v>
      </c>
      <c r="H139" s="56">
        <f t="array" ref="H139">E139+D139</f>
        <v>0</v>
      </c>
      <c r="I139" s="56">
        <f t="array" ref="I139">G139+F139</f>
        <v>0</v>
      </c>
      <c r="J139" s="75"/>
      <c r="K139" s="75"/>
      <c r="L139" s="85">
        <v>1.85090093E-2</v>
      </c>
      <c r="M139" s="1"/>
      <c r="N139" s="1"/>
      <c r="O139" s="1"/>
      <c r="P139" s="1"/>
      <c r="Q139" s="1"/>
      <c r="R139" s="1"/>
      <c r="S139" s="1"/>
      <c r="T139" s="1"/>
      <c r="U139" s="1"/>
      <c r="V139" s="1"/>
      <c r="W139" s="1"/>
      <c r="X139" s="1"/>
      <c r="Y139" s="1"/>
      <c r="Z139" s="1"/>
    </row>
    <row r="140" spans="1:26" ht="19.5" customHeight="1">
      <c r="A140" s="2"/>
      <c r="B140" s="113">
        <f t="array" ref="B140">$B141-1</f>
        <v>1966</v>
      </c>
      <c r="C140" s="56">
        <f t="array" ref="C140">H140+I140</f>
        <v>0</v>
      </c>
      <c r="D140" s="75"/>
      <c r="E140" s="75"/>
      <c r="F140" s="57">
        <f t="array" ref="F140">J140-D140</f>
        <v>0</v>
      </c>
      <c r="G140" s="57">
        <f t="array" ref="G140">K140-E140</f>
        <v>0</v>
      </c>
      <c r="H140" s="56">
        <f t="array" ref="H140">E140+D140</f>
        <v>0</v>
      </c>
      <c r="I140" s="56">
        <f t="array" ref="I140">G140+F140</f>
        <v>0</v>
      </c>
      <c r="J140" s="75"/>
      <c r="K140" s="75"/>
      <c r="L140" s="85">
        <v>1.4787286700000001E-2</v>
      </c>
      <c r="M140" s="1"/>
      <c r="N140" s="1"/>
      <c r="O140" s="1"/>
      <c r="P140" s="1"/>
      <c r="Q140" s="1"/>
      <c r="R140" s="1"/>
      <c r="S140" s="1"/>
      <c r="T140" s="1"/>
      <c r="U140" s="1"/>
      <c r="V140" s="1"/>
      <c r="W140" s="1"/>
      <c r="X140" s="1"/>
      <c r="Y140" s="1"/>
      <c r="Z140" s="1"/>
    </row>
    <row r="141" spans="1:26" ht="19.5" customHeight="1">
      <c r="A141" s="2"/>
      <c r="B141" s="113">
        <f t="array" ref="B141">$B142-1</f>
        <v>1967</v>
      </c>
      <c r="C141" s="56">
        <f t="array" ref="C141">H141+I141</f>
        <v>0</v>
      </c>
      <c r="D141" s="75"/>
      <c r="E141" s="75"/>
      <c r="F141" s="57">
        <f t="array" ref="F141">J141-D141</f>
        <v>0</v>
      </c>
      <c r="G141" s="57">
        <f t="array" ref="G141">K141-E141</f>
        <v>0</v>
      </c>
      <c r="H141" s="56">
        <f t="array" ref="H141">E141+D141</f>
        <v>0</v>
      </c>
      <c r="I141" s="56">
        <f t="array" ref="I141">G141+F141</f>
        <v>0</v>
      </c>
      <c r="J141" s="75"/>
      <c r="K141" s="75"/>
      <c r="L141" s="85">
        <v>1.15752575E-2</v>
      </c>
      <c r="M141" s="1"/>
      <c r="N141" s="1"/>
      <c r="O141" s="1"/>
      <c r="P141" s="1"/>
      <c r="Q141" s="1"/>
      <c r="R141" s="1"/>
      <c r="S141" s="1"/>
      <c r="T141" s="1"/>
      <c r="U141" s="1"/>
      <c r="V141" s="1"/>
      <c r="W141" s="1"/>
      <c r="X141" s="1"/>
      <c r="Y141" s="1"/>
      <c r="Z141" s="1"/>
    </row>
    <row r="142" spans="1:26" ht="19.5" customHeight="1">
      <c r="A142" s="2"/>
      <c r="B142" s="113">
        <f t="array" ref="B142">$B143-1</f>
        <v>1968</v>
      </c>
      <c r="C142" s="56">
        <f t="array" ref="C142">H142+I142</f>
        <v>0</v>
      </c>
      <c r="D142" s="75"/>
      <c r="E142" s="75"/>
      <c r="F142" s="57">
        <f t="array" ref="F142">J142-D142</f>
        <v>0</v>
      </c>
      <c r="G142" s="57">
        <f t="array" ref="G142">K142-E142</f>
        <v>0</v>
      </c>
      <c r="H142" s="56">
        <f t="array" ref="H142">E142+D142</f>
        <v>0</v>
      </c>
      <c r="I142" s="56">
        <f t="array" ref="I142">G142+F142</f>
        <v>0</v>
      </c>
      <c r="J142" s="75"/>
      <c r="K142" s="75"/>
      <c r="L142" s="85">
        <v>8.8778882999999992E-3</v>
      </c>
      <c r="M142" s="1"/>
      <c r="N142" s="1"/>
      <c r="O142" s="1"/>
      <c r="P142" s="1"/>
      <c r="Q142" s="1"/>
      <c r="R142" s="1"/>
      <c r="S142" s="1"/>
      <c r="T142" s="1"/>
      <c r="U142" s="1"/>
      <c r="V142" s="1"/>
      <c r="W142" s="1"/>
      <c r="X142" s="1"/>
      <c r="Y142" s="1"/>
      <c r="Z142" s="1"/>
    </row>
    <row r="143" spans="1:26" ht="19.5" customHeight="1">
      <c r="A143" s="2"/>
      <c r="B143" s="113">
        <f t="array" ref="B143">$B144-1</f>
        <v>1969</v>
      </c>
      <c r="C143" s="56">
        <f t="array" ref="C143">H143+I143</f>
        <v>0</v>
      </c>
      <c r="D143" s="75"/>
      <c r="E143" s="75"/>
      <c r="F143" s="57">
        <f t="array" ref="F143">J143-D143</f>
        <v>0</v>
      </c>
      <c r="G143" s="57">
        <f t="array" ref="G143">K143-E143</f>
        <v>0</v>
      </c>
      <c r="H143" s="56">
        <f t="array" ref="H143">E143+D143</f>
        <v>0</v>
      </c>
      <c r="I143" s="56">
        <f t="array" ref="I143">G143+F143</f>
        <v>0</v>
      </c>
      <c r="J143" s="75"/>
      <c r="K143" s="75"/>
      <c r="L143" s="85">
        <v>6.6715315000000002E-3</v>
      </c>
      <c r="M143" s="1"/>
      <c r="N143" s="1"/>
      <c r="O143" s="1"/>
      <c r="P143" s="1"/>
      <c r="Q143" s="1"/>
      <c r="R143" s="1"/>
      <c r="S143" s="1"/>
      <c r="T143" s="1"/>
      <c r="U143" s="1"/>
      <c r="V143" s="1"/>
      <c r="W143" s="1"/>
      <c r="X143" s="1"/>
      <c r="Y143" s="1"/>
      <c r="Z143" s="1"/>
    </row>
    <row r="144" spans="1:26" ht="19.5" customHeight="1">
      <c r="A144" s="2"/>
      <c r="B144" s="113">
        <f t="array" ref="B144">$B145-1</f>
        <v>1970</v>
      </c>
      <c r="C144" s="56">
        <f t="array" ref="C144">H144+I144</f>
        <v>0</v>
      </c>
      <c r="D144" s="75"/>
      <c r="E144" s="75"/>
      <c r="F144" s="57">
        <f t="array" ref="F144">J144-D144</f>
        <v>0</v>
      </c>
      <c r="G144" s="57">
        <f t="array" ref="G144">K144-E144</f>
        <v>0</v>
      </c>
      <c r="H144" s="56">
        <f t="array" ref="H144">E144+D144</f>
        <v>0</v>
      </c>
      <c r="I144" s="56">
        <f t="array" ref="I144">G144+F144</f>
        <v>0</v>
      </c>
      <c r="J144" s="75"/>
      <c r="K144" s="75"/>
      <c r="L144" s="85">
        <v>4.9122250000000001E-3</v>
      </c>
      <c r="M144" s="1"/>
      <c r="N144" s="1"/>
      <c r="O144" s="1"/>
      <c r="P144" s="1"/>
      <c r="Q144" s="1"/>
      <c r="R144" s="1"/>
      <c r="S144" s="1"/>
      <c r="T144" s="1"/>
      <c r="U144" s="1"/>
      <c r="V144" s="1"/>
      <c r="W144" s="1"/>
      <c r="X144" s="1"/>
      <c r="Y144" s="1"/>
      <c r="Z144" s="1"/>
    </row>
    <row r="145" spans="1:26" ht="19.5" customHeight="1">
      <c r="A145" s="2"/>
      <c r="B145" s="113">
        <f t="array" ref="B145">$B146-1</f>
        <v>1971</v>
      </c>
      <c r="C145" s="56">
        <f t="array" ref="C145">H145+I145</f>
        <v>0</v>
      </c>
      <c r="D145" s="75"/>
      <c r="E145" s="75"/>
      <c r="F145" s="57">
        <f t="array" ref="F145">J145-D145</f>
        <v>0</v>
      </c>
      <c r="G145" s="57">
        <f t="array" ref="G145">K145-E145</f>
        <v>0</v>
      </c>
      <c r="H145" s="56">
        <f t="array" ref="H145">E145+D145</f>
        <v>0</v>
      </c>
      <c r="I145" s="56">
        <f t="array" ref="I145">G145+F145</f>
        <v>0</v>
      </c>
      <c r="J145" s="75"/>
      <c r="K145" s="75"/>
      <c r="L145" s="85">
        <v>3.5437886000000002E-3</v>
      </c>
      <c r="M145" s="1"/>
      <c r="N145" s="1"/>
      <c r="O145" s="1"/>
      <c r="P145" s="1"/>
      <c r="Q145" s="1"/>
      <c r="R145" s="1"/>
      <c r="S145" s="1"/>
      <c r="T145" s="1"/>
      <c r="U145" s="1"/>
      <c r="V145" s="1"/>
      <c r="W145" s="1"/>
      <c r="X145" s="1"/>
      <c r="Y145" s="1"/>
      <c r="Z145" s="1"/>
    </row>
    <row r="146" spans="1:26" ht="19.5" customHeight="1">
      <c r="A146" s="2"/>
      <c r="B146" s="113">
        <f t="array" ref="B146">$B147-1</f>
        <v>1972</v>
      </c>
      <c r="C146" s="56">
        <f t="array" ref="C146">H146+I146</f>
        <v>0</v>
      </c>
      <c r="D146" s="75"/>
      <c r="E146" s="75"/>
      <c r="F146" s="57">
        <f t="array" ref="F146">J146-D146</f>
        <v>0</v>
      </c>
      <c r="G146" s="57">
        <f t="array" ref="G146">K146-E146</f>
        <v>0</v>
      </c>
      <c r="H146" s="56">
        <f t="array" ref="H146">E146+D146</f>
        <v>0</v>
      </c>
      <c r="I146" s="56">
        <f t="array" ref="I146">G146+F146</f>
        <v>0</v>
      </c>
      <c r="J146" s="75"/>
      <c r="K146" s="75"/>
      <c r="L146" s="85">
        <v>2.5049220000000001E-3</v>
      </c>
      <c r="M146" s="1"/>
      <c r="N146" s="1"/>
      <c r="O146" s="1"/>
      <c r="P146" s="1"/>
      <c r="Q146" s="1"/>
      <c r="R146" s="1"/>
      <c r="S146" s="1"/>
      <c r="T146" s="1"/>
      <c r="U146" s="1"/>
      <c r="V146" s="1"/>
      <c r="W146" s="1"/>
      <c r="X146" s="1"/>
      <c r="Y146" s="1"/>
      <c r="Z146" s="1"/>
    </row>
    <row r="147" spans="1:26" ht="19.5" customHeight="1">
      <c r="A147" s="2"/>
      <c r="B147" s="113">
        <f t="array" ref="B147">$B148-1</f>
        <v>1973</v>
      </c>
      <c r="C147" s="56">
        <f t="array" ref="C147">H147+I147</f>
        <v>0</v>
      </c>
      <c r="D147" s="75"/>
      <c r="E147" s="75"/>
      <c r="F147" s="57">
        <f t="array" ref="F147">J147-D147</f>
        <v>0</v>
      </c>
      <c r="G147" s="57">
        <f t="array" ref="G147">K147-E147</f>
        <v>0</v>
      </c>
      <c r="H147" s="56">
        <f t="array" ref="H147">E147+D147</f>
        <v>0</v>
      </c>
      <c r="I147" s="56">
        <f t="array" ref="I147">G147+F147</f>
        <v>0</v>
      </c>
      <c r="J147" s="75"/>
      <c r="K147" s="75"/>
      <c r="L147" s="85">
        <v>1.7348322E-3</v>
      </c>
      <c r="M147" s="1"/>
      <c r="N147" s="1"/>
      <c r="O147" s="1"/>
      <c r="P147" s="1"/>
      <c r="Q147" s="1"/>
      <c r="R147" s="1"/>
      <c r="S147" s="1"/>
      <c r="T147" s="1"/>
      <c r="U147" s="1"/>
      <c r="V147" s="1"/>
      <c r="W147" s="1"/>
      <c r="X147" s="1"/>
      <c r="Y147" s="1"/>
      <c r="Z147" s="1"/>
    </row>
    <row r="148" spans="1:26" ht="19.5" customHeight="1">
      <c r="A148" s="2"/>
      <c r="B148" s="113">
        <f t="array" ref="B148">$B149-1</f>
        <v>1974</v>
      </c>
      <c r="C148" s="56">
        <f t="array" ref="C148">H148+I148</f>
        <v>0</v>
      </c>
      <c r="D148" s="75"/>
      <c r="E148" s="75"/>
      <c r="F148" s="57">
        <f t="array" ref="F148">J148-D148</f>
        <v>0</v>
      </c>
      <c r="G148" s="57">
        <f t="array" ref="G148">K148-E148</f>
        <v>0</v>
      </c>
      <c r="H148" s="56">
        <f t="array" ref="H148">E148+D148</f>
        <v>0</v>
      </c>
      <c r="I148" s="56">
        <f t="array" ref="I148">G148+F148</f>
        <v>0</v>
      </c>
      <c r="J148" s="75"/>
      <c r="K148" s="75"/>
      <c r="L148" s="85">
        <v>1.1772198E-3</v>
      </c>
      <c r="M148" s="1"/>
      <c r="N148" s="1"/>
      <c r="O148" s="1"/>
      <c r="P148" s="1"/>
      <c r="Q148" s="1"/>
      <c r="R148" s="1"/>
      <c r="S148" s="1"/>
      <c r="T148" s="1"/>
      <c r="U148" s="1"/>
      <c r="V148" s="1"/>
      <c r="W148" s="1"/>
      <c r="X148" s="1"/>
      <c r="Y148" s="1"/>
      <c r="Z148" s="1"/>
    </row>
    <row r="149" spans="1:26" ht="19.5" customHeight="1">
      <c r="A149" s="2"/>
      <c r="B149" s="113">
        <f t="array" ref="B149">$B150-1</f>
        <v>1975</v>
      </c>
      <c r="C149" s="56">
        <f t="array" ref="C149">H149+I149</f>
        <v>0</v>
      </c>
      <c r="D149" s="75"/>
      <c r="E149" s="75"/>
      <c r="F149" s="57">
        <f t="array" ref="F149">J149-D149</f>
        <v>0</v>
      </c>
      <c r="G149" s="57">
        <f t="array" ref="G149">K149-E149</f>
        <v>0</v>
      </c>
      <c r="H149" s="56">
        <f t="array" ref="H149">E149+D149</f>
        <v>0</v>
      </c>
      <c r="I149" s="56">
        <f t="array" ref="I149">G149+F149</f>
        <v>0</v>
      </c>
      <c r="J149" s="75"/>
      <c r="K149" s="75"/>
      <c r="L149" s="85">
        <v>7.8269850000000003E-4</v>
      </c>
      <c r="M149" s="1"/>
      <c r="N149" s="1"/>
      <c r="O149" s="1"/>
      <c r="P149" s="1"/>
      <c r="Q149" s="1"/>
      <c r="R149" s="1"/>
      <c r="S149" s="1"/>
      <c r="T149" s="1"/>
      <c r="U149" s="1"/>
      <c r="V149" s="1"/>
      <c r="W149" s="1"/>
      <c r="X149" s="1"/>
      <c r="Y149" s="1"/>
      <c r="Z149" s="1"/>
    </row>
    <row r="150" spans="1:26" ht="19.5" customHeight="1">
      <c r="A150" s="2"/>
      <c r="B150" s="113">
        <f t="array" ref="B150">$B151-1</f>
        <v>1976</v>
      </c>
      <c r="C150" s="56">
        <f t="array" ref="C150">H150+I150</f>
        <v>0</v>
      </c>
      <c r="D150" s="75"/>
      <c r="E150" s="75"/>
      <c r="F150" s="57">
        <f t="array" ref="F150">J150-D150</f>
        <v>0</v>
      </c>
      <c r="G150" s="57">
        <f t="array" ref="G150">K150-E150</f>
        <v>0</v>
      </c>
      <c r="H150" s="56">
        <f t="array" ref="H150">E150+D150</f>
        <v>0</v>
      </c>
      <c r="I150" s="56">
        <f t="array" ref="I150">G150+F150</f>
        <v>0</v>
      </c>
      <c r="J150" s="75"/>
      <c r="K150" s="75"/>
      <c r="L150" s="85">
        <v>5.0988040000000002E-4</v>
      </c>
      <c r="M150" s="1"/>
      <c r="N150" s="1"/>
      <c r="O150" s="1"/>
      <c r="P150" s="1"/>
      <c r="Q150" s="1"/>
      <c r="R150" s="1"/>
      <c r="S150" s="1"/>
      <c r="T150" s="1"/>
      <c r="U150" s="1"/>
      <c r="V150" s="1"/>
      <c r="W150" s="1"/>
      <c r="X150" s="1"/>
      <c r="Y150" s="1"/>
      <c r="Z150" s="1"/>
    </row>
    <row r="151" spans="1:26" ht="19.5" customHeight="1">
      <c r="A151" s="2"/>
      <c r="B151" s="113">
        <f t="array" ref="B151">$B152-1</f>
        <v>1977</v>
      </c>
      <c r="C151" s="56">
        <f t="array" ref="C151">H151+I151</f>
        <v>0</v>
      </c>
      <c r="D151" s="75"/>
      <c r="E151" s="75"/>
      <c r="F151" s="57">
        <f t="array" ref="F151">J151-D151</f>
        <v>0</v>
      </c>
      <c r="G151" s="57">
        <f t="array" ref="G151">K151-E151</f>
        <v>0</v>
      </c>
      <c r="H151" s="56">
        <f t="array" ref="H151">E151+D151</f>
        <v>0</v>
      </c>
      <c r="I151" s="56">
        <f t="array" ref="I151">G151+F151</f>
        <v>0</v>
      </c>
      <c r="J151" s="75"/>
      <c r="K151" s="75"/>
      <c r="L151" s="85">
        <v>3.2544600000000001E-4</v>
      </c>
      <c r="M151" s="1"/>
      <c r="N151" s="1"/>
      <c r="O151" s="1"/>
      <c r="P151" s="1"/>
      <c r="Q151" s="1"/>
      <c r="R151" s="1"/>
      <c r="S151" s="1"/>
      <c r="T151" s="1"/>
      <c r="U151" s="1"/>
      <c r="V151" s="1"/>
      <c r="W151" s="1"/>
      <c r="X151" s="1"/>
      <c r="Y151" s="1"/>
      <c r="Z151" s="1"/>
    </row>
    <row r="152" spans="1:26" ht="19.5" customHeight="1">
      <c r="A152" s="2"/>
      <c r="B152" s="113">
        <f t="array" ref="B152">$B153-1</f>
        <v>1978</v>
      </c>
      <c r="C152" s="56">
        <f t="array" ref="C152">H152+I152</f>
        <v>0</v>
      </c>
      <c r="D152" s="75"/>
      <c r="E152" s="75"/>
      <c r="F152" s="57">
        <f t="array" ref="F152">J152-D152</f>
        <v>0</v>
      </c>
      <c r="G152" s="57">
        <f t="array" ref="G152">K152-E152</f>
        <v>0</v>
      </c>
      <c r="H152" s="56">
        <f t="array" ref="H152">E152+D152</f>
        <v>0</v>
      </c>
      <c r="I152" s="56">
        <f t="array" ref="I152">G152+F152</f>
        <v>0</v>
      </c>
      <c r="J152" s="75"/>
      <c r="K152" s="75"/>
      <c r="L152" s="85">
        <v>2.0352909999999999E-4</v>
      </c>
      <c r="M152" s="1"/>
      <c r="N152" s="1"/>
      <c r="O152" s="1"/>
      <c r="P152" s="1"/>
      <c r="Q152" s="1"/>
      <c r="R152" s="1"/>
      <c r="S152" s="1"/>
      <c r="T152" s="1"/>
      <c r="U152" s="1"/>
      <c r="V152" s="1"/>
      <c r="W152" s="1"/>
      <c r="X152" s="1"/>
      <c r="Y152" s="1"/>
      <c r="Z152" s="1"/>
    </row>
    <row r="153" spans="1:26" ht="19.5" customHeight="1">
      <c r="A153" s="2"/>
      <c r="B153" s="113">
        <f t="array" ref="B153">$B154-1</f>
        <v>1979</v>
      </c>
      <c r="C153" s="56">
        <f t="array" ref="C153">H153+I153</f>
        <v>0</v>
      </c>
      <c r="D153" s="75"/>
      <c r="E153" s="75"/>
      <c r="F153" s="57">
        <f t="array" ref="F153">J153-D153</f>
        <v>0</v>
      </c>
      <c r="G153" s="57">
        <f t="array" ref="G153">K153-E153</f>
        <v>0</v>
      </c>
      <c r="H153" s="56">
        <f t="array" ref="H153">E153+D153</f>
        <v>0</v>
      </c>
      <c r="I153" s="56">
        <f t="array" ref="I153">G153+F153</f>
        <v>0</v>
      </c>
      <c r="J153" s="75"/>
      <c r="K153" s="75"/>
      <c r="L153" s="85">
        <v>1.2471269999999999E-4</v>
      </c>
      <c r="M153" s="1"/>
      <c r="N153" s="1"/>
      <c r="O153" s="1"/>
      <c r="P153" s="1"/>
      <c r="Q153" s="1"/>
      <c r="R153" s="1"/>
      <c r="S153" s="1"/>
      <c r="T153" s="1"/>
      <c r="U153" s="1"/>
      <c r="V153" s="1"/>
      <c r="W153" s="1"/>
      <c r="X153" s="1"/>
      <c r="Y153" s="1"/>
      <c r="Z153" s="1"/>
    </row>
    <row r="154" spans="1:26" ht="19.5" customHeight="1">
      <c r="A154" s="2"/>
      <c r="B154" s="113">
        <f t="array" ref="B154">$B155-1</f>
        <v>1980</v>
      </c>
      <c r="C154" s="56">
        <f t="array" ref="C154">H154+I154</f>
        <v>0</v>
      </c>
      <c r="D154" s="75"/>
      <c r="E154" s="75"/>
      <c r="F154" s="57">
        <f t="array" ref="F154">J154-D154</f>
        <v>0</v>
      </c>
      <c r="G154" s="57">
        <f t="array" ref="G154">K154-E154</f>
        <v>0</v>
      </c>
      <c r="H154" s="56">
        <f t="array" ref="H154">E154+D154</f>
        <v>0</v>
      </c>
      <c r="I154" s="56">
        <f t="array" ref="I154">G154+F154</f>
        <v>0</v>
      </c>
      <c r="J154" s="75"/>
      <c r="K154" s="75"/>
      <c r="L154" s="85"/>
      <c r="M154" s="1"/>
      <c r="N154" s="1"/>
      <c r="O154" s="1"/>
      <c r="P154" s="1"/>
      <c r="Q154" s="1"/>
      <c r="R154" s="1"/>
      <c r="S154" s="1"/>
      <c r="T154" s="1"/>
      <c r="U154" s="1"/>
      <c r="V154" s="1"/>
      <c r="W154" s="1"/>
      <c r="X154" s="1"/>
      <c r="Y154" s="1"/>
      <c r="Z154" s="1"/>
    </row>
    <row r="155" spans="1:26" ht="19.5" customHeight="1">
      <c r="A155" s="2"/>
      <c r="B155" s="113">
        <f t="array" ref="B155">$B156-1</f>
        <v>1981</v>
      </c>
      <c r="C155" s="56">
        <f t="array" ref="C155">H155+I155</f>
        <v>0</v>
      </c>
      <c r="D155" s="75"/>
      <c r="E155" s="75"/>
      <c r="F155" s="57">
        <f t="array" ref="F155">J155-D155</f>
        <v>0</v>
      </c>
      <c r="G155" s="57">
        <f t="array" ref="G155">K155-E155</f>
        <v>0</v>
      </c>
      <c r="H155" s="56">
        <f t="array" ref="H155">E155+D155</f>
        <v>0</v>
      </c>
      <c r="I155" s="56">
        <f t="array" ref="I155">G155+F155</f>
        <v>0</v>
      </c>
      <c r="J155" s="75"/>
      <c r="K155" s="75"/>
      <c r="L155" s="85"/>
      <c r="M155" s="1"/>
      <c r="N155" s="1"/>
      <c r="O155" s="1"/>
      <c r="P155" s="1"/>
      <c r="Q155" s="1"/>
      <c r="R155" s="1"/>
      <c r="S155" s="1"/>
      <c r="T155" s="1"/>
      <c r="U155" s="1"/>
      <c r="V155" s="1"/>
      <c r="W155" s="1"/>
      <c r="X155" s="1"/>
      <c r="Y155" s="1"/>
      <c r="Z155" s="1"/>
    </row>
    <row r="156" spans="1:26" ht="19.5" customHeight="1">
      <c r="A156" s="2"/>
      <c r="B156" s="113">
        <f t="array" ref="B156">$B157-1</f>
        <v>1982</v>
      </c>
      <c r="C156" s="56">
        <f t="array" ref="C156">H156+I156</f>
        <v>0</v>
      </c>
      <c r="D156" s="75"/>
      <c r="E156" s="75"/>
      <c r="F156" s="57">
        <f t="array" ref="F156">J156-D156</f>
        <v>0</v>
      </c>
      <c r="G156" s="57">
        <f t="array" ref="G156">K156-E156</f>
        <v>0</v>
      </c>
      <c r="H156" s="56">
        <f t="array" ref="H156">E156+D156</f>
        <v>0</v>
      </c>
      <c r="I156" s="56">
        <f t="array" ref="I156">G156+F156</f>
        <v>0</v>
      </c>
      <c r="J156" s="75"/>
      <c r="K156" s="75"/>
      <c r="L156" s="85"/>
      <c r="M156" s="1"/>
      <c r="N156" s="1"/>
      <c r="O156" s="1"/>
      <c r="P156" s="1"/>
      <c r="Q156" s="1"/>
      <c r="R156" s="1"/>
      <c r="S156" s="1"/>
      <c r="T156" s="1"/>
      <c r="U156" s="1"/>
      <c r="V156" s="1"/>
      <c r="W156" s="1"/>
      <c r="X156" s="1"/>
      <c r="Y156" s="1"/>
      <c r="Z156" s="1"/>
    </row>
    <row r="157" spans="1:26" ht="19.5" customHeight="1">
      <c r="A157" s="2"/>
      <c r="B157" s="113">
        <f t="array" ref="B157">$B158-1</f>
        <v>1983</v>
      </c>
      <c r="C157" s="56">
        <f t="array" ref="C157">H157+I157</f>
        <v>0</v>
      </c>
      <c r="D157" s="75"/>
      <c r="E157" s="75"/>
      <c r="F157" s="57">
        <f t="array" ref="F157">J157-D157</f>
        <v>0</v>
      </c>
      <c r="G157" s="57">
        <f t="array" ref="G157">K157-E157</f>
        <v>0</v>
      </c>
      <c r="H157" s="56">
        <f t="array" ref="H157">E157+D157</f>
        <v>0</v>
      </c>
      <c r="I157" s="56">
        <f t="array" ref="I157">G157+F157</f>
        <v>0</v>
      </c>
      <c r="J157" s="75"/>
      <c r="K157" s="75"/>
      <c r="L157" s="85"/>
      <c r="M157" s="1"/>
      <c r="N157" s="1"/>
      <c r="O157" s="1"/>
      <c r="P157" s="1"/>
      <c r="Q157" s="1"/>
      <c r="R157" s="1"/>
      <c r="S157" s="1"/>
      <c r="T157" s="1"/>
      <c r="U157" s="1"/>
      <c r="V157" s="1"/>
      <c r="W157" s="1"/>
      <c r="X157" s="1"/>
      <c r="Y157" s="1"/>
      <c r="Z157" s="1"/>
    </row>
    <row r="158" spans="1:26" ht="19.5" customHeight="1">
      <c r="A158" s="2"/>
      <c r="B158" s="113">
        <f t="array" ref="B158">$B159-1</f>
        <v>1984</v>
      </c>
      <c r="C158" s="56">
        <f t="array" ref="C158">H158+I158</f>
        <v>0</v>
      </c>
      <c r="D158" s="75"/>
      <c r="E158" s="75"/>
      <c r="F158" s="57">
        <f t="array" ref="F158">J158-D158</f>
        <v>0</v>
      </c>
      <c r="G158" s="57">
        <f t="array" ref="G158">K158-E158</f>
        <v>0</v>
      </c>
      <c r="H158" s="56">
        <f t="array" ref="H158">E158+D158</f>
        <v>0</v>
      </c>
      <c r="I158" s="56">
        <f t="array" ref="I158">G158+F158</f>
        <v>0</v>
      </c>
      <c r="J158" s="75"/>
      <c r="K158" s="75"/>
      <c r="L158" s="85"/>
      <c r="M158" s="1"/>
      <c r="N158" s="1"/>
      <c r="O158" s="1"/>
      <c r="P158" s="1"/>
      <c r="Q158" s="1"/>
      <c r="R158" s="1"/>
      <c r="S158" s="1"/>
      <c r="T158" s="1"/>
      <c r="U158" s="1"/>
      <c r="V158" s="1"/>
      <c r="W158" s="1"/>
      <c r="X158" s="1"/>
      <c r="Y158" s="1"/>
      <c r="Z158" s="1"/>
    </row>
    <row r="159" spans="1:26" ht="19.5" customHeight="1">
      <c r="A159" s="2"/>
      <c r="B159" s="113">
        <f t="array" ref="B159">$B160-1</f>
        <v>1985</v>
      </c>
      <c r="C159" s="56">
        <f t="array" ref="C159">H159+I159</f>
        <v>0</v>
      </c>
      <c r="D159" s="75"/>
      <c r="E159" s="75"/>
      <c r="F159" s="57">
        <f t="array" ref="F159">J159-D159</f>
        <v>0</v>
      </c>
      <c r="G159" s="57">
        <f t="array" ref="G159">K159-E159</f>
        <v>0</v>
      </c>
      <c r="H159" s="56">
        <f t="array" ref="H159">E159+D159</f>
        <v>0</v>
      </c>
      <c r="I159" s="56">
        <f t="array" ref="I159">G159+F159</f>
        <v>0</v>
      </c>
      <c r="J159" s="75"/>
      <c r="K159" s="75"/>
      <c r="L159" s="85"/>
      <c r="M159" s="1"/>
      <c r="N159" s="1"/>
      <c r="O159" s="1"/>
      <c r="P159" s="1"/>
      <c r="Q159" s="1"/>
      <c r="R159" s="1"/>
      <c r="S159" s="1"/>
      <c r="T159" s="1"/>
      <c r="U159" s="1"/>
      <c r="V159" s="1"/>
      <c r="W159" s="1"/>
      <c r="X159" s="1"/>
      <c r="Y159" s="1"/>
      <c r="Z159" s="1"/>
    </row>
    <row r="160" spans="1:26" ht="19.5" customHeight="1">
      <c r="A160" s="2"/>
      <c r="B160" s="113">
        <f t="array" ref="B160">$B161-1</f>
        <v>1986</v>
      </c>
      <c r="C160" s="56">
        <f t="array" ref="C160">H160+I160</f>
        <v>0</v>
      </c>
      <c r="D160" s="75"/>
      <c r="E160" s="75"/>
      <c r="F160" s="57">
        <f t="array" ref="F160">J160-D160</f>
        <v>0</v>
      </c>
      <c r="G160" s="57">
        <f t="array" ref="G160">K160-E160</f>
        <v>0</v>
      </c>
      <c r="H160" s="56">
        <f t="array" ref="H160">E160+D160</f>
        <v>0</v>
      </c>
      <c r="I160" s="56">
        <f t="array" ref="I160">G160+F160</f>
        <v>0</v>
      </c>
      <c r="J160" s="75"/>
      <c r="K160" s="75"/>
      <c r="L160" s="85"/>
      <c r="M160" s="1"/>
      <c r="N160" s="1"/>
      <c r="O160" s="1"/>
      <c r="P160" s="1"/>
      <c r="Q160" s="1"/>
      <c r="R160" s="1"/>
      <c r="S160" s="1"/>
      <c r="T160" s="1"/>
      <c r="U160" s="1"/>
      <c r="V160" s="1"/>
      <c r="W160" s="1"/>
      <c r="X160" s="1"/>
      <c r="Y160" s="1"/>
      <c r="Z160" s="1"/>
    </row>
    <row r="161" spans="1:26" ht="19.5" customHeight="1">
      <c r="A161" s="2"/>
      <c r="B161" s="113">
        <f t="array" ref="B161">$B162-1</f>
        <v>1987</v>
      </c>
      <c r="C161" s="56">
        <f t="array" ref="C161">H161+I161</f>
        <v>0</v>
      </c>
      <c r="D161" s="75"/>
      <c r="E161" s="75"/>
      <c r="F161" s="57">
        <f t="array" ref="F161">J161-D161</f>
        <v>0</v>
      </c>
      <c r="G161" s="57">
        <f t="array" ref="G161">K161-E161</f>
        <v>0</v>
      </c>
      <c r="H161" s="56">
        <f t="array" ref="H161">E161+D161</f>
        <v>0</v>
      </c>
      <c r="I161" s="56">
        <f t="array" ref="I161">G161+F161</f>
        <v>0</v>
      </c>
      <c r="J161" s="75"/>
      <c r="K161" s="75"/>
      <c r="L161" s="85"/>
      <c r="M161" s="1"/>
      <c r="N161" s="1"/>
      <c r="O161" s="1"/>
      <c r="P161" s="1"/>
      <c r="Q161" s="1"/>
      <c r="R161" s="1"/>
      <c r="S161" s="1"/>
      <c r="T161" s="1"/>
      <c r="U161" s="1"/>
      <c r="V161" s="1"/>
      <c r="W161" s="1"/>
      <c r="X161" s="1"/>
      <c r="Y161" s="1"/>
      <c r="Z161" s="1"/>
    </row>
    <row r="162" spans="1:26" ht="19.5" customHeight="1">
      <c r="A162" s="2"/>
      <c r="B162" s="113">
        <f t="array" ref="B162">$B163-1</f>
        <v>1988</v>
      </c>
      <c r="C162" s="56">
        <f t="array" ref="C162">H162+I162</f>
        <v>0</v>
      </c>
      <c r="D162" s="75"/>
      <c r="E162" s="75"/>
      <c r="F162" s="57">
        <f t="array" ref="F162">J162-D162</f>
        <v>0</v>
      </c>
      <c r="G162" s="57">
        <f t="array" ref="G162">K162-E162</f>
        <v>0</v>
      </c>
      <c r="H162" s="56">
        <f t="array" ref="H162">E162+D162</f>
        <v>0</v>
      </c>
      <c r="I162" s="56">
        <f t="array" ref="I162">G162+F162</f>
        <v>0</v>
      </c>
      <c r="J162" s="75"/>
      <c r="K162" s="75"/>
      <c r="L162" s="85"/>
      <c r="M162" s="1"/>
      <c r="N162" s="1"/>
      <c r="O162" s="1"/>
      <c r="P162" s="1"/>
      <c r="Q162" s="1"/>
      <c r="R162" s="1"/>
      <c r="S162" s="1"/>
      <c r="T162" s="1"/>
      <c r="U162" s="1"/>
      <c r="V162" s="1"/>
      <c r="W162" s="1"/>
      <c r="X162" s="1"/>
      <c r="Y162" s="1"/>
      <c r="Z162" s="1"/>
    </row>
    <row r="163" spans="1:26" ht="19.5" customHeight="1">
      <c r="A163" s="2"/>
      <c r="B163" s="113">
        <f t="array" ref="B163">$B164-1</f>
        <v>1989</v>
      </c>
      <c r="C163" s="56">
        <f t="array" ref="C163">H163+I163</f>
        <v>0</v>
      </c>
      <c r="D163" s="75"/>
      <c r="E163" s="75"/>
      <c r="F163" s="57">
        <f t="array" ref="F163">J163-D163</f>
        <v>0</v>
      </c>
      <c r="G163" s="57">
        <f t="array" ref="G163">K163-E163</f>
        <v>0</v>
      </c>
      <c r="H163" s="56">
        <f t="array" ref="H163">E163+D163</f>
        <v>0</v>
      </c>
      <c r="I163" s="56">
        <f t="array" ref="I163">G163+F163</f>
        <v>0</v>
      </c>
      <c r="J163" s="75"/>
      <c r="K163" s="75"/>
      <c r="L163" s="85"/>
      <c r="M163" s="1"/>
      <c r="N163" s="1"/>
      <c r="O163" s="1"/>
      <c r="P163" s="1"/>
      <c r="Q163" s="1"/>
      <c r="R163" s="1"/>
      <c r="S163" s="1"/>
      <c r="T163" s="1"/>
      <c r="U163" s="1"/>
      <c r="V163" s="1"/>
      <c r="W163" s="1"/>
      <c r="X163" s="1"/>
      <c r="Y163" s="1"/>
      <c r="Z163" s="1"/>
    </row>
    <row r="164" spans="1:26" ht="19.5" customHeight="1">
      <c r="A164" s="2"/>
      <c r="B164" s="113">
        <f t="array" ref="B164">$B165-1</f>
        <v>1990</v>
      </c>
      <c r="C164" s="56">
        <f t="array" ref="C164">H164+I164</f>
        <v>0</v>
      </c>
      <c r="D164" s="75"/>
      <c r="E164" s="75"/>
      <c r="F164" s="57">
        <f t="array" ref="F164">J164-D164</f>
        <v>0</v>
      </c>
      <c r="G164" s="57">
        <f t="array" ref="G164">K164-E164</f>
        <v>0</v>
      </c>
      <c r="H164" s="56">
        <f t="array" ref="H164">E164+D164</f>
        <v>0</v>
      </c>
      <c r="I164" s="56">
        <f t="array" ref="I164">G164+F164</f>
        <v>0</v>
      </c>
      <c r="J164" s="75"/>
      <c r="K164" s="75"/>
      <c r="L164" s="85"/>
      <c r="M164" s="1"/>
      <c r="N164" s="1"/>
      <c r="O164" s="1"/>
      <c r="P164" s="1"/>
      <c r="Q164" s="1"/>
      <c r="R164" s="1"/>
      <c r="S164" s="1"/>
      <c r="T164" s="1"/>
      <c r="U164" s="1"/>
      <c r="V164" s="1"/>
      <c r="W164" s="1"/>
      <c r="X164" s="1"/>
      <c r="Y164" s="1"/>
      <c r="Z164" s="1"/>
    </row>
    <row r="165" spans="1:26" ht="19.5" customHeight="1">
      <c r="A165" s="2"/>
      <c r="B165" s="113">
        <f t="array" ref="B165">$B166-1</f>
        <v>1991</v>
      </c>
      <c r="C165" s="56">
        <f t="array" ref="C165">H165+I165</f>
        <v>0</v>
      </c>
      <c r="D165" s="75"/>
      <c r="E165" s="75"/>
      <c r="F165" s="57">
        <f t="array" ref="F165">J165-D165</f>
        <v>0</v>
      </c>
      <c r="G165" s="57">
        <f t="array" ref="G165">K165-E165</f>
        <v>0</v>
      </c>
      <c r="H165" s="56">
        <f t="array" ref="H165">E165+D165</f>
        <v>0</v>
      </c>
      <c r="I165" s="56">
        <f t="array" ref="I165">G165+F165</f>
        <v>0</v>
      </c>
      <c r="J165" s="75"/>
      <c r="K165" s="75"/>
      <c r="L165" s="85"/>
      <c r="M165" s="1"/>
      <c r="N165" s="1"/>
      <c r="O165" s="1"/>
      <c r="P165" s="1"/>
      <c r="Q165" s="1"/>
      <c r="R165" s="1"/>
      <c r="S165" s="1"/>
      <c r="T165" s="1"/>
      <c r="U165" s="1"/>
      <c r="V165" s="1"/>
      <c r="W165" s="1"/>
      <c r="X165" s="1"/>
      <c r="Y165" s="1"/>
      <c r="Z165" s="1"/>
    </row>
    <row r="166" spans="1:26" ht="19.5" customHeight="1">
      <c r="A166" s="2"/>
      <c r="B166" s="113">
        <f t="array" ref="B166">$B167-1</f>
        <v>1992</v>
      </c>
      <c r="C166" s="56">
        <f t="array" ref="C166">H166+I166</f>
        <v>0</v>
      </c>
      <c r="D166" s="75"/>
      <c r="E166" s="75"/>
      <c r="F166" s="57">
        <f t="array" ref="F166">J166-D166</f>
        <v>0</v>
      </c>
      <c r="G166" s="57">
        <f t="array" ref="G166">K166-E166</f>
        <v>0</v>
      </c>
      <c r="H166" s="56">
        <f t="array" ref="H166">E166+D166</f>
        <v>0</v>
      </c>
      <c r="I166" s="56">
        <f t="array" ref="I166">G166+F166</f>
        <v>0</v>
      </c>
      <c r="J166" s="75"/>
      <c r="K166" s="75"/>
      <c r="L166" s="85"/>
      <c r="M166" s="1"/>
      <c r="N166" s="1"/>
      <c r="O166" s="1"/>
      <c r="P166" s="1"/>
      <c r="Q166" s="1"/>
      <c r="R166" s="1"/>
      <c r="S166" s="1"/>
      <c r="T166" s="1"/>
      <c r="U166" s="1"/>
      <c r="V166" s="1"/>
      <c r="W166" s="1"/>
      <c r="X166" s="1"/>
      <c r="Y166" s="1"/>
      <c r="Z166" s="1"/>
    </row>
    <row r="167" spans="1:26" ht="19.5" customHeight="1">
      <c r="A167" s="2"/>
      <c r="B167" s="113">
        <f t="array" ref="B167">$B168-1</f>
        <v>1993</v>
      </c>
      <c r="C167" s="56">
        <f t="array" ref="C167">H167+I167</f>
        <v>0</v>
      </c>
      <c r="D167" s="75"/>
      <c r="E167" s="75"/>
      <c r="F167" s="57">
        <f t="array" ref="F167">J167-D167</f>
        <v>0</v>
      </c>
      <c r="G167" s="57">
        <f t="array" ref="G167">K167-E167</f>
        <v>0</v>
      </c>
      <c r="H167" s="56">
        <f t="array" ref="H167">E167+D167</f>
        <v>0</v>
      </c>
      <c r="I167" s="56">
        <f t="array" ref="I167">G167+F167</f>
        <v>0</v>
      </c>
      <c r="J167" s="75"/>
      <c r="K167" s="75"/>
      <c r="L167" s="85"/>
      <c r="M167" s="1"/>
      <c r="N167" s="1"/>
      <c r="O167" s="1"/>
      <c r="P167" s="1"/>
      <c r="Q167" s="1"/>
      <c r="R167" s="1"/>
      <c r="S167" s="1"/>
      <c r="T167" s="1"/>
      <c r="U167" s="1"/>
      <c r="V167" s="1"/>
      <c r="W167" s="1"/>
      <c r="X167" s="1"/>
      <c r="Y167" s="1"/>
      <c r="Z167" s="1"/>
    </row>
    <row r="168" spans="1:26" ht="19.5" customHeight="1">
      <c r="A168" s="2"/>
      <c r="B168" s="113">
        <f t="array" ref="B168">$B169-1</f>
        <v>1994</v>
      </c>
      <c r="C168" s="56">
        <f t="array" ref="C168">H168+I168</f>
        <v>0</v>
      </c>
      <c r="D168" s="75"/>
      <c r="E168" s="75"/>
      <c r="F168" s="57">
        <f t="array" ref="F168">J168-D168</f>
        <v>0</v>
      </c>
      <c r="G168" s="57">
        <f t="array" ref="G168">K168-E168</f>
        <v>0</v>
      </c>
      <c r="H168" s="56">
        <f t="array" ref="H168">E168+D168</f>
        <v>0</v>
      </c>
      <c r="I168" s="56">
        <f t="array" ref="I168">G168+F168</f>
        <v>0</v>
      </c>
      <c r="J168" s="75"/>
      <c r="K168" s="75"/>
      <c r="L168" s="85"/>
      <c r="M168" s="1"/>
      <c r="N168" s="1"/>
      <c r="O168" s="1"/>
      <c r="P168" s="1"/>
      <c r="Q168" s="1"/>
      <c r="R168" s="1"/>
      <c r="S168" s="1"/>
      <c r="T168" s="1"/>
      <c r="U168" s="1"/>
      <c r="V168" s="1"/>
      <c r="W168" s="1"/>
      <c r="X168" s="1"/>
      <c r="Y168" s="1"/>
      <c r="Z168" s="1"/>
    </row>
    <row r="169" spans="1:26" ht="19.5" customHeight="1">
      <c r="A169" s="2"/>
      <c r="B169" s="113">
        <f t="array" ref="B169">$B170-1</f>
        <v>1995</v>
      </c>
      <c r="C169" s="56">
        <f t="array" ref="C169">H169+I169</f>
        <v>0</v>
      </c>
      <c r="D169" s="75"/>
      <c r="E169" s="75"/>
      <c r="F169" s="57">
        <f t="array" ref="F169">J169-D169</f>
        <v>0</v>
      </c>
      <c r="G169" s="57">
        <f t="array" ref="G169">K169-E169</f>
        <v>0</v>
      </c>
      <c r="H169" s="56">
        <f t="array" ref="H169">E169+D169</f>
        <v>0</v>
      </c>
      <c r="I169" s="56">
        <f t="array" ref="I169">G169+F169</f>
        <v>0</v>
      </c>
      <c r="J169" s="75"/>
      <c r="K169" s="75"/>
      <c r="L169" s="85"/>
      <c r="M169" s="1"/>
      <c r="N169" s="1"/>
      <c r="O169" s="1"/>
      <c r="P169" s="1"/>
      <c r="Q169" s="1"/>
      <c r="R169" s="1"/>
      <c r="S169" s="1"/>
      <c r="T169" s="1"/>
      <c r="U169" s="1"/>
      <c r="V169" s="1"/>
      <c r="W169" s="1"/>
      <c r="X169" s="1"/>
      <c r="Y169" s="1"/>
      <c r="Z169" s="1"/>
    </row>
    <row r="170" spans="1:26" ht="19.5" customHeight="1">
      <c r="A170" s="2"/>
      <c r="B170" s="113">
        <f t="array" ref="B170">$B171-1</f>
        <v>1996</v>
      </c>
      <c r="C170" s="56">
        <f t="array" ref="C170">H170+I170</f>
        <v>0</v>
      </c>
      <c r="D170" s="75"/>
      <c r="E170" s="75"/>
      <c r="F170" s="57">
        <f t="array" ref="F170">J170-D170</f>
        <v>0</v>
      </c>
      <c r="G170" s="57">
        <f t="array" ref="G170">K170-E170</f>
        <v>0</v>
      </c>
      <c r="H170" s="56">
        <f t="array" ref="H170">E170+D170</f>
        <v>0</v>
      </c>
      <c r="I170" s="56">
        <f t="array" ref="I170">G170+F170</f>
        <v>0</v>
      </c>
      <c r="J170" s="75"/>
      <c r="K170" s="75"/>
      <c r="L170" s="85"/>
      <c r="M170" s="1"/>
      <c r="N170" s="1"/>
      <c r="O170" s="1"/>
      <c r="P170" s="1"/>
      <c r="Q170" s="1"/>
      <c r="R170" s="1"/>
      <c r="S170" s="1"/>
      <c r="T170" s="1"/>
      <c r="U170" s="1"/>
      <c r="V170" s="1"/>
      <c r="W170" s="1"/>
      <c r="X170" s="1"/>
      <c r="Y170" s="1"/>
      <c r="Z170" s="1"/>
    </row>
    <row r="171" spans="1:26" ht="19.5" customHeight="1">
      <c r="A171" s="2"/>
      <c r="B171" s="113">
        <f t="array" ref="B171">$B172-1</f>
        <v>1997</v>
      </c>
      <c r="C171" s="56">
        <f t="array" ref="C171">H171+I171</f>
        <v>0</v>
      </c>
      <c r="D171" s="75"/>
      <c r="E171" s="75"/>
      <c r="F171" s="57">
        <f t="array" ref="F171">J171-D171</f>
        <v>0</v>
      </c>
      <c r="G171" s="57">
        <f t="array" ref="G171">K171-E171</f>
        <v>0</v>
      </c>
      <c r="H171" s="56">
        <f t="array" ref="H171">E171+D171</f>
        <v>0</v>
      </c>
      <c r="I171" s="56">
        <f t="array" ref="I171">G171+F171</f>
        <v>0</v>
      </c>
      <c r="J171" s="75"/>
      <c r="K171" s="75"/>
      <c r="L171" s="85"/>
      <c r="M171" s="1"/>
      <c r="N171" s="1"/>
      <c r="O171" s="1"/>
      <c r="P171" s="1"/>
      <c r="Q171" s="1"/>
      <c r="R171" s="1"/>
      <c r="S171" s="1"/>
      <c r="T171" s="1"/>
      <c r="U171" s="1"/>
      <c r="V171" s="1"/>
      <c r="W171" s="1"/>
      <c r="X171" s="1"/>
      <c r="Y171" s="1"/>
      <c r="Z171" s="1"/>
    </row>
    <row r="172" spans="1:26" ht="19.5" customHeight="1">
      <c r="A172" s="2"/>
      <c r="B172" s="113">
        <f t="array" ref="B172">$B173-1</f>
        <v>1998</v>
      </c>
      <c r="C172" s="56">
        <f t="array" ref="C172">H172+I172</f>
        <v>0</v>
      </c>
      <c r="D172" s="75"/>
      <c r="E172" s="75"/>
      <c r="F172" s="57">
        <f t="array" ref="F172">J172-D172</f>
        <v>0</v>
      </c>
      <c r="G172" s="57">
        <f t="array" ref="G172">K172-E172</f>
        <v>0</v>
      </c>
      <c r="H172" s="56">
        <f t="array" ref="H172">E172+D172</f>
        <v>0</v>
      </c>
      <c r="I172" s="56">
        <f t="array" ref="I172">G172+F172</f>
        <v>0</v>
      </c>
      <c r="J172" s="75"/>
      <c r="K172" s="75"/>
      <c r="L172" s="85"/>
      <c r="M172" s="1"/>
      <c r="N172" s="1"/>
      <c r="O172" s="1"/>
      <c r="P172" s="1"/>
      <c r="Q172" s="1"/>
      <c r="R172" s="1"/>
      <c r="S172" s="1"/>
      <c r="T172" s="1"/>
      <c r="U172" s="1"/>
      <c r="V172" s="1"/>
      <c r="W172" s="1"/>
      <c r="X172" s="1"/>
      <c r="Y172" s="1"/>
      <c r="Z172" s="1"/>
    </row>
    <row r="173" spans="1:26" ht="19.5" customHeight="1">
      <c r="A173" s="2"/>
      <c r="B173" s="113">
        <f t="array" ref="B173">$B174-1</f>
        <v>1999</v>
      </c>
      <c r="C173" s="56">
        <f t="array" ref="C173">H173+I173</f>
        <v>0</v>
      </c>
      <c r="D173" s="75"/>
      <c r="E173" s="75"/>
      <c r="F173" s="57">
        <f t="array" ref="F173">J173-D173</f>
        <v>0</v>
      </c>
      <c r="G173" s="57">
        <f t="array" ref="G173">K173-E173</f>
        <v>0</v>
      </c>
      <c r="H173" s="56">
        <f t="array" ref="H173">E173+D173</f>
        <v>0</v>
      </c>
      <c r="I173" s="56">
        <f t="array" ref="I173">G173+F173</f>
        <v>0</v>
      </c>
      <c r="J173" s="75"/>
      <c r="K173" s="75"/>
      <c r="L173" s="85"/>
      <c r="M173" s="1"/>
      <c r="N173" s="1"/>
      <c r="O173" s="1"/>
      <c r="P173" s="1"/>
      <c r="Q173" s="1"/>
      <c r="R173" s="1"/>
      <c r="S173" s="1"/>
      <c r="T173" s="1"/>
      <c r="U173" s="1"/>
      <c r="V173" s="1"/>
      <c r="W173" s="1"/>
      <c r="X173" s="1"/>
      <c r="Y173" s="1"/>
      <c r="Z173" s="1"/>
    </row>
    <row r="174" spans="1:26" ht="19.5" customHeight="1">
      <c r="A174" s="2"/>
      <c r="B174" s="113">
        <f t="array" ref="B174">$B175-1</f>
        <v>2000</v>
      </c>
      <c r="C174" s="56">
        <f t="array" ref="C174">H174+I174</f>
        <v>0</v>
      </c>
      <c r="D174" s="75"/>
      <c r="E174" s="75"/>
      <c r="F174" s="57">
        <f t="array" ref="F174">J174-D174</f>
        <v>0</v>
      </c>
      <c r="G174" s="57">
        <f t="array" ref="G174">K174-E174</f>
        <v>0</v>
      </c>
      <c r="H174" s="56">
        <f t="array" ref="H174">E174+D174</f>
        <v>0</v>
      </c>
      <c r="I174" s="56">
        <f t="array" ref="I174">G174+F174</f>
        <v>0</v>
      </c>
      <c r="J174" s="75"/>
      <c r="K174" s="75"/>
      <c r="L174" s="85"/>
      <c r="M174" s="1"/>
      <c r="N174" s="1"/>
      <c r="O174" s="1"/>
      <c r="P174" s="1"/>
      <c r="Q174" s="1"/>
      <c r="R174" s="1"/>
      <c r="S174" s="1"/>
      <c r="T174" s="1"/>
      <c r="U174" s="1"/>
      <c r="V174" s="1"/>
      <c r="W174" s="1"/>
      <c r="X174" s="1"/>
      <c r="Y174" s="1"/>
      <c r="Z174" s="1"/>
    </row>
    <row r="175" spans="1:26" ht="19.5" customHeight="1">
      <c r="A175" s="2"/>
      <c r="B175" s="113">
        <f t="array" ref="B175">$B176-1</f>
        <v>2001</v>
      </c>
      <c r="C175" s="56">
        <f t="array" ref="C175">H175+I175</f>
        <v>0</v>
      </c>
      <c r="D175" s="75"/>
      <c r="E175" s="75"/>
      <c r="F175" s="57">
        <f t="array" ref="F175">J175-D175</f>
        <v>0</v>
      </c>
      <c r="G175" s="57">
        <f t="array" ref="G175">K175-E175</f>
        <v>0</v>
      </c>
      <c r="H175" s="56">
        <f t="array" ref="H175">E175+D175</f>
        <v>0</v>
      </c>
      <c r="I175" s="56">
        <f t="array" ref="I175">G175+F175</f>
        <v>0</v>
      </c>
      <c r="J175" s="75"/>
      <c r="K175" s="75"/>
      <c r="L175" s="85"/>
      <c r="M175" s="1"/>
      <c r="N175" s="1"/>
      <c r="O175" s="1"/>
      <c r="P175" s="1"/>
      <c r="Q175" s="1"/>
      <c r="R175" s="1"/>
      <c r="S175" s="1"/>
      <c r="T175" s="1"/>
      <c r="U175" s="1"/>
      <c r="V175" s="1"/>
      <c r="W175" s="1"/>
      <c r="X175" s="1"/>
      <c r="Y175" s="1"/>
      <c r="Z175" s="1"/>
    </row>
    <row r="176" spans="1:26" ht="19.5" customHeight="1">
      <c r="A176" s="2"/>
      <c r="B176" s="113">
        <f t="array" ref="B176">$B177-1</f>
        <v>2002</v>
      </c>
      <c r="C176" s="56">
        <f t="array" ref="C176">H176+I176</f>
        <v>0</v>
      </c>
      <c r="D176" s="75"/>
      <c r="E176" s="75"/>
      <c r="F176" s="57">
        <f t="array" ref="F176">J176-D176</f>
        <v>0</v>
      </c>
      <c r="G176" s="57">
        <f t="array" ref="G176">K176-E176</f>
        <v>0</v>
      </c>
      <c r="H176" s="56">
        <f t="array" ref="H176">E176+D176</f>
        <v>0</v>
      </c>
      <c r="I176" s="56">
        <f t="array" ref="I176">G176+F176</f>
        <v>0</v>
      </c>
      <c r="J176" s="75"/>
      <c r="K176" s="75"/>
      <c r="L176" s="85"/>
      <c r="M176" s="1"/>
      <c r="N176" s="1"/>
      <c r="O176" s="1"/>
      <c r="P176" s="1"/>
      <c r="Q176" s="1"/>
      <c r="R176" s="1"/>
      <c r="S176" s="1"/>
      <c r="T176" s="1"/>
      <c r="U176" s="1"/>
      <c r="V176" s="1"/>
      <c r="W176" s="1"/>
      <c r="X176" s="1"/>
      <c r="Y176" s="1"/>
      <c r="Z176" s="1"/>
    </row>
    <row r="177" spans="1:26" ht="19.5" customHeight="1">
      <c r="A177" s="2"/>
      <c r="B177" s="113">
        <f t="array" ref="B177">$B178-1</f>
        <v>2003</v>
      </c>
      <c r="C177" s="56">
        <f t="array" ref="C177">H177+I177</f>
        <v>0</v>
      </c>
      <c r="D177" s="75"/>
      <c r="E177" s="75"/>
      <c r="F177" s="57">
        <f t="array" ref="F177">J177-D177</f>
        <v>0</v>
      </c>
      <c r="G177" s="57">
        <f t="array" ref="G177">K177-E177</f>
        <v>0</v>
      </c>
      <c r="H177" s="56">
        <f t="array" ref="H177">E177+D177</f>
        <v>0</v>
      </c>
      <c r="I177" s="56">
        <f t="array" ref="I177">G177+F177</f>
        <v>0</v>
      </c>
      <c r="J177" s="75"/>
      <c r="K177" s="75"/>
      <c r="L177" s="85"/>
      <c r="M177" s="1"/>
      <c r="N177" s="1"/>
      <c r="O177" s="1"/>
      <c r="P177" s="1"/>
      <c r="Q177" s="1"/>
      <c r="R177" s="1"/>
      <c r="S177" s="1"/>
      <c r="T177" s="1"/>
      <c r="U177" s="1"/>
      <c r="V177" s="1"/>
      <c r="W177" s="1"/>
      <c r="X177" s="1"/>
      <c r="Y177" s="1"/>
      <c r="Z177" s="1"/>
    </row>
    <row r="178" spans="1:26" ht="19.5" customHeight="1">
      <c r="A178" s="2"/>
      <c r="B178" s="113">
        <f t="array" ref="B178">$B179-1</f>
        <v>2004</v>
      </c>
      <c r="C178" s="56">
        <f t="array" ref="C178">H178+I178</f>
        <v>0</v>
      </c>
      <c r="D178" s="75"/>
      <c r="E178" s="75"/>
      <c r="F178" s="57">
        <f t="array" ref="F178">J178-D178</f>
        <v>0</v>
      </c>
      <c r="G178" s="57">
        <f t="array" ref="G178">K178-E178</f>
        <v>0</v>
      </c>
      <c r="H178" s="56">
        <f t="array" ref="H178">E178+D178</f>
        <v>0</v>
      </c>
      <c r="I178" s="56">
        <f t="array" ref="I178">G178+F178</f>
        <v>0</v>
      </c>
      <c r="J178" s="75"/>
      <c r="K178" s="75"/>
      <c r="L178" s="85"/>
      <c r="M178" s="1"/>
      <c r="N178" s="1"/>
      <c r="O178" s="1"/>
      <c r="P178" s="1"/>
      <c r="Q178" s="1"/>
      <c r="R178" s="1"/>
      <c r="S178" s="1"/>
      <c r="T178" s="1"/>
      <c r="U178" s="1"/>
      <c r="V178" s="1"/>
      <c r="W178" s="1"/>
      <c r="X178" s="1"/>
      <c r="Y178" s="1"/>
      <c r="Z178" s="1"/>
    </row>
    <row r="179" spans="1:26" ht="19.5" customHeight="1">
      <c r="A179" s="2"/>
      <c r="B179" s="113">
        <f t="array" ref="B179">$B180-1</f>
        <v>2005</v>
      </c>
      <c r="C179" s="56">
        <f t="array" ref="C179">H179+I179</f>
        <v>0</v>
      </c>
      <c r="D179" s="75"/>
      <c r="E179" s="75"/>
      <c r="F179" s="57">
        <f t="array" ref="F179">J179-D179</f>
        <v>0</v>
      </c>
      <c r="G179" s="57">
        <f t="array" ref="G179">K179-E179</f>
        <v>0</v>
      </c>
      <c r="H179" s="56">
        <f t="array" ref="H179">E179+D179</f>
        <v>0</v>
      </c>
      <c r="I179" s="56">
        <f t="array" ref="I179">G179+F179</f>
        <v>0</v>
      </c>
      <c r="J179" s="75"/>
      <c r="K179" s="75"/>
      <c r="L179" s="85"/>
      <c r="M179" s="1"/>
      <c r="N179" s="1"/>
      <c r="O179" s="1"/>
      <c r="P179" s="1"/>
      <c r="Q179" s="1"/>
      <c r="R179" s="1"/>
      <c r="S179" s="1"/>
      <c r="T179" s="1"/>
      <c r="U179" s="1"/>
      <c r="V179" s="1"/>
      <c r="W179" s="1"/>
      <c r="X179" s="1"/>
      <c r="Y179" s="1"/>
      <c r="Z179" s="1"/>
    </row>
    <row r="180" spans="1:26" ht="19.5" customHeight="1">
      <c r="A180" s="2"/>
      <c r="B180" s="113">
        <f t="array" ref="B180">$B181-1</f>
        <v>2006</v>
      </c>
      <c r="C180" s="56">
        <f t="array" ref="C180">H180+I180</f>
        <v>288000</v>
      </c>
      <c r="D180" s="75">
        <v>40000</v>
      </c>
      <c r="E180" s="75">
        <v>40000</v>
      </c>
      <c r="F180" s="57">
        <f t="array" ref="F180">J180-D180</f>
        <v>104000</v>
      </c>
      <c r="G180" s="57">
        <f t="array" ref="G180">K180-E180</f>
        <v>104000</v>
      </c>
      <c r="H180" s="56">
        <f t="array" ref="H180">E180+D180</f>
        <v>80000</v>
      </c>
      <c r="I180" s="56">
        <f t="array" ref="I180">G180+F180</f>
        <v>208000</v>
      </c>
      <c r="J180" s="75">
        <v>144000</v>
      </c>
      <c r="K180" s="75">
        <v>144000</v>
      </c>
      <c r="L180" s="85"/>
      <c r="M180" s="1"/>
      <c r="N180" s="1"/>
      <c r="O180" s="1"/>
      <c r="P180" s="1"/>
      <c r="Q180" s="1"/>
      <c r="R180" s="1"/>
      <c r="S180" s="1"/>
      <c r="T180" s="1"/>
      <c r="U180" s="1"/>
      <c r="V180" s="1"/>
      <c r="W180" s="1"/>
      <c r="X180" s="1"/>
      <c r="Y180" s="1"/>
      <c r="Z180" s="1"/>
    </row>
    <row r="181" spans="1:26" ht="19.5" customHeight="1">
      <c r="A181" s="2"/>
      <c r="B181" s="113">
        <f t="array" ref="B181">$B182-1</f>
        <v>2007</v>
      </c>
      <c r="C181" s="56">
        <f t="array" ref="C181">H181+I181</f>
        <v>272000</v>
      </c>
      <c r="D181" s="75">
        <v>34500</v>
      </c>
      <c r="E181" s="75">
        <v>34500</v>
      </c>
      <c r="F181" s="57">
        <f t="array" ref="F181">J181-D181</f>
        <v>101500</v>
      </c>
      <c r="G181" s="57">
        <f t="array" ref="G181">K181-E181</f>
        <v>101500</v>
      </c>
      <c r="H181" s="56">
        <f t="array" ref="H181">E181+D181</f>
        <v>69000</v>
      </c>
      <c r="I181" s="56">
        <f t="array" ref="I181">G181+F181</f>
        <v>203000</v>
      </c>
      <c r="J181" s="75">
        <v>136000</v>
      </c>
      <c r="K181" s="75">
        <v>136000</v>
      </c>
      <c r="L181" s="85"/>
      <c r="M181" s="1"/>
      <c r="N181" s="1"/>
      <c r="O181" s="1"/>
      <c r="P181" s="1"/>
      <c r="Q181" s="1"/>
      <c r="R181" s="1"/>
      <c r="S181" s="1"/>
      <c r="T181" s="1"/>
      <c r="U181" s="1"/>
      <c r="V181" s="1"/>
      <c r="W181" s="1"/>
      <c r="X181" s="1"/>
      <c r="Y181" s="1"/>
      <c r="Z181" s="1"/>
    </row>
    <row r="182" spans="1:26" ht="19.5" customHeight="1">
      <c r="A182" s="2"/>
      <c r="B182" s="113">
        <f t="array" ref="B182">$B183-1</f>
        <v>2008</v>
      </c>
      <c r="C182" s="56">
        <f t="array" ref="C182">H182+I182</f>
        <v>272000</v>
      </c>
      <c r="D182" s="75">
        <v>33000</v>
      </c>
      <c r="E182" s="75">
        <v>33000</v>
      </c>
      <c r="F182" s="57">
        <f t="array" ref="F182">J182-D182</f>
        <v>103000</v>
      </c>
      <c r="G182" s="57">
        <f t="array" ref="G182">K182-E182</f>
        <v>103000</v>
      </c>
      <c r="H182" s="56">
        <f t="array" ref="H182">E182+D182</f>
        <v>66000</v>
      </c>
      <c r="I182" s="56">
        <f t="array" ref="I182">G182+F182</f>
        <v>206000</v>
      </c>
      <c r="J182" s="75">
        <v>136000</v>
      </c>
      <c r="K182" s="75">
        <v>136000</v>
      </c>
      <c r="L182" s="85"/>
      <c r="M182" s="1"/>
      <c r="N182" s="1"/>
      <c r="O182" s="1"/>
      <c r="P182" s="1"/>
      <c r="Q182" s="1"/>
      <c r="R182" s="1"/>
      <c r="S182" s="1"/>
      <c r="T182" s="1"/>
      <c r="U182" s="1"/>
      <c r="V182" s="1"/>
      <c r="W182" s="1"/>
      <c r="X182" s="1"/>
      <c r="Y182" s="1"/>
      <c r="Z182" s="1"/>
    </row>
    <row r="183" spans="1:26" ht="19.5" customHeight="1">
      <c r="A183" s="2"/>
      <c r="B183" s="113">
        <f t="array" ref="B183">$B184-1</f>
        <v>2009</v>
      </c>
      <c r="C183" s="56">
        <f t="array" ref="C183">H183+I183</f>
        <v>270000</v>
      </c>
      <c r="D183" s="75">
        <v>33000</v>
      </c>
      <c r="E183" s="75">
        <v>33000</v>
      </c>
      <c r="F183" s="57">
        <f t="array" ref="F183">J183-D183</f>
        <v>102000</v>
      </c>
      <c r="G183" s="57">
        <f t="array" ref="G183">K183-E183</f>
        <v>102000</v>
      </c>
      <c r="H183" s="56">
        <f t="array" ref="H183">E183+D183</f>
        <v>66000</v>
      </c>
      <c r="I183" s="56">
        <f t="array" ref="I183">G183+F183</f>
        <v>204000</v>
      </c>
      <c r="J183" s="75">
        <v>135000</v>
      </c>
      <c r="K183" s="75">
        <v>135000</v>
      </c>
      <c r="L183" s="85"/>
      <c r="M183" s="1"/>
      <c r="N183" s="1"/>
      <c r="O183" s="1"/>
      <c r="P183" s="1"/>
      <c r="Q183" s="1"/>
      <c r="R183" s="1"/>
      <c r="S183" s="1"/>
      <c r="T183" s="1"/>
      <c r="U183" s="1"/>
      <c r="V183" s="1"/>
      <c r="W183" s="1"/>
      <c r="X183" s="1"/>
      <c r="Y183" s="1"/>
      <c r="Z183" s="1"/>
    </row>
    <row r="184" spans="1:26" ht="19.5" customHeight="1">
      <c r="A184" s="2"/>
      <c r="B184" s="113">
        <f t="array" ref="B184">$B185-1</f>
        <v>2010</v>
      </c>
      <c r="C184" s="56">
        <f t="array" ref="C184">H184+I184</f>
        <v>308000</v>
      </c>
      <c r="D184" s="75">
        <v>48500</v>
      </c>
      <c r="E184" s="75">
        <v>48500</v>
      </c>
      <c r="F184" s="57">
        <f t="array" ref="F184">J184-D184</f>
        <v>105500</v>
      </c>
      <c r="G184" s="57">
        <f t="array" ref="G184">K184-E184</f>
        <v>105500</v>
      </c>
      <c r="H184" s="56">
        <f t="array" ref="H184">E184+D184</f>
        <v>97000</v>
      </c>
      <c r="I184" s="56">
        <f t="array" ref="I184">G184+F184</f>
        <v>211000</v>
      </c>
      <c r="J184" s="75">
        <v>154000</v>
      </c>
      <c r="K184" s="75">
        <v>154000</v>
      </c>
      <c r="L184" s="85"/>
      <c r="M184" s="1"/>
      <c r="N184" s="1"/>
      <c r="O184" s="1"/>
      <c r="P184" s="1"/>
      <c r="Q184" s="1"/>
      <c r="R184" s="1"/>
      <c r="S184" s="1"/>
      <c r="T184" s="1"/>
      <c r="U184" s="1"/>
      <c r="V184" s="1"/>
      <c r="W184" s="1"/>
      <c r="X184" s="1"/>
      <c r="Y184" s="1"/>
      <c r="Z184" s="1"/>
    </row>
    <row r="185" spans="1:26" ht="19.5" customHeight="1">
      <c r="A185" s="2"/>
      <c r="B185" s="113">
        <f t="array" ref="B185">$B186-1</f>
        <v>2011</v>
      </c>
      <c r="C185" s="56">
        <f t="array" ref="C185">H185+I185</f>
        <v>320000</v>
      </c>
      <c r="D185" s="75">
        <v>51500</v>
      </c>
      <c r="E185" s="75">
        <v>51500</v>
      </c>
      <c r="F185" s="57">
        <f t="array" ref="F185">J185-D185</f>
        <v>108500</v>
      </c>
      <c r="G185" s="57">
        <f t="array" ref="G185">K185-E185</f>
        <v>108500</v>
      </c>
      <c r="H185" s="56">
        <f t="array" ref="H185">E185+D185</f>
        <v>103000</v>
      </c>
      <c r="I185" s="56">
        <f t="array" ref="I185">G185+F185</f>
        <v>217000</v>
      </c>
      <c r="J185" s="75">
        <v>160000</v>
      </c>
      <c r="K185" s="75">
        <v>160000</v>
      </c>
      <c r="L185" s="85"/>
      <c r="M185" s="1"/>
      <c r="N185" s="1"/>
      <c r="O185" s="1"/>
      <c r="P185" s="1"/>
      <c r="Q185" s="1"/>
      <c r="R185" s="1"/>
      <c r="S185" s="1"/>
      <c r="T185" s="1"/>
      <c r="U185" s="1"/>
      <c r="V185" s="1"/>
      <c r="W185" s="1"/>
      <c r="X185" s="1"/>
      <c r="Y185" s="1"/>
      <c r="Z185" s="1"/>
    </row>
    <row r="186" spans="1:26" ht="20.25" customHeight="1">
      <c r="A186" s="23"/>
      <c r="B186" s="114">
        <f t="array" ref="B186">$B187-1</f>
        <v>2012</v>
      </c>
      <c r="C186" s="78">
        <f t="array" ref="C186">H186+I186</f>
        <v>327000</v>
      </c>
      <c r="D186" s="75">
        <v>49000</v>
      </c>
      <c r="E186" s="75">
        <v>49000</v>
      </c>
      <c r="F186" s="115">
        <f t="array" ref="F186">J186-D186</f>
        <v>114500</v>
      </c>
      <c r="G186" s="115">
        <f t="array" ref="G186">K186-E186</f>
        <v>114500</v>
      </c>
      <c r="H186" s="78">
        <f t="array" ref="H186">E186+D186</f>
        <v>98000</v>
      </c>
      <c r="I186" s="78">
        <f t="array" ref="I186">G186+F186</f>
        <v>229000</v>
      </c>
      <c r="J186" s="75">
        <v>163500</v>
      </c>
      <c r="K186" s="75">
        <v>163500</v>
      </c>
      <c r="L186" s="85"/>
      <c r="M186" s="1"/>
      <c r="N186" s="1"/>
      <c r="O186" s="1"/>
      <c r="P186" s="1"/>
      <c r="Q186" s="1"/>
      <c r="R186" s="1"/>
      <c r="S186" s="1"/>
      <c r="T186" s="1"/>
      <c r="U186" s="1"/>
      <c r="V186" s="1"/>
      <c r="W186" s="1"/>
      <c r="X186" s="1"/>
      <c r="Y186" s="1"/>
      <c r="Z186" s="1"/>
    </row>
    <row r="187" spans="1:26" ht="20.25" customHeight="1">
      <c r="A187" s="11"/>
      <c r="B187" s="116">
        <f t="array" ref="B187">$B188-1</f>
        <v>2013</v>
      </c>
      <c r="C187" s="117">
        <f t="array" ref="C187">H187+I187</f>
        <v>338000</v>
      </c>
      <c r="D187" s="65">
        <v>51000</v>
      </c>
      <c r="E187" s="65">
        <v>51000</v>
      </c>
      <c r="F187" s="118">
        <f t="array" ref="F187">J187-D187</f>
        <v>118000</v>
      </c>
      <c r="G187" s="108">
        <f t="array" ref="G187">K187-E187</f>
        <v>118000</v>
      </c>
      <c r="H187" s="81">
        <f t="array" ref="H187">E187+D187</f>
        <v>102000</v>
      </c>
      <c r="I187" s="117">
        <f t="array" ref="I187">G187+F187</f>
        <v>236000</v>
      </c>
      <c r="J187" s="65">
        <v>169000</v>
      </c>
      <c r="K187" s="65">
        <v>169000</v>
      </c>
      <c r="L187" s="119"/>
      <c r="M187" s="1"/>
      <c r="N187" s="1"/>
      <c r="O187" s="1"/>
      <c r="P187" s="1"/>
      <c r="Q187" s="1"/>
      <c r="R187" s="1"/>
      <c r="S187" s="1"/>
      <c r="T187" s="1"/>
      <c r="U187" s="1"/>
      <c r="V187" s="1"/>
      <c r="W187" s="1"/>
      <c r="X187" s="1"/>
      <c r="Y187" s="1"/>
      <c r="Z187" s="1"/>
    </row>
    <row r="188" spans="1:26" ht="20.25" customHeight="1">
      <c r="A188" s="11"/>
      <c r="B188" s="116">
        <f t="array" ref="B188">$B189-1</f>
        <v>2014</v>
      </c>
      <c r="C188" s="117">
        <f t="array" ref="C188">H188+I188</f>
        <v>340000</v>
      </c>
      <c r="D188" s="65">
        <v>53000</v>
      </c>
      <c r="E188" s="65">
        <v>53000</v>
      </c>
      <c r="F188" s="118">
        <f t="array" ref="F188">J188-D188</f>
        <v>117000</v>
      </c>
      <c r="G188" s="108">
        <f t="array" ref="G188">K188-E188</f>
        <v>117000</v>
      </c>
      <c r="H188" s="81">
        <f t="array" ref="H188">E188+D188</f>
        <v>106000</v>
      </c>
      <c r="I188" s="117">
        <f t="array" ref="I188">G188+F188</f>
        <v>234000</v>
      </c>
      <c r="J188" s="65">
        <v>170000</v>
      </c>
      <c r="K188" s="65">
        <v>170000</v>
      </c>
      <c r="L188" s="120"/>
      <c r="M188" s="1"/>
      <c r="N188" s="1"/>
      <c r="O188" s="1"/>
      <c r="P188" s="1"/>
      <c r="Q188" s="1"/>
      <c r="R188" s="1"/>
      <c r="S188" s="1"/>
      <c r="T188" s="1"/>
      <c r="U188" s="1"/>
      <c r="V188" s="1"/>
      <c r="W188" s="1"/>
      <c r="X188" s="1"/>
      <c r="Y188" s="1"/>
      <c r="Z188" s="1"/>
    </row>
    <row r="189" spans="1:26" ht="20.25" customHeight="1">
      <c r="A189" s="11"/>
      <c r="B189" s="116">
        <f t="array" ref="B189">$B190-1</f>
        <v>2015</v>
      </c>
      <c r="C189" s="117">
        <f t="array" ref="C189">H189+I189</f>
        <v>364221</v>
      </c>
      <c r="D189" s="65">
        <v>44333</v>
      </c>
      <c r="E189" s="65">
        <v>45193</v>
      </c>
      <c r="F189" s="118">
        <f t="array" ref="F189">J189-D189</f>
        <v>142671</v>
      </c>
      <c r="G189" s="108">
        <f t="array" ref="G189">K189-E189</f>
        <v>132024</v>
      </c>
      <c r="H189" s="81">
        <f t="array" ref="H189">E189+D189</f>
        <v>89526</v>
      </c>
      <c r="I189" s="117">
        <f t="array" ref="I189">G189+F189</f>
        <v>274695</v>
      </c>
      <c r="J189" s="65">
        <v>187004</v>
      </c>
      <c r="K189" s="65">
        <v>177217</v>
      </c>
      <c r="L189" s="120"/>
      <c r="M189" s="1"/>
      <c r="N189" s="1"/>
      <c r="O189" s="1"/>
      <c r="P189" s="1"/>
      <c r="Q189" s="1"/>
      <c r="R189" s="1"/>
      <c r="S189" s="1"/>
      <c r="T189" s="1"/>
      <c r="U189" s="1"/>
      <c r="V189" s="1"/>
      <c r="W189" s="1"/>
      <c r="X189" s="1"/>
      <c r="Y189" s="1"/>
      <c r="Z189" s="1"/>
    </row>
    <row r="190" spans="1:26" ht="20.25" customHeight="1">
      <c r="A190" s="11"/>
      <c r="B190" s="116">
        <f t="array" ref="B190">$B191-1</f>
        <v>2016</v>
      </c>
      <c r="C190" s="117">
        <f t="array" ref="C190">H190+I190</f>
        <v>377709</v>
      </c>
      <c r="D190" s="65">
        <v>47455</v>
      </c>
      <c r="E190" s="65">
        <v>46927</v>
      </c>
      <c r="F190" s="118">
        <f t="array" ref="F190">J190-D190</f>
        <v>145336</v>
      </c>
      <c r="G190" s="108">
        <f t="array" ref="G190">K190-E190</f>
        <v>137991</v>
      </c>
      <c r="H190" s="81">
        <f t="array" ref="H190">E190+D190</f>
        <v>94382</v>
      </c>
      <c r="I190" s="117">
        <f t="array" ref="I190">G190+F190</f>
        <v>283327</v>
      </c>
      <c r="J190" s="65">
        <v>192791</v>
      </c>
      <c r="K190" s="65">
        <v>184918</v>
      </c>
      <c r="L190" s="120"/>
      <c r="M190" s="1"/>
      <c r="N190" s="1"/>
      <c r="O190" s="1"/>
      <c r="P190" s="1"/>
      <c r="Q190" s="1"/>
      <c r="R190" s="1"/>
      <c r="S190" s="1"/>
      <c r="T190" s="1"/>
      <c r="U190" s="1"/>
      <c r="V190" s="1"/>
      <c r="W190" s="1"/>
      <c r="X190" s="1"/>
      <c r="Y190" s="1"/>
      <c r="Z190" s="1"/>
    </row>
    <row r="191" spans="1:26" ht="20.25" customHeight="1">
      <c r="A191" s="11"/>
      <c r="B191" s="116">
        <f t="array" ref="B191">$B192-1</f>
        <v>2017</v>
      </c>
      <c r="C191" s="117">
        <f t="array" ref="C191">H191+I191</f>
        <v>369621</v>
      </c>
      <c r="D191" s="65">
        <v>42703</v>
      </c>
      <c r="E191" s="65">
        <v>42109</v>
      </c>
      <c r="F191" s="118">
        <f t="array" ref="F191">J191-D191</f>
        <v>146705</v>
      </c>
      <c r="G191" s="108">
        <f t="array" ref="G191">K191-E191</f>
        <v>138104</v>
      </c>
      <c r="H191" s="81">
        <f t="array" ref="H191">E191+D191</f>
        <v>84812</v>
      </c>
      <c r="I191" s="117">
        <f t="array" ref="I191">G191+F191</f>
        <v>284809</v>
      </c>
      <c r="J191" s="65">
        <v>189408</v>
      </c>
      <c r="K191" s="65">
        <v>180213</v>
      </c>
      <c r="L191" s="120"/>
      <c r="M191" s="1"/>
      <c r="N191" s="1"/>
      <c r="O191" s="1"/>
      <c r="P191" s="1"/>
      <c r="Q191" s="1"/>
      <c r="R191" s="1"/>
      <c r="S191" s="1"/>
      <c r="T191" s="1"/>
      <c r="U191" s="1"/>
      <c r="V191" s="1"/>
      <c r="W191" s="1"/>
      <c r="X191" s="1"/>
      <c r="Y191" s="1"/>
      <c r="Z191" s="1"/>
    </row>
    <row r="192" spans="1:26" ht="20.25" customHeight="1">
      <c r="A192" s="11"/>
      <c r="B192" s="116">
        <f t="array" ref="B192">$B193-1</f>
        <v>2018</v>
      </c>
      <c r="C192" s="117">
        <f t="array" ref="C192">H192+I192</f>
        <v>387160</v>
      </c>
      <c r="D192" s="65">
        <v>44509</v>
      </c>
      <c r="E192" s="65">
        <v>44042</v>
      </c>
      <c r="F192" s="118">
        <f t="array" ref="F192">J192-D192</f>
        <v>152525</v>
      </c>
      <c r="G192" s="108">
        <f t="array" ref="G192">K192-E192</f>
        <v>146084</v>
      </c>
      <c r="H192" s="81">
        <f t="array" ref="H192">E192+D192</f>
        <v>88551</v>
      </c>
      <c r="I192" s="117">
        <f t="array" ref="I192">G192+F192</f>
        <v>298609</v>
      </c>
      <c r="J192" s="65">
        <v>197034</v>
      </c>
      <c r="K192" s="65">
        <v>190126</v>
      </c>
      <c r="L192" s="120"/>
      <c r="M192" s="1"/>
      <c r="N192" s="1"/>
      <c r="O192" s="1"/>
      <c r="P192" s="1"/>
      <c r="Q192" s="1"/>
      <c r="R192" s="1"/>
      <c r="S192" s="1"/>
      <c r="T192" s="1"/>
      <c r="U192" s="1"/>
      <c r="V192" s="1"/>
      <c r="W192" s="1"/>
      <c r="X192" s="1"/>
      <c r="Y192" s="1"/>
      <c r="Z192" s="1"/>
    </row>
    <row r="193" spans="1:26" ht="20.25" customHeight="1">
      <c r="A193" s="11"/>
      <c r="B193" s="116">
        <f t="array" ref="B193">$B194-1</f>
        <v>2019</v>
      </c>
      <c r="C193" s="117">
        <f t="array" ref="C193">H193+I193</f>
        <v>385596</v>
      </c>
      <c r="D193" s="65">
        <v>45400</v>
      </c>
      <c r="E193" s="65">
        <v>44042</v>
      </c>
      <c r="F193" s="118">
        <f t="array" ref="F193">J193-D193</f>
        <v>152513</v>
      </c>
      <c r="G193" s="108">
        <f t="array" ref="G193">K193-E193</f>
        <v>143641</v>
      </c>
      <c r="H193" s="81">
        <f t="array" ref="H193">E193+D193</f>
        <v>89442</v>
      </c>
      <c r="I193" s="117">
        <f t="array" ref="I193">G193+F193</f>
        <v>296154</v>
      </c>
      <c r="J193" s="65">
        <v>197913</v>
      </c>
      <c r="K193" s="65">
        <v>187683</v>
      </c>
      <c r="L193" s="120"/>
      <c r="M193" s="1"/>
      <c r="N193" s="1"/>
      <c r="O193" s="1"/>
      <c r="P193" s="1"/>
      <c r="Q193" s="1"/>
      <c r="R193" s="1"/>
      <c r="S193" s="1"/>
      <c r="T193" s="1"/>
      <c r="U193" s="1"/>
      <c r="V193" s="1"/>
      <c r="W193" s="1"/>
      <c r="X193" s="1"/>
      <c r="Y193" s="1"/>
      <c r="Z193" s="1"/>
    </row>
    <row r="194" spans="1:26" ht="20.25" customHeight="1">
      <c r="A194" s="11"/>
      <c r="B194" s="116">
        <f t="array" ref="B194">$B195-1</f>
        <v>2020</v>
      </c>
      <c r="C194" s="117">
        <f t="array" ref="C194">H194+I194</f>
        <v>331137</v>
      </c>
      <c r="D194" s="65">
        <v>45398</v>
      </c>
      <c r="E194" s="65">
        <v>44057</v>
      </c>
      <c r="F194" s="118">
        <f t="array" ref="F194">J194-D194</f>
        <v>124380</v>
      </c>
      <c r="G194" s="108">
        <f t="array" ref="G194">K194-E194</f>
        <v>117302</v>
      </c>
      <c r="H194" s="81">
        <f t="array" ref="H194">E194+D194</f>
        <v>89455</v>
      </c>
      <c r="I194" s="117">
        <f t="array" ref="I194">G194+F194</f>
        <v>241682</v>
      </c>
      <c r="J194" s="65">
        <v>169778</v>
      </c>
      <c r="K194" s="65">
        <v>161359</v>
      </c>
      <c r="L194" s="120"/>
      <c r="M194" s="1"/>
      <c r="N194" s="1"/>
      <c r="O194" s="1"/>
      <c r="P194" s="1"/>
      <c r="Q194" s="1"/>
      <c r="R194" s="1"/>
      <c r="S194" s="1"/>
      <c r="T194" s="1"/>
      <c r="U194" s="1"/>
      <c r="V194" s="1"/>
      <c r="W194" s="1"/>
      <c r="X194" s="1"/>
      <c r="Y194" s="1"/>
      <c r="Z194" s="1"/>
    </row>
    <row r="195" spans="1:26" ht="20.25" customHeight="1">
      <c r="A195" s="11"/>
      <c r="B195" s="116">
        <f t="array" ref="B195">$B196-1</f>
        <v>2021</v>
      </c>
      <c r="C195" s="117">
        <f t="array" ref="C195">H195+I195</f>
        <v>388513</v>
      </c>
      <c r="D195" s="65">
        <v>34415</v>
      </c>
      <c r="E195" s="65">
        <v>34722</v>
      </c>
      <c r="F195" s="118">
        <f t="array" ref="F195">J195-D195</f>
        <v>158324</v>
      </c>
      <c r="G195" s="108">
        <f t="array" ref="G195">K195-E195</f>
        <v>161052</v>
      </c>
      <c r="H195" s="81">
        <f t="array" ref="H195">E195+D195</f>
        <v>69137</v>
      </c>
      <c r="I195" s="117">
        <f t="array" ref="I195">G195+F195</f>
        <v>319376</v>
      </c>
      <c r="J195" s="65">
        <v>192739</v>
      </c>
      <c r="K195" s="65">
        <v>195774</v>
      </c>
      <c r="L195" s="120"/>
      <c r="M195" s="1"/>
      <c r="N195" s="1"/>
      <c r="O195" s="1"/>
      <c r="P195" s="1"/>
      <c r="Q195" s="1"/>
      <c r="R195" s="1"/>
      <c r="S195" s="1"/>
      <c r="T195" s="1"/>
      <c r="U195" s="1"/>
      <c r="V195" s="1"/>
      <c r="W195" s="1"/>
      <c r="X195" s="1"/>
      <c r="Y195" s="1"/>
      <c r="Z195" s="1"/>
    </row>
    <row r="196" spans="1:26" ht="20.25" customHeight="1">
      <c r="A196" s="11"/>
      <c r="B196" s="116">
        <f t="array" ref="B196">$B197-1</f>
        <v>2022</v>
      </c>
      <c r="C196" s="117">
        <f t="array" ref="C196">H196+I196</f>
        <v>490655</v>
      </c>
      <c r="D196" s="65">
        <v>38040</v>
      </c>
      <c r="E196" s="65">
        <v>37467</v>
      </c>
      <c r="F196" s="118">
        <f t="array" ref="F196">J196-D196</f>
        <v>215026</v>
      </c>
      <c r="G196" s="108">
        <f t="array" ref="G196">K196-E196</f>
        <v>200122</v>
      </c>
      <c r="H196" s="81">
        <f t="array" ref="H196">E196+D196</f>
        <v>75507</v>
      </c>
      <c r="I196" s="117">
        <f t="array" ref="I196">G196+F196</f>
        <v>415148</v>
      </c>
      <c r="J196" s="65">
        <v>253066</v>
      </c>
      <c r="K196" s="65">
        <v>237589</v>
      </c>
      <c r="L196" s="120"/>
      <c r="M196" s="1"/>
      <c r="N196" s="1"/>
      <c r="O196" s="1"/>
      <c r="P196" s="1"/>
      <c r="Q196" s="1"/>
      <c r="R196" s="1"/>
      <c r="S196" s="1"/>
      <c r="T196" s="1"/>
      <c r="U196" s="1"/>
      <c r="V196" s="1"/>
      <c r="W196" s="1"/>
      <c r="X196" s="1"/>
      <c r="Y196" s="1"/>
      <c r="Z196" s="1"/>
    </row>
    <row r="197" spans="1:26" ht="20.25" customHeight="1">
      <c r="A197" s="11"/>
      <c r="B197" s="116">
        <f t="array" ref="B197">$B198-1</f>
        <v>2023</v>
      </c>
      <c r="C197" s="117">
        <f t="array" ref="C197">H197+I197</f>
        <v>467548</v>
      </c>
      <c r="D197" s="65">
        <v>43740</v>
      </c>
      <c r="E197" s="65">
        <v>42002</v>
      </c>
      <c r="F197" s="118">
        <f t="array" ref="F197">J197-D197</f>
        <v>194931</v>
      </c>
      <c r="G197" s="108">
        <f t="array" ref="G197">K197-E197</f>
        <v>186875</v>
      </c>
      <c r="H197" s="81">
        <f t="array" ref="H197">E197+D197</f>
        <v>85742</v>
      </c>
      <c r="I197" s="117">
        <f t="array" ref="I197">G197+F197</f>
        <v>381806</v>
      </c>
      <c r="J197" s="65">
        <v>238671</v>
      </c>
      <c r="K197" s="65">
        <v>228877</v>
      </c>
      <c r="L197" s="120"/>
      <c r="M197" s="1"/>
      <c r="N197" s="1"/>
      <c r="O197" s="1"/>
      <c r="P197" s="1"/>
      <c r="Q197" s="1"/>
      <c r="R197" s="1"/>
      <c r="S197" s="1"/>
      <c r="T197" s="1"/>
      <c r="U197" s="1"/>
      <c r="V197" s="1"/>
      <c r="W197" s="1"/>
      <c r="X197" s="1"/>
      <c r="Y197" s="1"/>
      <c r="Z197" s="1"/>
    </row>
    <row r="198" spans="1:26" ht="20.25" customHeight="1">
      <c r="A198" s="11"/>
      <c r="B198" s="116">
        <f t="array" ref="B198">$C$7</f>
        <v>2024</v>
      </c>
      <c r="C198" s="117">
        <f t="array" ref="C198">H198+I198</f>
        <v>438626</v>
      </c>
      <c r="D198" s="121">
        <v>43102</v>
      </c>
      <c r="E198" s="122">
        <v>42398</v>
      </c>
      <c r="F198" s="108">
        <f t="array" ref="F198">J198-D198</f>
        <v>186157</v>
      </c>
      <c r="G198" s="108">
        <f t="array" ref="G198">K198-E198</f>
        <v>166969</v>
      </c>
      <c r="H198" s="81">
        <f t="array" ref="H198">E198+D198</f>
        <v>85500</v>
      </c>
      <c r="I198" s="117">
        <f t="array" ref="I198">G198+F198</f>
        <v>353126</v>
      </c>
      <c r="J198" s="121">
        <v>229259</v>
      </c>
      <c r="K198" s="121">
        <v>209367</v>
      </c>
      <c r="L198" s="120"/>
      <c r="M198" s="1"/>
      <c r="N198" s="1"/>
      <c r="O198" s="1"/>
      <c r="P198" s="1"/>
      <c r="Q198" s="1"/>
      <c r="R198" s="1"/>
      <c r="S198" s="1"/>
      <c r="T198" s="1"/>
      <c r="U198" s="1"/>
      <c r="V198" s="1"/>
      <c r="W198" s="1"/>
      <c r="X198" s="1"/>
      <c r="Y198" s="1"/>
      <c r="Z198" s="1"/>
    </row>
    <row r="199" spans="1:26" ht="19.5" customHeight="1">
      <c r="A199" s="11"/>
      <c r="B199" s="12" t="s">
        <v>722</v>
      </c>
      <c r="C199" s="81">
        <f t="array" ref="C199">AVERAGE(C189:C198)</f>
        <v>400078.6</v>
      </c>
      <c r="D199" s="81">
        <f t="array" ref="D199">AVERAGE(D189:D198)</f>
        <v>42909.5</v>
      </c>
      <c r="E199" s="81">
        <f t="array" ref="E199">AVERAGE(E189:E198)</f>
        <v>42295.9</v>
      </c>
      <c r="F199" s="81">
        <f t="array" ref="F199">AVERAGE(F189:F198)</f>
        <v>161856.79999999999</v>
      </c>
      <c r="G199" s="81">
        <f t="array" ref="G199">AVERAGE(G189:G198)</f>
        <v>153016.4</v>
      </c>
      <c r="H199" s="81">
        <f t="array" ref="H199">AVERAGE(H189:H198)</f>
        <v>85205.4</v>
      </c>
      <c r="I199" s="81">
        <f t="array" ref="I199">AVERAGE(I189:I198)</f>
        <v>314873.2</v>
      </c>
      <c r="J199" s="81">
        <f t="array" ref="J199">AVERAGE(J189:J198)</f>
        <v>204766.3</v>
      </c>
      <c r="K199" s="81">
        <f t="array" ref="K199">AVERAGE(K189:K198)</f>
        <v>195312.3</v>
      </c>
      <c r="L199" s="13"/>
      <c r="M199" s="1"/>
      <c r="N199" s="1"/>
      <c r="O199" s="1"/>
      <c r="P199" s="1"/>
      <c r="Q199" s="1"/>
      <c r="R199" s="1"/>
      <c r="S199" s="1"/>
      <c r="T199" s="1"/>
      <c r="U199" s="1"/>
      <c r="V199" s="1"/>
      <c r="W199" s="1"/>
      <c r="X199" s="1"/>
      <c r="Y199" s="1"/>
      <c r="Z199" s="1"/>
    </row>
    <row r="200" spans="1:26" ht="19.5" customHeight="1">
      <c r="A200" s="15"/>
      <c r="B200" s="16"/>
      <c r="C200" s="32"/>
      <c r="D200" s="32"/>
      <c r="E200" s="32"/>
      <c r="F200" s="32"/>
      <c r="G200" s="32"/>
      <c r="H200" s="32"/>
      <c r="I200" s="32"/>
      <c r="J200" s="32"/>
      <c r="K200" s="32"/>
      <c r="L200" s="13"/>
      <c r="M200" s="1"/>
      <c r="N200" s="1"/>
      <c r="O200" s="1"/>
      <c r="P200" s="1"/>
      <c r="Q200" s="1"/>
      <c r="R200" s="1"/>
      <c r="S200" s="1"/>
      <c r="T200" s="1"/>
      <c r="U200" s="1"/>
      <c r="V200" s="1"/>
      <c r="W200" s="1"/>
      <c r="X200" s="1"/>
      <c r="Y200" s="1"/>
      <c r="Z200" s="1"/>
    </row>
    <row r="201" spans="1:26" ht="19.5" customHeight="1">
      <c r="A201" s="23"/>
      <c r="B201" s="22" t="s">
        <v>76</v>
      </c>
      <c r="C201" s="163" t="str">
        <f t="array" ref="C201">IF(C202="","?",C202)&amp;IF(C203="","","; downloaded "&amp;C203)&amp;IF(C204="","","; "&amp;C204)</f>
        <v>https://ec.europa.eu/eurostat/databrowser/view/migr_imm3ctb, https://ec.europa.eu/eurostat/databrowser/view/migr_emi4ctb, https://www.insee.fr/fr/statistiques/7454727; downloaded 2026-05-22</v>
      </c>
      <c r="D201" s="164"/>
      <c r="E201" s="164"/>
      <c r="F201" s="164"/>
      <c r="G201" s="164"/>
      <c r="H201" s="164"/>
      <c r="I201" s="164"/>
      <c r="J201" s="164"/>
      <c r="K201" s="165"/>
      <c r="L201" s="13"/>
      <c r="M201" s="1"/>
      <c r="N201" s="1"/>
      <c r="O201" s="1"/>
      <c r="P201" s="1"/>
      <c r="Q201" s="1"/>
      <c r="R201" s="1"/>
      <c r="S201" s="1"/>
      <c r="T201" s="1"/>
      <c r="U201" s="1"/>
      <c r="V201" s="1"/>
      <c r="W201" s="1"/>
      <c r="X201" s="1"/>
      <c r="Y201" s="1"/>
      <c r="Z201" s="1"/>
    </row>
    <row r="202" spans="1:26" ht="19.5" customHeight="1">
      <c r="A202" s="15"/>
      <c r="B202" s="22" t="s">
        <v>77</v>
      </c>
      <c r="C202" s="166" t="s">
        <v>723</v>
      </c>
      <c r="D202" s="164"/>
      <c r="E202" s="164"/>
      <c r="F202" s="164"/>
      <c r="G202" s="164"/>
      <c r="H202" s="164"/>
      <c r="I202" s="164"/>
      <c r="J202" s="164"/>
      <c r="K202" s="165"/>
      <c r="L202" s="13"/>
      <c r="M202" s="1"/>
      <c r="N202" s="1"/>
      <c r="O202" s="1"/>
      <c r="P202" s="1"/>
      <c r="Q202" s="1"/>
      <c r="R202" s="1"/>
      <c r="S202" s="1"/>
      <c r="T202" s="1"/>
      <c r="U202" s="1"/>
      <c r="V202" s="1"/>
      <c r="W202" s="1"/>
      <c r="X202" s="1"/>
      <c r="Y202" s="1"/>
      <c r="Z202" s="1"/>
    </row>
    <row r="203" spans="1:26" ht="19.5" customHeight="1">
      <c r="A203" s="23"/>
      <c r="B203" s="33" t="s">
        <v>79</v>
      </c>
      <c r="C203" s="166" t="s">
        <v>80</v>
      </c>
      <c r="D203" s="164"/>
      <c r="E203" s="164"/>
      <c r="F203" s="164"/>
      <c r="G203" s="164"/>
      <c r="H203" s="164"/>
      <c r="I203" s="164"/>
      <c r="J203" s="164"/>
      <c r="K203" s="165"/>
      <c r="L203" s="13"/>
      <c r="M203" s="1"/>
      <c r="N203" s="1"/>
      <c r="O203" s="1"/>
      <c r="P203" s="1"/>
      <c r="Q203" s="1"/>
      <c r="R203" s="1"/>
      <c r="S203" s="1"/>
      <c r="T203" s="1"/>
      <c r="U203" s="1"/>
      <c r="V203" s="1"/>
      <c r="W203" s="1"/>
      <c r="X203" s="1"/>
      <c r="Y203" s="1"/>
      <c r="Z203" s="1"/>
    </row>
    <row r="204" spans="1:26" ht="19.5" customHeight="1">
      <c r="A204" s="11"/>
      <c r="B204" s="12" t="s">
        <v>81</v>
      </c>
      <c r="C204" s="167"/>
      <c r="D204" s="168"/>
      <c r="E204" s="168"/>
      <c r="F204" s="168"/>
      <c r="G204" s="168"/>
      <c r="H204" s="168"/>
      <c r="I204" s="168"/>
      <c r="J204" s="168"/>
      <c r="K204" s="169"/>
      <c r="L204" s="13"/>
      <c r="M204" s="1"/>
      <c r="N204" s="1"/>
      <c r="O204" s="1"/>
      <c r="P204" s="1"/>
      <c r="Q204" s="1"/>
      <c r="R204" s="1"/>
      <c r="S204" s="1"/>
      <c r="T204" s="1"/>
      <c r="U204" s="1"/>
      <c r="V204" s="1"/>
      <c r="W204" s="1"/>
      <c r="X204" s="1"/>
      <c r="Y204" s="1"/>
      <c r="Z204" s="1"/>
    </row>
    <row r="205" spans="1:26" ht="19.5" customHeight="1">
      <c r="A205" s="11"/>
      <c r="B205" s="12" t="s">
        <v>82</v>
      </c>
      <c r="C205" s="193" t="s">
        <v>724</v>
      </c>
      <c r="D205" s="158"/>
      <c r="E205" s="158"/>
      <c r="F205" s="158"/>
      <c r="G205" s="158"/>
      <c r="H205" s="158"/>
      <c r="I205" s="158"/>
      <c r="J205" s="158"/>
      <c r="K205" s="159"/>
      <c r="L205" s="13"/>
      <c r="M205" s="1"/>
      <c r="N205" s="1"/>
      <c r="O205" s="1"/>
      <c r="P205" s="1"/>
      <c r="Q205" s="1"/>
      <c r="R205" s="1"/>
      <c r="S205" s="1"/>
      <c r="T205" s="1"/>
      <c r="U205" s="1"/>
      <c r="V205" s="1"/>
      <c r="W205" s="1"/>
      <c r="X205" s="1"/>
      <c r="Y205" s="1"/>
      <c r="Z205" s="1"/>
    </row>
    <row r="206" spans="1:26" ht="19.5" customHeight="1">
      <c r="A206" s="11"/>
      <c r="B206" s="12" t="s">
        <v>84</v>
      </c>
      <c r="C206" s="170"/>
      <c r="D206" s="161"/>
      <c r="E206" s="161"/>
      <c r="F206" s="161"/>
      <c r="G206" s="161"/>
      <c r="H206" s="161"/>
      <c r="I206" s="161"/>
      <c r="J206" s="161"/>
      <c r="K206" s="162"/>
      <c r="L206" s="13"/>
      <c r="M206" s="1"/>
      <c r="N206" s="1"/>
      <c r="O206" s="1"/>
      <c r="P206" s="1"/>
      <c r="Q206" s="1"/>
      <c r="R206" s="1"/>
      <c r="S206" s="1"/>
      <c r="T206" s="1"/>
      <c r="U206" s="1"/>
      <c r="V206" s="1"/>
      <c r="W206" s="1"/>
      <c r="X206" s="1"/>
      <c r="Y206" s="1"/>
      <c r="Z206" s="1"/>
    </row>
    <row r="207" spans="1:26" ht="19.5" customHeight="1">
      <c r="A207" s="15"/>
      <c r="B207" s="16"/>
      <c r="C207" s="13"/>
      <c r="D207" s="13"/>
      <c r="E207" s="13"/>
      <c r="F207" s="13"/>
      <c r="G207" s="13"/>
      <c r="H207" s="13"/>
      <c r="I207" s="13"/>
      <c r="J207" s="13"/>
      <c r="K207" s="13"/>
      <c r="L207" s="13"/>
      <c r="M207" s="1"/>
      <c r="N207" s="1"/>
      <c r="O207" s="1"/>
      <c r="P207" s="1"/>
      <c r="Q207" s="1"/>
      <c r="R207" s="1"/>
      <c r="S207" s="1"/>
      <c r="T207" s="1"/>
      <c r="U207" s="1"/>
      <c r="V207" s="1"/>
      <c r="W207" s="1"/>
      <c r="X207" s="1"/>
      <c r="Y207" s="1"/>
      <c r="Z207" s="1"/>
    </row>
    <row r="208" spans="1:26" ht="31.5" customHeight="1">
      <c r="A208" s="19"/>
      <c r="B208" s="20" t="s">
        <v>725</v>
      </c>
      <c r="C208" s="185" t="s">
        <v>726</v>
      </c>
      <c r="D208" s="164"/>
      <c r="E208" s="164"/>
      <c r="F208" s="164"/>
      <c r="G208" s="164"/>
      <c r="H208" s="164"/>
      <c r="I208" s="164"/>
      <c r="J208" s="164"/>
      <c r="K208" s="165"/>
      <c r="L208" s="21"/>
      <c r="M208" s="1"/>
      <c r="N208" s="1"/>
      <c r="O208" s="1"/>
      <c r="P208" s="1"/>
      <c r="Q208" s="1"/>
      <c r="R208" s="1"/>
      <c r="S208" s="1"/>
      <c r="T208" s="1"/>
      <c r="U208" s="1"/>
      <c r="V208" s="1"/>
      <c r="W208" s="1"/>
      <c r="X208" s="1"/>
      <c r="Y208" s="1"/>
      <c r="Z208" s="1"/>
    </row>
    <row r="209" spans="1:26" ht="19.5" customHeight="1">
      <c r="A209" s="2"/>
      <c r="B209" s="17"/>
      <c r="C209" s="58"/>
      <c r="D209" s="58"/>
      <c r="E209" s="58"/>
      <c r="F209" s="58"/>
      <c r="G209" s="58"/>
      <c r="H209" s="58"/>
      <c r="I209" s="58"/>
      <c r="J209" s="58"/>
      <c r="K209" s="58"/>
      <c r="L209" s="58"/>
      <c r="M209" s="1"/>
      <c r="N209" s="1"/>
      <c r="O209" s="1"/>
      <c r="P209" s="1"/>
      <c r="Q209" s="1"/>
      <c r="R209" s="1"/>
      <c r="S209" s="1"/>
      <c r="T209" s="1"/>
      <c r="U209" s="1"/>
      <c r="V209" s="1"/>
      <c r="W209" s="1"/>
      <c r="X209" s="1"/>
      <c r="Y209" s="1"/>
      <c r="Z209" s="1"/>
    </row>
    <row r="210" spans="1:26" ht="19.5" customHeight="1">
      <c r="A210" s="2"/>
      <c r="B210" s="113">
        <f t="array" ref="B210">$B211-1</f>
        <v>1949</v>
      </c>
      <c r="C210" s="56">
        <f t="array" ref="C210">H210+I210</f>
        <v>0</v>
      </c>
      <c r="D210" s="75"/>
      <c r="E210" s="75"/>
      <c r="F210" s="57">
        <f t="array" ref="F210">J210-D210</f>
        <v>0</v>
      </c>
      <c r="G210" s="57">
        <f t="array" ref="G210">K210-E210</f>
        <v>0</v>
      </c>
      <c r="H210" s="56">
        <f t="array" ref="H210">E210+D210</f>
        <v>0</v>
      </c>
      <c r="I210" s="56">
        <f t="array" ref="I210">G210+F210</f>
        <v>0</v>
      </c>
      <c r="J210" s="75"/>
      <c r="K210" s="75"/>
      <c r="L210" s="85">
        <v>4.1870609400000001E-2</v>
      </c>
      <c r="M210" s="1"/>
      <c r="N210" s="1"/>
      <c r="O210" s="1"/>
      <c r="P210" s="1"/>
      <c r="Q210" s="1"/>
      <c r="R210" s="1"/>
      <c r="S210" s="1"/>
      <c r="T210" s="1"/>
      <c r="U210" s="1"/>
      <c r="V210" s="1"/>
      <c r="W210" s="1"/>
      <c r="X210" s="1"/>
      <c r="Y210" s="1"/>
      <c r="Z210" s="1"/>
    </row>
    <row r="211" spans="1:26" ht="19.5" customHeight="1">
      <c r="A211" s="2"/>
      <c r="B211" s="113">
        <f t="array" ref="B211">$B212-1</f>
        <v>1950</v>
      </c>
      <c r="C211" s="56">
        <f t="array" ref="C211">H211+I211</f>
        <v>0</v>
      </c>
      <c r="D211" s="75"/>
      <c r="E211" s="75"/>
      <c r="F211" s="57">
        <f t="array" ref="F211">J211-D211</f>
        <v>0</v>
      </c>
      <c r="G211" s="57">
        <f t="array" ref="G211">K211-E211</f>
        <v>0</v>
      </c>
      <c r="H211" s="56">
        <f t="array" ref="H211">E211+D211</f>
        <v>0</v>
      </c>
      <c r="I211" s="56">
        <f t="array" ref="I211">G211+F211</f>
        <v>0</v>
      </c>
      <c r="J211" s="75"/>
      <c r="K211" s="75"/>
      <c r="L211" s="85">
        <v>4.6368713399999997E-2</v>
      </c>
      <c r="M211" s="1"/>
      <c r="N211" s="1"/>
      <c r="O211" s="1"/>
      <c r="P211" s="1"/>
      <c r="Q211" s="1"/>
      <c r="R211" s="1"/>
      <c r="S211" s="1"/>
      <c r="T211" s="1"/>
      <c r="U211" s="1"/>
      <c r="V211" s="1"/>
      <c r="W211" s="1"/>
      <c r="X211" s="1"/>
      <c r="Y211" s="1"/>
      <c r="Z211" s="1"/>
    </row>
    <row r="212" spans="1:26" ht="19.5" customHeight="1">
      <c r="A212" s="2"/>
      <c r="B212" s="113">
        <f t="array" ref="B212">$B213-1</f>
        <v>1951</v>
      </c>
      <c r="C212" s="56">
        <f t="array" ref="C212">H212+I212</f>
        <v>0</v>
      </c>
      <c r="D212" s="75"/>
      <c r="E212" s="75"/>
      <c r="F212" s="57">
        <f t="array" ref="F212">J212-D212</f>
        <v>0</v>
      </c>
      <c r="G212" s="57">
        <f t="array" ref="G212">K212-E212</f>
        <v>0</v>
      </c>
      <c r="H212" s="56">
        <f t="array" ref="H212">E212+D212</f>
        <v>0</v>
      </c>
      <c r="I212" s="56">
        <f t="array" ref="I212">G212+F212</f>
        <v>0</v>
      </c>
      <c r="J212" s="75"/>
      <c r="K212" s="75"/>
      <c r="L212" s="85">
        <v>5.0312703700000003E-2</v>
      </c>
      <c r="M212" s="1"/>
      <c r="N212" s="1"/>
      <c r="O212" s="1"/>
      <c r="P212" s="1"/>
      <c r="Q212" s="1"/>
      <c r="R212" s="1"/>
      <c r="S212" s="1"/>
      <c r="T212" s="1"/>
      <c r="U212" s="1"/>
      <c r="V212" s="1"/>
      <c r="W212" s="1"/>
      <c r="X212" s="1"/>
      <c r="Y212" s="1"/>
      <c r="Z212" s="1"/>
    </row>
    <row r="213" spans="1:26" ht="19.5" customHeight="1">
      <c r="A213" s="2"/>
      <c r="B213" s="113">
        <f t="array" ref="B213">$B214-1</f>
        <v>1952</v>
      </c>
      <c r="C213" s="56">
        <f t="array" ref="C213">H213+I213</f>
        <v>0</v>
      </c>
      <c r="D213" s="75"/>
      <c r="E213" s="75"/>
      <c r="F213" s="57">
        <f t="array" ref="F213">J213-D213</f>
        <v>0</v>
      </c>
      <c r="G213" s="57">
        <f t="array" ref="G213">K213-E213</f>
        <v>0</v>
      </c>
      <c r="H213" s="56">
        <f t="array" ref="H213">E213+D213</f>
        <v>0</v>
      </c>
      <c r="I213" s="56">
        <f t="array" ref="I213">G213+F213</f>
        <v>0</v>
      </c>
      <c r="J213" s="75"/>
      <c r="K213" s="75"/>
      <c r="L213" s="85">
        <v>5.3489324599999999E-2</v>
      </c>
      <c r="M213" s="1"/>
      <c r="N213" s="1"/>
      <c r="O213" s="1"/>
      <c r="P213" s="1"/>
      <c r="Q213" s="1"/>
      <c r="R213" s="1"/>
      <c r="S213" s="1"/>
      <c r="T213" s="1"/>
      <c r="U213" s="1"/>
      <c r="V213" s="1"/>
      <c r="W213" s="1"/>
      <c r="X213" s="1"/>
      <c r="Y213" s="1"/>
      <c r="Z213" s="1"/>
    </row>
    <row r="214" spans="1:26" ht="19.5" customHeight="1">
      <c r="A214" s="2"/>
      <c r="B214" s="113">
        <f t="array" ref="B214">$B215-1</f>
        <v>1953</v>
      </c>
      <c r="C214" s="56">
        <f t="array" ref="C214">H214+I214</f>
        <v>0</v>
      </c>
      <c r="D214" s="75"/>
      <c r="E214" s="75"/>
      <c r="F214" s="57">
        <f t="array" ref="F214">J214-D214</f>
        <v>0</v>
      </c>
      <c r="G214" s="57">
        <f t="array" ref="G214">K214-E214</f>
        <v>0</v>
      </c>
      <c r="H214" s="56">
        <f t="array" ref="H214">E214+D214</f>
        <v>0</v>
      </c>
      <c r="I214" s="56">
        <f t="array" ref="I214">G214+F214</f>
        <v>0</v>
      </c>
      <c r="J214" s="75"/>
      <c r="K214" s="75"/>
      <c r="L214" s="85">
        <v>5.5717730600000001E-2</v>
      </c>
      <c r="M214" s="1"/>
      <c r="N214" s="1"/>
      <c r="O214" s="1"/>
      <c r="P214" s="1"/>
      <c r="Q214" s="1"/>
      <c r="R214" s="1"/>
      <c r="S214" s="1"/>
      <c r="T214" s="1"/>
      <c r="U214" s="1"/>
      <c r="V214" s="1"/>
      <c r="W214" s="1"/>
      <c r="X214" s="1"/>
      <c r="Y214" s="1"/>
      <c r="Z214" s="1"/>
    </row>
    <row r="215" spans="1:26" ht="19.5" customHeight="1">
      <c r="A215" s="2"/>
      <c r="B215" s="113">
        <f t="array" ref="B215">$B216-1</f>
        <v>1954</v>
      </c>
      <c r="C215" s="56">
        <f t="array" ref="C215">H215+I215</f>
        <v>0</v>
      </c>
      <c r="D215" s="75"/>
      <c r="E215" s="75"/>
      <c r="F215" s="57">
        <f t="array" ref="F215">J215-D215</f>
        <v>0</v>
      </c>
      <c r="G215" s="57">
        <f t="array" ref="G215">K215-E215</f>
        <v>0</v>
      </c>
      <c r="H215" s="56">
        <f t="array" ref="H215">E215+D215</f>
        <v>0</v>
      </c>
      <c r="I215" s="56">
        <f t="array" ref="I215">G215+F215</f>
        <v>0</v>
      </c>
      <c r="J215" s="75"/>
      <c r="K215" s="75"/>
      <c r="L215" s="85">
        <v>5.6866509599999997E-2</v>
      </c>
      <c r="M215" s="1"/>
      <c r="N215" s="1"/>
      <c r="O215" s="1"/>
      <c r="P215" s="1"/>
      <c r="Q215" s="1"/>
      <c r="R215" s="1"/>
      <c r="S215" s="1"/>
      <c r="T215" s="1"/>
      <c r="U215" s="1"/>
      <c r="V215" s="1"/>
      <c r="W215" s="1"/>
      <c r="X215" s="1"/>
      <c r="Y215" s="1"/>
      <c r="Z215" s="1"/>
    </row>
    <row r="216" spans="1:26" ht="19.5" customHeight="1">
      <c r="A216" s="2"/>
      <c r="B216" s="113">
        <f t="array" ref="B216">$B217-1</f>
        <v>1955</v>
      </c>
      <c r="C216" s="56">
        <f t="array" ref="C216">H216+I216</f>
        <v>0</v>
      </c>
      <c r="D216" s="75"/>
      <c r="E216" s="75"/>
      <c r="F216" s="57">
        <f t="array" ref="F216">J216-D216</f>
        <v>0</v>
      </c>
      <c r="G216" s="57">
        <f t="array" ref="G216">K216-E216</f>
        <v>0</v>
      </c>
      <c r="H216" s="56">
        <f t="array" ref="H216">E216+D216</f>
        <v>0</v>
      </c>
      <c r="I216" s="56">
        <f t="array" ref="I216">G216+F216</f>
        <v>0</v>
      </c>
      <c r="J216" s="75"/>
      <c r="K216" s="75"/>
      <c r="L216" s="85">
        <v>5.6866509599999997E-2</v>
      </c>
      <c r="M216" s="1"/>
      <c r="N216" s="1"/>
      <c r="O216" s="1"/>
      <c r="P216" s="1"/>
      <c r="Q216" s="1"/>
      <c r="R216" s="1"/>
      <c r="S216" s="1"/>
      <c r="T216" s="1"/>
      <c r="U216" s="1"/>
      <c r="V216" s="1"/>
      <c r="W216" s="1"/>
      <c r="X216" s="1"/>
      <c r="Y216" s="1"/>
      <c r="Z216" s="1"/>
    </row>
    <row r="217" spans="1:26" ht="19.5" customHeight="1">
      <c r="A217" s="2"/>
      <c r="B217" s="113">
        <f t="array" ref="B217">$B218-1</f>
        <v>1956</v>
      </c>
      <c r="C217" s="56">
        <f t="array" ref="C217">H217+I217</f>
        <v>0</v>
      </c>
      <c r="D217" s="75"/>
      <c r="E217" s="75"/>
      <c r="F217" s="57">
        <f t="array" ref="F217">J217-D217</f>
        <v>0</v>
      </c>
      <c r="G217" s="57">
        <f t="array" ref="G217">K217-E217</f>
        <v>0</v>
      </c>
      <c r="H217" s="56">
        <f t="array" ref="H217">E217+D217</f>
        <v>0</v>
      </c>
      <c r="I217" s="56">
        <f t="array" ref="I217">G217+F217</f>
        <v>0</v>
      </c>
      <c r="J217" s="75"/>
      <c r="K217" s="75"/>
      <c r="L217" s="85">
        <v>5.5717730600000001E-2</v>
      </c>
      <c r="M217" s="1"/>
      <c r="N217" s="1"/>
      <c r="O217" s="1"/>
      <c r="P217" s="1"/>
      <c r="Q217" s="1"/>
      <c r="R217" s="1"/>
      <c r="S217" s="1"/>
      <c r="T217" s="1"/>
      <c r="U217" s="1"/>
      <c r="V217" s="1"/>
      <c r="W217" s="1"/>
      <c r="X217" s="1"/>
      <c r="Y217" s="1"/>
      <c r="Z217" s="1"/>
    </row>
    <row r="218" spans="1:26" ht="19.5" customHeight="1">
      <c r="A218" s="2"/>
      <c r="B218" s="113">
        <f t="array" ref="B218">$B219-1</f>
        <v>1957</v>
      </c>
      <c r="C218" s="56">
        <f t="array" ref="C218">H218+I218</f>
        <v>0</v>
      </c>
      <c r="D218" s="75"/>
      <c r="E218" s="75"/>
      <c r="F218" s="57">
        <f t="array" ref="F218">J218-D218</f>
        <v>0</v>
      </c>
      <c r="G218" s="57">
        <f t="array" ref="G218">K218-E218</f>
        <v>0</v>
      </c>
      <c r="H218" s="56">
        <f t="array" ref="H218">E218+D218</f>
        <v>0</v>
      </c>
      <c r="I218" s="56">
        <f t="array" ref="I218">G218+F218</f>
        <v>0</v>
      </c>
      <c r="J218" s="75"/>
      <c r="K218" s="75"/>
      <c r="L218" s="85">
        <v>5.3489324599999999E-2</v>
      </c>
      <c r="M218" s="1"/>
      <c r="N218" s="1"/>
      <c r="O218" s="1"/>
      <c r="P218" s="1"/>
      <c r="Q218" s="1"/>
      <c r="R218" s="1"/>
      <c r="S218" s="1"/>
      <c r="T218" s="1"/>
      <c r="U218" s="1"/>
      <c r="V218" s="1"/>
      <c r="W218" s="1"/>
      <c r="X218" s="1"/>
      <c r="Y218" s="1"/>
      <c r="Z218" s="1"/>
    </row>
    <row r="219" spans="1:26" ht="19.5" customHeight="1">
      <c r="A219" s="2"/>
      <c r="B219" s="113">
        <f t="array" ref="B219">$B220-1</f>
        <v>1958</v>
      </c>
      <c r="C219" s="56">
        <f t="array" ref="C219">H219+I219</f>
        <v>0</v>
      </c>
      <c r="D219" s="75"/>
      <c r="E219" s="75"/>
      <c r="F219" s="57">
        <f t="array" ref="F219">J219-D219</f>
        <v>0</v>
      </c>
      <c r="G219" s="57">
        <f t="array" ref="G219">K219-E219</f>
        <v>0</v>
      </c>
      <c r="H219" s="56">
        <f t="array" ref="H219">E219+D219</f>
        <v>0</v>
      </c>
      <c r="I219" s="56">
        <f t="array" ref="I219">G219+F219</f>
        <v>0</v>
      </c>
      <c r="J219" s="75"/>
      <c r="K219" s="75"/>
      <c r="L219" s="85">
        <v>5.0312703700000003E-2</v>
      </c>
      <c r="M219" s="1"/>
      <c r="N219" s="1"/>
      <c r="O219" s="1"/>
      <c r="P219" s="1"/>
      <c r="Q219" s="1"/>
      <c r="R219" s="1"/>
      <c r="S219" s="1"/>
      <c r="T219" s="1"/>
      <c r="U219" s="1"/>
      <c r="V219" s="1"/>
      <c r="W219" s="1"/>
      <c r="X219" s="1"/>
      <c r="Y219" s="1"/>
      <c r="Z219" s="1"/>
    </row>
    <row r="220" spans="1:26" ht="19.5" customHeight="1">
      <c r="A220" s="2"/>
      <c r="B220" s="113">
        <f t="array" ref="B220">$B221-1</f>
        <v>1959</v>
      </c>
      <c r="C220" s="56">
        <f t="array" ref="C220">H220+I220</f>
        <v>0</v>
      </c>
      <c r="D220" s="75"/>
      <c r="E220" s="75"/>
      <c r="F220" s="57">
        <f t="array" ref="F220">J220-D220</f>
        <v>0</v>
      </c>
      <c r="G220" s="57">
        <f t="array" ref="G220">K220-E220</f>
        <v>0</v>
      </c>
      <c r="H220" s="56">
        <f t="array" ref="H220">E220+D220</f>
        <v>0</v>
      </c>
      <c r="I220" s="56">
        <f t="array" ref="I220">G220+F220</f>
        <v>0</v>
      </c>
      <c r="J220" s="75"/>
      <c r="K220" s="75"/>
      <c r="L220" s="85">
        <v>4.6368713399999997E-2</v>
      </c>
      <c r="M220" s="1"/>
      <c r="N220" s="1"/>
      <c r="O220" s="1"/>
      <c r="P220" s="1"/>
      <c r="Q220" s="1"/>
      <c r="R220" s="1"/>
      <c r="S220" s="1"/>
      <c r="T220" s="1"/>
      <c r="U220" s="1"/>
      <c r="V220" s="1"/>
      <c r="W220" s="1"/>
      <c r="X220" s="1"/>
      <c r="Y220" s="1"/>
      <c r="Z220" s="1"/>
    </row>
    <row r="221" spans="1:26" ht="19.5" customHeight="1">
      <c r="A221" s="2"/>
      <c r="B221" s="113">
        <f t="array" ref="B221">$B222-1</f>
        <v>1960</v>
      </c>
      <c r="C221" s="56">
        <f t="array" ref="C221">H221+I221</f>
        <v>0</v>
      </c>
      <c r="D221" s="75"/>
      <c r="E221" s="75"/>
      <c r="F221" s="57">
        <f t="array" ref="F221">J221-D221</f>
        <v>0</v>
      </c>
      <c r="G221" s="57">
        <f t="array" ref="G221">K221-E221</f>
        <v>0</v>
      </c>
      <c r="H221" s="56">
        <f t="array" ref="H221">E221+D221</f>
        <v>0</v>
      </c>
      <c r="I221" s="56">
        <f t="array" ref="I221">G221+F221</f>
        <v>0</v>
      </c>
      <c r="J221" s="75"/>
      <c r="K221" s="75"/>
      <c r="L221" s="85">
        <v>4.1870609400000001E-2</v>
      </c>
      <c r="M221" s="1"/>
      <c r="N221" s="1"/>
      <c r="O221" s="1"/>
      <c r="P221" s="1"/>
      <c r="Q221" s="1"/>
      <c r="R221" s="1"/>
      <c r="S221" s="1"/>
      <c r="T221" s="1"/>
      <c r="U221" s="1"/>
      <c r="V221" s="1"/>
      <c r="W221" s="1"/>
      <c r="X221" s="1"/>
      <c r="Y221" s="1"/>
      <c r="Z221" s="1"/>
    </row>
    <row r="222" spans="1:26" ht="19.5" customHeight="1">
      <c r="A222" s="2"/>
      <c r="B222" s="113">
        <f t="array" ref="B222">$B223-1</f>
        <v>1961</v>
      </c>
      <c r="C222" s="56">
        <f t="array" ref="C222">H222+I222</f>
        <v>0</v>
      </c>
      <c r="D222" s="75"/>
      <c r="E222" s="75"/>
      <c r="F222" s="57">
        <f t="array" ref="F222">J222-D222</f>
        <v>0</v>
      </c>
      <c r="G222" s="57">
        <f t="array" ref="G222">K222-E222</f>
        <v>0</v>
      </c>
      <c r="H222" s="56">
        <f t="array" ref="H222">E222+D222</f>
        <v>0</v>
      </c>
      <c r="I222" s="56">
        <f t="array" ref="I222">G222+F222</f>
        <v>0</v>
      </c>
      <c r="J222" s="75"/>
      <c r="K222" s="75"/>
      <c r="L222" s="85">
        <v>3.70450654E-2</v>
      </c>
      <c r="M222" s="1"/>
      <c r="N222" s="1"/>
      <c r="O222" s="1"/>
      <c r="P222" s="1"/>
      <c r="Q222" s="1"/>
      <c r="R222" s="1"/>
      <c r="S222" s="1"/>
      <c r="T222" s="1"/>
      <c r="U222" s="1"/>
      <c r="V222" s="1"/>
      <c r="W222" s="1"/>
      <c r="X222" s="1"/>
      <c r="Y222" s="1"/>
      <c r="Z222" s="1"/>
    </row>
    <row r="223" spans="1:26" ht="19.5" customHeight="1">
      <c r="A223" s="2"/>
      <c r="B223" s="113">
        <f t="array" ref="B223">$B224-1</f>
        <v>1962</v>
      </c>
      <c r="C223" s="56">
        <f t="array" ref="C223">H223+I223</f>
        <v>0</v>
      </c>
      <c r="D223" s="75"/>
      <c r="E223" s="75"/>
      <c r="F223" s="57">
        <f t="array" ref="F223">J223-D223</f>
        <v>0</v>
      </c>
      <c r="G223" s="57">
        <f t="array" ref="G223">K223-E223</f>
        <v>0</v>
      </c>
      <c r="H223" s="56">
        <f t="array" ref="H223">E223+D223</f>
        <v>0</v>
      </c>
      <c r="I223" s="56">
        <f t="array" ref="I223">G223+F223</f>
        <v>0</v>
      </c>
      <c r="J223" s="75"/>
      <c r="K223" s="75"/>
      <c r="L223" s="85">
        <v>3.2113548499999998E-2</v>
      </c>
      <c r="M223" s="1"/>
      <c r="N223" s="1"/>
      <c r="O223" s="1"/>
      <c r="P223" s="1"/>
      <c r="Q223" s="1"/>
      <c r="R223" s="1"/>
      <c r="S223" s="1"/>
      <c r="T223" s="1"/>
      <c r="U223" s="1"/>
      <c r="V223" s="1"/>
      <c r="W223" s="1"/>
      <c r="X223" s="1"/>
      <c r="Y223" s="1"/>
      <c r="Z223" s="1"/>
    </row>
    <row r="224" spans="1:26" ht="19.5" customHeight="1">
      <c r="A224" s="2"/>
      <c r="B224" s="113">
        <f t="array" ref="B224">$B225-1</f>
        <v>1963</v>
      </c>
      <c r="C224" s="56">
        <f t="array" ref="C224">H224+I224</f>
        <v>0</v>
      </c>
      <c r="D224" s="75"/>
      <c r="E224" s="75"/>
      <c r="F224" s="57">
        <f t="array" ref="F224">J224-D224</f>
        <v>0</v>
      </c>
      <c r="G224" s="57">
        <f t="array" ref="G224">K224-E224</f>
        <v>0</v>
      </c>
      <c r="H224" s="56">
        <f t="array" ref="H224">E224+D224</f>
        <v>0</v>
      </c>
      <c r="I224" s="56">
        <f t="array" ref="I224">G224+F224</f>
        <v>0</v>
      </c>
      <c r="J224" s="75"/>
      <c r="K224" s="75"/>
      <c r="L224" s="85">
        <v>2.72761503E-2</v>
      </c>
      <c r="M224" s="1"/>
      <c r="N224" s="1"/>
      <c r="O224" s="1"/>
      <c r="P224" s="1"/>
      <c r="Q224" s="1"/>
      <c r="R224" s="1"/>
      <c r="S224" s="1"/>
      <c r="T224" s="1"/>
      <c r="U224" s="1"/>
      <c r="V224" s="1"/>
      <c r="W224" s="1"/>
      <c r="X224" s="1"/>
      <c r="Y224" s="1"/>
      <c r="Z224" s="1"/>
    </row>
    <row r="225" spans="1:26" ht="19.5" customHeight="1">
      <c r="A225" s="2"/>
      <c r="B225" s="113">
        <f t="array" ref="B225">$B226-1</f>
        <v>1964</v>
      </c>
      <c r="C225" s="56">
        <f t="array" ref="C225">H225+I225</f>
        <v>0</v>
      </c>
      <c r="D225" s="75"/>
      <c r="E225" s="75"/>
      <c r="F225" s="57">
        <f t="array" ref="F225">J225-D225</f>
        <v>0</v>
      </c>
      <c r="G225" s="57">
        <f t="array" ref="G225">K225-E225</f>
        <v>0</v>
      </c>
      <c r="H225" s="56">
        <f t="array" ref="H225">E225+D225</f>
        <v>0</v>
      </c>
      <c r="I225" s="56">
        <f t="array" ref="I225">G225+F225</f>
        <v>0</v>
      </c>
      <c r="J225" s="75"/>
      <c r="K225" s="75"/>
      <c r="L225" s="85">
        <v>2.2699416900000002E-2</v>
      </c>
      <c r="M225" s="1"/>
      <c r="N225" s="1"/>
      <c r="O225" s="1"/>
      <c r="P225" s="1"/>
      <c r="Q225" s="1"/>
      <c r="R225" s="1"/>
      <c r="S225" s="1"/>
      <c r="T225" s="1"/>
      <c r="U225" s="1"/>
      <c r="V225" s="1"/>
      <c r="W225" s="1"/>
      <c r="X225" s="1"/>
      <c r="Y225" s="1"/>
      <c r="Z225" s="1"/>
    </row>
    <row r="226" spans="1:26" ht="19.5" customHeight="1">
      <c r="A226" s="2"/>
      <c r="B226" s="113">
        <f t="array" ref="B226">$B227-1</f>
        <v>1965</v>
      </c>
      <c r="C226" s="56">
        <f t="array" ref="C226">H226+I226</f>
        <v>0</v>
      </c>
      <c r="D226" s="75"/>
      <c r="E226" s="75"/>
      <c r="F226" s="57">
        <f t="array" ref="F226">J226-D226</f>
        <v>0</v>
      </c>
      <c r="G226" s="57">
        <f t="array" ref="G226">K226-E226</f>
        <v>0</v>
      </c>
      <c r="H226" s="56">
        <f t="array" ref="H226">E226+D226</f>
        <v>0</v>
      </c>
      <c r="I226" s="56">
        <f t="array" ref="I226">G226+F226</f>
        <v>0</v>
      </c>
      <c r="J226" s="75"/>
      <c r="K226" s="75"/>
      <c r="L226" s="85">
        <v>1.85090093E-2</v>
      </c>
      <c r="M226" s="1"/>
      <c r="N226" s="1"/>
      <c r="O226" s="1"/>
      <c r="P226" s="1"/>
      <c r="Q226" s="1"/>
      <c r="R226" s="1"/>
      <c r="S226" s="1"/>
      <c r="T226" s="1"/>
      <c r="U226" s="1"/>
      <c r="V226" s="1"/>
      <c r="W226" s="1"/>
      <c r="X226" s="1"/>
      <c r="Y226" s="1"/>
      <c r="Z226" s="1"/>
    </row>
    <row r="227" spans="1:26" ht="19.5" customHeight="1">
      <c r="A227" s="2"/>
      <c r="B227" s="113">
        <f t="array" ref="B227">$B228-1</f>
        <v>1966</v>
      </c>
      <c r="C227" s="56">
        <f t="array" ref="C227">H227+I227</f>
        <v>0</v>
      </c>
      <c r="D227" s="75"/>
      <c r="E227" s="75"/>
      <c r="F227" s="57">
        <f t="array" ref="F227">J227-D227</f>
        <v>0</v>
      </c>
      <c r="G227" s="57">
        <f t="array" ref="G227">K227-E227</f>
        <v>0</v>
      </c>
      <c r="H227" s="56">
        <f t="array" ref="H227">E227+D227</f>
        <v>0</v>
      </c>
      <c r="I227" s="56">
        <f t="array" ref="I227">G227+F227</f>
        <v>0</v>
      </c>
      <c r="J227" s="75"/>
      <c r="K227" s="75"/>
      <c r="L227" s="85">
        <v>1.4787286700000001E-2</v>
      </c>
      <c r="M227" s="1"/>
      <c r="N227" s="1"/>
      <c r="O227" s="1"/>
      <c r="P227" s="1"/>
      <c r="Q227" s="1"/>
      <c r="R227" s="1"/>
      <c r="S227" s="1"/>
      <c r="T227" s="1"/>
      <c r="U227" s="1"/>
      <c r="V227" s="1"/>
      <c r="W227" s="1"/>
      <c r="X227" s="1"/>
      <c r="Y227" s="1"/>
      <c r="Z227" s="1"/>
    </row>
    <row r="228" spans="1:26" ht="19.5" customHeight="1">
      <c r="A228" s="2"/>
      <c r="B228" s="113">
        <f t="array" ref="B228">$B229-1</f>
        <v>1967</v>
      </c>
      <c r="C228" s="56">
        <f t="array" ref="C228">H228+I228</f>
        <v>0</v>
      </c>
      <c r="D228" s="75"/>
      <c r="E228" s="75"/>
      <c r="F228" s="57">
        <f t="array" ref="F228">J228-D228</f>
        <v>0</v>
      </c>
      <c r="G228" s="57">
        <f t="array" ref="G228">K228-E228</f>
        <v>0</v>
      </c>
      <c r="H228" s="56">
        <f t="array" ref="H228">E228+D228</f>
        <v>0</v>
      </c>
      <c r="I228" s="56">
        <f t="array" ref="I228">G228+F228</f>
        <v>0</v>
      </c>
      <c r="J228" s="75"/>
      <c r="K228" s="75"/>
      <c r="L228" s="85">
        <v>1.15752575E-2</v>
      </c>
      <c r="M228" s="1"/>
      <c r="N228" s="1"/>
      <c r="O228" s="1"/>
      <c r="P228" s="1"/>
      <c r="Q228" s="1"/>
      <c r="R228" s="1"/>
      <c r="S228" s="1"/>
      <c r="T228" s="1"/>
      <c r="U228" s="1"/>
      <c r="V228" s="1"/>
      <c r="W228" s="1"/>
      <c r="X228" s="1"/>
      <c r="Y228" s="1"/>
      <c r="Z228" s="1"/>
    </row>
    <row r="229" spans="1:26" ht="19.5" customHeight="1">
      <c r="A229" s="2"/>
      <c r="B229" s="113">
        <f t="array" ref="B229">$B230-1</f>
        <v>1968</v>
      </c>
      <c r="C229" s="56">
        <f t="array" ref="C229">H229+I229</f>
        <v>0</v>
      </c>
      <c r="D229" s="75"/>
      <c r="E229" s="75"/>
      <c r="F229" s="57">
        <f t="array" ref="F229">J229-D229</f>
        <v>0</v>
      </c>
      <c r="G229" s="57">
        <f t="array" ref="G229">K229-E229</f>
        <v>0</v>
      </c>
      <c r="H229" s="56">
        <f t="array" ref="H229">E229+D229</f>
        <v>0</v>
      </c>
      <c r="I229" s="56">
        <f t="array" ref="I229">G229+F229</f>
        <v>0</v>
      </c>
      <c r="J229" s="75"/>
      <c r="K229" s="75"/>
      <c r="L229" s="85">
        <v>8.8778882999999992E-3</v>
      </c>
      <c r="M229" s="1"/>
      <c r="N229" s="1"/>
      <c r="O229" s="1"/>
      <c r="P229" s="1"/>
      <c r="Q229" s="1"/>
      <c r="R229" s="1"/>
      <c r="S229" s="1"/>
      <c r="T229" s="1"/>
      <c r="U229" s="1"/>
      <c r="V229" s="1"/>
      <c r="W229" s="1"/>
      <c r="X229" s="1"/>
      <c r="Y229" s="1"/>
      <c r="Z229" s="1"/>
    </row>
    <row r="230" spans="1:26" ht="19.5" customHeight="1">
      <c r="A230" s="2"/>
      <c r="B230" s="113">
        <f t="array" ref="B230">$B231-1</f>
        <v>1969</v>
      </c>
      <c r="C230" s="56">
        <f t="array" ref="C230">H230+I230</f>
        <v>0</v>
      </c>
      <c r="D230" s="75"/>
      <c r="E230" s="75"/>
      <c r="F230" s="57">
        <f t="array" ref="F230">J230-D230</f>
        <v>0</v>
      </c>
      <c r="G230" s="57">
        <f t="array" ref="G230">K230-E230</f>
        <v>0</v>
      </c>
      <c r="H230" s="56">
        <f t="array" ref="H230">E230+D230</f>
        <v>0</v>
      </c>
      <c r="I230" s="56">
        <f t="array" ref="I230">G230+F230</f>
        <v>0</v>
      </c>
      <c r="J230" s="75"/>
      <c r="K230" s="75"/>
      <c r="L230" s="85">
        <v>6.6715315000000002E-3</v>
      </c>
      <c r="M230" s="1"/>
      <c r="N230" s="1"/>
      <c r="O230" s="1"/>
      <c r="P230" s="1"/>
      <c r="Q230" s="1"/>
      <c r="R230" s="1"/>
      <c r="S230" s="1"/>
      <c r="T230" s="1"/>
      <c r="U230" s="1"/>
      <c r="V230" s="1"/>
      <c r="W230" s="1"/>
      <c r="X230" s="1"/>
      <c r="Y230" s="1"/>
      <c r="Z230" s="1"/>
    </row>
    <row r="231" spans="1:26" ht="19.5" customHeight="1">
      <c r="A231" s="2"/>
      <c r="B231" s="113">
        <f t="array" ref="B231">$B232-1</f>
        <v>1970</v>
      </c>
      <c r="C231" s="56">
        <f t="array" ref="C231">H231+I231</f>
        <v>0</v>
      </c>
      <c r="D231" s="75"/>
      <c r="E231" s="75"/>
      <c r="F231" s="57">
        <f t="array" ref="F231">J231-D231</f>
        <v>0</v>
      </c>
      <c r="G231" s="57">
        <f t="array" ref="G231">K231-E231</f>
        <v>0</v>
      </c>
      <c r="H231" s="56">
        <f t="array" ref="H231">E231+D231</f>
        <v>0</v>
      </c>
      <c r="I231" s="56">
        <f t="array" ref="I231">G231+F231</f>
        <v>0</v>
      </c>
      <c r="J231" s="75"/>
      <c r="K231" s="75"/>
      <c r="L231" s="85">
        <v>4.9122250000000001E-3</v>
      </c>
      <c r="M231" s="1"/>
      <c r="N231" s="1"/>
      <c r="O231" s="1"/>
      <c r="P231" s="1"/>
      <c r="Q231" s="1"/>
      <c r="R231" s="1"/>
      <c r="S231" s="1"/>
      <c r="T231" s="1"/>
      <c r="U231" s="1"/>
      <c r="V231" s="1"/>
      <c r="W231" s="1"/>
      <c r="X231" s="1"/>
      <c r="Y231" s="1"/>
      <c r="Z231" s="1"/>
    </row>
    <row r="232" spans="1:26" ht="19.5" customHeight="1">
      <c r="A232" s="2"/>
      <c r="B232" s="113">
        <f t="array" ref="B232">$B233-1</f>
        <v>1971</v>
      </c>
      <c r="C232" s="56">
        <f t="array" ref="C232">H232+I232</f>
        <v>0</v>
      </c>
      <c r="D232" s="75"/>
      <c r="E232" s="75"/>
      <c r="F232" s="57">
        <f t="array" ref="F232">J232-D232</f>
        <v>0</v>
      </c>
      <c r="G232" s="57">
        <f t="array" ref="G232">K232-E232</f>
        <v>0</v>
      </c>
      <c r="H232" s="56">
        <f t="array" ref="H232">E232+D232</f>
        <v>0</v>
      </c>
      <c r="I232" s="56">
        <f t="array" ref="I232">G232+F232</f>
        <v>0</v>
      </c>
      <c r="J232" s="75"/>
      <c r="K232" s="75"/>
      <c r="L232" s="85">
        <v>3.5437886000000002E-3</v>
      </c>
      <c r="M232" s="1"/>
      <c r="N232" s="1"/>
      <c r="O232" s="1"/>
      <c r="P232" s="1"/>
      <c r="Q232" s="1"/>
      <c r="R232" s="1"/>
      <c r="S232" s="1"/>
      <c r="T232" s="1"/>
      <c r="U232" s="1"/>
      <c r="V232" s="1"/>
      <c r="W232" s="1"/>
      <c r="X232" s="1"/>
      <c r="Y232" s="1"/>
      <c r="Z232" s="1"/>
    </row>
    <row r="233" spans="1:26" ht="19.5" customHeight="1">
      <c r="A233" s="2"/>
      <c r="B233" s="113">
        <f t="array" ref="B233">$B234-1</f>
        <v>1972</v>
      </c>
      <c r="C233" s="56">
        <f t="array" ref="C233">H233+I233</f>
        <v>0</v>
      </c>
      <c r="D233" s="75"/>
      <c r="E233" s="75"/>
      <c r="F233" s="57">
        <f t="array" ref="F233">J233-D233</f>
        <v>0</v>
      </c>
      <c r="G233" s="57">
        <f t="array" ref="G233">K233-E233</f>
        <v>0</v>
      </c>
      <c r="H233" s="56">
        <f t="array" ref="H233">E233+D233</f>
        <v>0</v>
      </c>
      <c r="I233" s="56">
        <f t="array" ref="I233">G233+F233</f>
        <v>0</v>
      </c>
      <c r="J233" s="75"/>
      <c r="K233" s="75"/>
      <c r="L233" s="85">
        <v>2.5049220000000001E-3</v>
      </c>
      <c r="M233" s="1"/>
      <c r="N233" s="1"/>
      <c r="O233" s="1"/>
      <c r="P233" s="1"/>
      <c r="Q233" s="1"/>
      <c r="R233" s="1"/>
      <c r="S233" s="1"/>
      <c r="T233" s="1"/>
      <c r="U233" s="1"/>
      <c r="V233" s="1"/>
      <c r="W233" s="1"/>
      <c r="X233" s="1"/>
      <c r="Y233" s="1"/>
      <c r="Z233" s="1"/>
    </row>
    <row r="234" spans="1:26" ht="19.5" customHeight="1">
      <c r="A234" s="2"/>
      <c r="B234" s="113">
        <f t="array" ref="B234">$B235-1</f>
        <v>1973</v>
      </c>
      <c r="C234" s="56">
        <f t="array" ref="C234">H234+I234</f>
        <v>0</v>
      </c>
      <c r="D234" s="75"/>
      <c r="E234" s="75"/>
      <c r="F234" s="57">
        <f t="array" ref="F234">J234-D234</f>
        <v>0</v>
      </c>
      <c r="G234" s="57">
        <f t="array" ref="G234">K234-E234</f>
        <v>0</v>
      </c>
      <c r="H234" s="56">
        <f t="array" ref="H234">E234+D234</f>
        <v>0</v>
      </c>
      <c r="I234" s="56">
        <f t="array" ref="I234">G234+F234</f>
        <v>0</v>
      </c>
      <c r="J234" s="75"/>
      <c r="K234" s="75"/>
      <c r="L234" s="85">
        <v>1.7348322E-3</v>
      </c>
      <c r="M234" s="1"/>
      <c r="N234" s="1"/>
      <c r="O234" s="1"/>
      <c r="P234" s="1"/>
      <c r="Q234" s="1"/>
      <c r="R234" s="1"/>
      <c r="S234" s="1"/>
      <c r="T234" s="1"/>
      <c r="U234" s="1"/>
      <c r="V234" s="1"/>
      <c r="W234" s="1"/>
      <c r="X234" s="1"/>
      <c r="Y234" s="1"/>
      <c r="Z234" s="1"/>
    </row>
    <row r="235" spans="1:26" ht="19.5" customHeight="1">
      <c r="A235" s="2"/>
      <c r="B235" s="113">
        <f t="array" ref="B235">$B236-1</f>
        <v>1974</v>
      </c>
      <c r="C235" s="56">
        <f t="array" ref="C235">H235+I235</f>
        <v>0</v>
      </c>
      <c r="D235" s="75"/>
      <c r="E235" s="75"/>
      <c r="F235" s="57">
        <f t="array" ref="F235">J235-D235</f>
        <v>0</v>
      </c>
      <c r="G235" s="57">
        <f t="array" ref="G235">K235-E235</f>
        <v>0</v>
      </c>
      <c r="H235" s="56">
        <f t="array" ref="H235">E235+D235</f>
        <v>0</v>
      </c>
      <c r="I235" s="56">
        <f t="array" ref="I235">G235+F235</f>
        <v>0</v>
      </c>
      <c r="J235" s="75"/>
      <c r="K235" s="75"/>
      <c r="L235" s="85">
        <v>1.1772198E-3</v>
      </c>
      <c r="M235" s="1"/>
      <c r="N235" s="1"/>
      <c r="O235" s="1"/>
      <c r="P235" s="1"/>
      <c r="Q235" s="1"/>
      <c r="R235" s="1"/>
      <c r="S235" s="1"/>
      <c r="T235" s="1"/>
      <c r="U235" s="1"/>
      <c r="V235" s="1"/>
      <c r="W235" s="1"/>
      <c r="X235" s="1"/>
      <c r="Y235" s="1"/>
      <c r="Z235" s="1"/>
    </row>
    <row r="236" spans="1:26" ht="19.5" customHeight="1">
      <c r="A236" s="2"/>
      <c r="B236" s="113">
        <f t="array" ref="B236">$B237-1</f>
        <v>1975</v>
      </c>
      <c r="C236" s="56">
        <f t="array" ref="C236">H236+I236</f>
        <v>0</v>
      </c>
      <c r="D236" s="75"/>
      <c r="E236" s="75"/>
      <c r="F236" s="57">
        <f t="array" ref="F236">J236-D236</f>
        <v>0</v>
      </c>
      <c r="G236" s="57">
        <f t="array" ref="G236">K236-E236</f>
        <v>0</v>
      </c>
      <c r="H236" s="56">
        <f t="array" ref="H236">E236+D236</f>
        <v>0</v>
      </c>
      <c r="I236" s="56">
        <f t="array" ref="I236">G236+F236</f>
        <v>0</v>
      </c>
      <c r="J236" s="75"/>
      <c r="K236" s="75"/>
      <c r="L236" s="85">
        <v>7.8269850000000003E-4</v>
      </c>
      <c r="M236" s="1"/>
      <c r="N236" s="1"/>
      <c r="O236" s="1"/>
      <c r="P236" s="1"/>
      <c r="Q236" s="1"/>
      <c r="R236" s="1"/>
      <c r="S236" s="1"/>
      <c r="T236" s="1"/>
      <c r="U236" s="1"/>
      <c r="V236" s="1"/>
      <c r="W236" s="1"/>
      <c r="X236" s="1"/>
      <c r="Y236" s="1"/>
      <c r="Z236" s="1"/>
    </row>
    <row r="237" spans="1:26" ht="19.5" customHeight="1">
      <c r="A237" s="2"/>
      <c r="B237" s="113">
        <f t="array" ref="B237">$B238-1</f>
        <v>1976</v>
      </c>
      <c r="C237" s="56">
        <f t="array" ref="C237">H237+I237</f>
        <v>0</v>
      </c>
      <c r="D237" s="75"/>
      <c r="E237" s="75"/>
      <c r="F237" s="57">
        <f t="array" ref="F237">J237-D237</f>
        <v>0</v>
      </c>
      <c r="G237" s="57">
        <f t="array" ref="G237">K237-E237</f>
        <v>0</v>
      </c>
      <c r="H237" s="56">
        <f t="array" ref="H237">E237+D237</f>
        <v>0</v>
      </c>
      <c r="I237" s="56">
        <f t="array" ref="I237">G237+F237</f>
        <v>0</v>
      </c>
      <c r="J237" s="75"/>
      <c r="K237" s="75"/>
      <c r="L237" s="85">
        <v>5.0988040000000002E-4</v>
      </c>
      <c r="M237" s="1"/>
      <c r="N237" s="1"/>
      <c r="O237" s="1"/>
      <c r="P237" s="1"/>
      <c r="Q237" s="1"/>
      <c r="R237" s="1"/>
      <c r="S237" s="1"/>
      <c r="T237" s="1"/>
      <c r="U237" s="1"/>
      <c r="V237" s="1"/>
      <c r="W237" s="1"/>
      <c r="X237" s="1"/>
      <c r="Y237" s="1"/>
      <c r="Z237" s="1"/>
    </row>
    <row r="238" spans="1:26" ht="19.5" customHeight="1">
      <c r="A238" s="2"/>
      <c r="B238" s="113">
        <f t="array" ref="B238">$B239-1</f>
        <v>1977</v>
      </c>
      <c r="C238" s="56">
        <f t="array" ref="C238">H238+I238</f>
        <v>0</v>
      </c>
      <c r="D238" s="75"/>
      <c r="E238" s="75"/>
      <c r="F238" s="57">
        <f t="array" ref="F238">J238-D238</f>
        <v>0</v>
      </c>
      <c r="G238" s="57">
        <f t="array" ref="G238">K238-E238</f>
        <v>0</v>
      </c>
      <c r="H238" s="56">
        <f t="array" ref="H238">E238+D238</f>
        <v>0</v>
      </c>
      <c r="I238" s="56">
        <f t="array" ref="I238">G238+F238</f>
        <v>0</v>
      </c>
      <c r="J238" s="75"/>
      <c r="K238" s="75"/>
      <c r="L238" s="85">
        <v>3.2544600000000001E-4</v>
      </c>
      <c r="M238" s="1"/>
      <c r="N238" s="1"/>
      <c r="O238" s="1"/>
      <c r="P238" s="1"/>
      <c r="Q238" s="1"/>
      <c r="R238" s="1"/>
      <c r="S238" s="1"/>
      <c r="T238" s="1"/>
      <c r="U238" s="1"/>
      <c r="V238" s="1"/>
      <c r="W238" s="1"/>
      <c r="X238" s="1"/>
      <c r="Y238" s="1"/>
      <c r="Z238" s="1"/>
    </row>
    <row r="239" spans="1:26" ht="19.5" customHeight="1">
      <c r="A239" s="2"/>
      <c r="B239" s="113">
        <f t="array" ref="B239">$B240-1</f>
        <v>1978</v>
      </c>
      <c r="C239" s="56">
        <f t="array" ref="C239">H239+I239</f>
        <v>0</v>
      </c>
      <c r="D239" s="75"/>
      <c r="E239" s="75"/>
      <c r="F239" s="57">
        <f t="array" ref="F239">J239-D239</f>
        <v>0</v>
      </c>
      <c r="G239" s="57">
        <f t="array" ref="G239">K239-E239</f>
        <v>0</v>
      </c>
      <c r="H239" s="56">
        <f t="array" ref="H239">E239+D239</f>
        <v>0</v>
      </c>
      <c r="I239" s="56">
        <f t="array" ref="I239">G239+F239</f>
        <v>0</v>
      </c>
      <c r="J239" s="75"/>
      <c r="K239" s="75"/>
      <c r="L239" s="85">
        <v>2.0352909999999999E-4</v>
      </c>
      <c r="M239" s="1"/>
      <c r="N239" s="1"/>
      <c r="O239" s="1"/>
      <c r="P239" s="1"/>
      <c r="Q239" s="1"/>
      <c r="R239" s="1"/>
      <c r="S239" s="1"/>
      <c r="T239" s="1"/>
      <c r="U239" s="1"/>
      <c r="V239" s="1"/>
      <c r="W239" s="1"/>
      <c r="X239" s="1"/>
      <c r="Y239" s="1"/>
      <c r="Z239" s="1"/>
    </row>
    <row r="240" spans="1:26" ht="19.5" customHeight="1">
      <c r="A240" s="2"/>
      <c r="B240" s="113">
        <f t="array" ref="B240">$B241-1</f>
        <v>1979</v>
      </c>
      <c r="C240" s="56">
        <f t="array" ref="C240">H240+I240</f>
        <v>0</v>
      </c>
      <c r="D240" s="75"/>
      <c r="E240" s="75"/>
      <c r="F240" s="57">
        <f t="array" ref="F240">J240-D240</f>
        <v>0</v>
      </c>
      <c r="G240" s="57">
        <f t="array" ref="G240">K240-E240</f>
        <v>0</v>
      </c>
      <c r="H240" s="56">
        <f t="array" ref="H240">E240+D240</f>
        <v>0</v>
      </c>
      <c r="I240" s="56">
        <f t="array" ref="I240">G240+F240</f>
        <v>0</v>
      </c>
      <c r="J240" s="75"/>
      <c r="K240" s="75"/>
      <c r="L240" s="85">
        <v>1.2471269999999999E-4</v>
      </c>
      <c r="M240" s="1"/>
      <c r="N240" s="1"/>
      <c r="O240" s="1"/>
      <c r="P240" s="1"/>
      <c r="Q240" s="1"/>
      <c r="R240" s="1"/>
      <c r="S240" s="1"/>
      <c r="T240" s="1"/>
      <c r="U240" s="1"/>
      <c r="V240" s="1"/>
      <c r="W240" s="1"/>
      <c r="X240" s="1"/>
      <c r="Y240" s="1"/>
      <c r="Z240" s="1"/>
    </row>
    <row r="241" spans="1:26" ht="19.5" customHeight="1">
      <c r="A241" s="2"/>
      <c r="B241" s="113">
        <f t="array" ref="B241">$B242-1</f>
        <v>1980</v>
      </c>
      <c r="C241" s="56">
        <f t="array" ref="C241">H241+I241</f>
        <v>0</v>
      </c>
      <c r="D241" s="75"/>
      <c r="E241" s="75"/>
      <c r="F241" s="57">
        <f t="array" ref="F241">J241-D241</f>
        <v>0</v>
      </c>
      <c r="G241" s="57">
        <f t="array" ref="G241">K241-E241</f>
        <v>0</v>
      </c>
      <c r="H241" s="56">
        <f t="array" ref="H241">E241+D241</f>
        <v>0</v>
      </c>
      <c r="I241" s="56">
        <f t="array" ref="I241">G241+F241</f>
        <v>0</v>
      </c>
      <c r="J241" s="75"/>
      <c r="K241" s="75"/>
      <c r="L241" s="85"/>
      <c r="M241" s="1"/>
      <c r="N241" s="1"/>
      <c r="O241" s="1"/>
      <c r="P241" s="1"/>
      <c r="Q241" s="1"/>
      <c r="R241" s="1"/>
      <c r="S241" s="1"/>
      <c r="T241" s="1"/>
      <c r="U241" s="1"/>
      <c r="V241" s="1"/>
      <c r="W241" s="1"/>
      <c r="X241" s="1"/>
      <c r="Y241" s="1"/>
      <c r="Z241" s="1"/>
    </row>
    <row r="242" spans="1:26" ht="19.5" customHeight="1">
      <c r="A242" s="2"/>
      <c r="B242" s="113">
        <f t="array" ref="B242">$B243-1</f>
        <v>1981</v>
      </c>
      <c r="C242" s="56">
        <f t="array" ref="C242">H242+I242</f>
        <v>0</v>
      </c>
      <c r="D242" s="75"/>
      <c r="E242" s="75"/>
      <c r="F242" s="57">
        <f t="array" ref="F242">J242-D242</f>
        <v>0</v>
      </c>
      <c r="G242" s="57">
        <f t="array" ref="G242">K242-E242</f>
        <v>0</v>
      </c>
      <c r="H242" s="56">
        <f t="array" ref="H242">E242+D242</f>
        <v>0</v>
      </c>
      <c r="I242" s="56">
        <f t="array" ref="I242">G242+F242</f>
        <v>0</v>
      </c>
      <c r="J242" s="75"/>
      <c r="K242" s="75"/>
      <c r="L242" s="85"/>
      <c r="M242" s="1"/>
      <c r="N242" s="1"/>
      <c r="O242" s="1"/>
      <c r="P242" s="1"/>
      <c r="Q242" s="1"/>
      <c r="R242" s="1"/>
      <c r="S242" s="1"/>
      <c r="T242" s="1"/>
      <c r="U242" s="1"/>
      <c r="V242" s="1"/>
      <c r="W242" s="1"/>
      <c r="X242" s="1"/>
      <c r="Y242" s="1"/>
      <c r="Z242" s="1"/>
    </row>
    <row r="243" spans="1:26" ht="19.5" customHeight="1">
      <c r="A243" s="2"/>
      <c r="B243" s="113">
        <f t="array" ref="B243">$B244-1</f>
        <v>1982</v>
      </c>
      <c r="C243" s="56">
        <f t="array" ref="C243">H243+I243</f>
        <v>0</v>
      </c>
      <c r="D243" s="75"/>
      <c r="E243" s="75"/>
      <c r="F243" s="57">
        <f t="array" ref="F243">J243-D243</f>
        <v>0</v>
      </c>
      <c r="G243" s="57">
        <f t="array" ref="G243">K243-E243</f>
        <v>0</v>
      </c>
      <c r="H243" s="56">
        <f t="array" ref="H243">E243+D243</f>
        <v>0</v>
      </c>
      <c r="I243" s="56">
        <f t="array" ref="I243">G243+F243</f>
        <v>0</v>
      </c>
      <c r="J243" s="75"/>
      <c r="K243" s="75"/>
      <c r="L243" s="85"/>
      <c r="M243" s="1"/>
      <c r="N243" s="1"/>
      <c r="O243" s="1"/>
      <c r="P243" s="1"/>
      <c r="Q243" s="1"/>
      <c r="R243" s="1"/>
      <c r="S243" s="1"/>
      <c r="T243" s="1"/>
      <c r="U243" s="1"/>
      <c r="V243" s="1"/>
      <c r="W243" s="1"/>
      <c r="X243" s="1"/>
      <c r="Y243" s="1"/>
      <c r="Z243" s="1"/>
    </row>
    <row r="244" spans="1:26" ht="19.5" customHeight="1">
      <c r="A244" s="2"/>
      <c r="B244" s="113">
        <f t="array" ref="B244">$B245-1</f>
        <v>1983</v>
      </c>
      <c r="C244" s="56">
        <f t="array" ref="C244">H244+I244</f>
        <v>0</v>
      </c>
      <c r="D244" s="75"/>
      <c r="E244" s="75"/>
      <c r="F244" s="57">
        <f t="array" ref="F244">J244-D244</f>
        <v>0</v>
      </c>
      <c r="G244" s="57">
        <f t="array" ref="G244">K244-E244</f>
        <v>0</v>
      </c>
      <c r="H244" s="56">
        <f t="array" ref="H244">E244+D244</f>
        <v>0</v>
      </c>
      <c r="I244" s="56">
        <f t="array" ref="I244">G244+F244</f>
        <v>0</v>
      </c>
      <c r="J244" s="75"/>
      <c r="K244" s="75"/>
      <c r="L244" s="85"/>
      <c r="M244" s="1"/>
      <c r="N244" s="1"/>
      <c r="O244" s="1"/>
      <c r="P244" s="1"/>
      <c r="Q244" s="1"/>
      <c r="R244" s="1"/>
      <c r="S244" s="1"/>
      <c r="T244" s="1"/>
      <c r="U244" s="1"/>
      <c r="V244" s="1"/>
      <c r="W244" s="1"/>
      <c r="X244" s="1"/>
      <c r="Y244" s="1"/>
      <c r="Z244" s="1"/>
    </row>
    <row r="245" spans="1:26" ht="19.5" customHeight="1">
      <c r="A245" s="2"/>
      <c r="B245" s="113">
        <f t="array" ref="B245">$B246-1</f>
        <v>1984</v>
      </c>
      <c r="C245" s="56">
        <f t="array" ref="C245">H245+I245</f>
        <v>0</v>
      </c>
      <c r="D245" s="75"/>
      <c r="E245" s="75"/>
      <c r="F245" s="57">
        <f t="array" ref="F245">J245-D245</f>
        <v>0</v>
      </c>
      <c r="G245" s="57">
        <f t="array" ref="G245">K245-E245</f>
        <v>0</v>
      </c>
      <c r="H245" s="56">
        <f t="array" ref="H245">E245+D245</f>
        <v>0</v>
      </c>
      <c r="I245" s="56">
        <f t="array" ref="I245">G245+F245</f>
        <v>0</v>
      </c>
      <c r="J245" s="75"/>
      <c r="K245" s="75"/>
      <c r="L245" s="85"/>
      <c r="M245" s="1"/>
      <c r="N245" s="1"/>
      <c r="O245" s="1"/>
      <c r="P245" s="1"/>
      <c r="Q245" s="1"/>
      <c r="R245" s="1"/>
      <c r="S245" s="1"/>
      <c r="T245" s="1"/>
      <c r="U245" s="1"/>
      <c r="V245" s="1"/>
      <c r="W245" s="1"/>
      <c r="X245" s="1"/>
      <c r="Y245" s="1"/>
      <c r="Z245" s="1"/>
    </row>
    <row r="246" spans="1:26" ht="19.5" customHeight="1">
      <c r="A246" s="2"/>
      <c r="B246" s="113">
        <f t="array" ref="B246">$B247-1</f>
        <v>1985</v>
      </c>
      <c r="C246" s="56">
        <f t="array" ref="C246">H246+I246</f>
        <v>0</v>
      </c>
      <c r="D246" s="75"/>
      <c r="E246" s="75"/>
      <c r="F246" s="57">
        <f t="array" ref="F246">J246-D246</f>
        <v>0</v>
      </c>
      <c r="G246" s="57">
        <f t="array" ref="G246">K246-E246</f>
        <v>0</v>
      </c>
      <c r="H246" s="56">
        <f t="array" ref="H246">E246+D246</f>
        <v>0</v>
      </c>
      <c r="I246" s="56">
        <f t="array" ref="I246">G246+F246</f>
        <v>0</v>
      </c>
      <c r="J246" s="75"/>
      <c r="K246" s="75"/>
      <c r="L246" s="85"/>
      <c r="M246" s="1"/>
      <c r="N246" s="1"/>
      <c r="O246" s="1"/>
      <c r="P246" s="1"/>
      <c r="Q246" s="1"/>
      <c r="R246" s="1"/>
      <c r="S246" s="1"/>
      <c r="T246" s="1"/>
      <c r="U246" s="1"/>
      <c r="V246" s="1"/>
      <c r="W246" s="1"/>
      <c r="X246" s="1"/>
      <c r="Y246" s="1"/>
      <c r="Z246" s="1"/>
    </row>
    <row r="247" spans="1:26" ht="19.5" customHeight="1">
      <c r="A247" s="2"/>
      <c r="B247" s="113">
        <f t="array" ref="B247">$B248-1</f>
        <v>1986</v>
      </c>
      <c r="C247" s="56">
        <f t="array" ref="C247">H247+I247</f>
        <v>0</v>
      </c>
      <c r="D247" s="75"/>
      <c r="E247" s="75"/>
      <c r="F247" s="57">
        <f t="array" ref="F247">J247-D247</f>
        <v>0</v>
      </c>
      <c r="G247" s="57">
        <f t="array" ref="G247">K247-E247</f>
        <v>0</v>
      </c>
      <c r="H247" s="56">
        <f t="array" ref="H247">E247+D247</f>
        <v>0</v>
      </c>
      <c r="I247" s="56">
        <f t="array" ref="I247">G247+F247</f>
        <v>0</v>
      </c>
      <c r="J247" s="75"/>
      <c r="K247" s="75"/>
      <c r="L247" s="85"/>
      <c r="M247" s="1"/>
      <c r="N247" s="1"/>
      <c r="O247" s="1"/>
      <c r="P247" s="1"/>
      <c r="Q247" s="1"/>
      <c r="R247" s="1"/>
      <c r="S247" s="1"/>
      <c r="T247" s="1"/>
      <c r="U247" s="1"/>
      <c r="V247" s="1"/>
      <c r="W247" s="1"/>
      <c r="X247" s="1"/>
      <c r="Y247" s="1"/>
      <c r="Z247" s="1"/>
    </row>
    <row r="248" spans="1:26" ht="19.5" customHeight="1">
      <c r="A248" s="2"/>
      <c r="B248" s="113">
        <f t="array" ref="B248">$B249-1</f>
        <v>1987</v>
      </c>
      <c r="C248" s="56">
        <f t="array" ref="C248">H248+I248</f>
        <v>0</v>
      </c>
      <c r="D248" s="75"/>
      <c r="E248" s="75"/>
      <c r="F248" s="57">
        <f t="array" ref="F248">J248-D248</f>
        <v>0</v>
      </c>
      <c r="G248" s="57">
        <f t="array" ref="G248">K248-E248</f>
        <v>0</v>
      </c>
      <c r="H248" s="56">
        <f t="array" ref="H248">E248+D248</f>
        <v>0</v>
      </c>
      <c r="I248" s="56">
        <f t="array" ref="I248">G248+F248</f>
        <v>0</v>
      </c>
      <c r="J248" s="75"/>
      <c r="K248" s="75"/>
      <c r="L248" s="85"/>
      <c r="M248" s="1"/>
      <c r="N248" s="1"/>
      <c r="O248" s="1"/>
      <c r="P248" s="1"/>
      <c r="Q248" s="1"/>
      <c r="R248" s="1"/>
      <c r="S248" s="1"/>
      <c r="T248" s="1"/>
      <c r="U248" s="1"/>
      <c r="V248" s="1"/>
      <c r="W248" s="1"/>
      <c r="X248" s="1"/>
      <c r="Y248" s="1"/>
      <c r="Z248" s="1"/>
    </row>
    <row r="249" spans="1:26" ht="19.5" customHeight="1">
      <c r="A249" s="2"/>
      <c r="B249" s="113">
        <f t="array" ref="B249">$B250-1</f>
        <v>1988</v>
      </c>
      <c r="C249" s="56">
        <f t="array" ref="C249">H249+I249</f>
        <v>0</v>
      </c>
      <c r="D249" s="75"/>
      <c r="E249" s="75"/>
      <c r="F249" s="57">
        <f t="array" ref="F249">J249-D249</f>
        <v>0</v>
      </c>
      <c r="G249" s="57">
        <f t="array" ref="G249">K249-E249</f>
        <v>0</v>
      </c>
      <c r="H249" s="56">
        <f t="array" ref="H249">E249+D249</f>
        <v>0</v>
      </c>
      <c r="I249" s="56">
        <f t="array" ref="I249">G249+F249</f>
        <v>0</v>
      </c>
      <c r="J249" s="75"/>
      <c r="K249" s="75"/>
      <c r="L249" s="85"/>
      <c r="M249" s="1"/>
      <c r="N249" s="1"/>
      <c r="O249" s="1"/>
      <c r="P249" s="1"/>
      <c r="Q249" s="1"/>
      <c r="R249" s="1"/>
      <c r="S249" s="1"/>
      <c r="T249" s="1"/>
      <c r="U249" s="1"/>
      <c r="V249" s="1"/>
      <c r="W249" s="1"/>
      <c r="X249" s="1"/>
      <c r="Y249" s="1"/>
      <c r="Z249" s="1"/>
    </row>
    <row r="250" spans="1:26" ht="19.5" customHeight="1">
      <c r="A250" s="2"/>
      <c r="B250" s="113">
        <f t="array" ref="B250">$B251-1</f>
        <v>1989</v>
      </c>
      <c r="C250" s="56">
        <f t="array" ref="C250">H250+I250</f>
        <v>0</v>
      </c>
      <c r="D250" s="75"/>
      <c r="E250" s="75"/>
      <c r="F250" s="57">
        <f t="array" ref="F250">J250-D250</f>
        <v>0</v>
      </c>
      <c r="G250" s="57">
        <f t="array" ref="G250">K250-E250</f>
        <v>0</v>
      </c>
      <c r="H250" s="56">
        <f t="array" ref="H250">E250+D250</f>
        <v>0</v>
      </c>
      <c r="I250" s="56">
        <f t="array" ref="I250">G250+F250</f>
        <v>0</v>
      </c>
      <c r="J250" s="75"/>
      <c r="K250" s="75"/>
      <c r="L250" s="85"/>
      <c r="M250" s="1"/>
      <c r="N250" s="1"/>
      <c r="O250" s="1"/>
      <c r="P250" s="1"/>
      <c r="Q250" s="1"/>
      <c r="R250" s="1"/>
      <c r="S250" s="1"/>
      <c r="T250" s="1"/>
      <c r="U250" s="1"/>
      <c r="V250" s="1"/>
      <c r="W250" s="1"/>
      <c r="X250" s="1"/>
      <c r="Y250" s="1"/>
      <c r="Z250" s="1"/>
    </row>
    <row r="251" spans="1:26" ht="19.5" customHeight="1">
      <c r="A251" s="2"/>
      <c r="B251" s="113">
        <f t="array" ref="B251">$B252-1</f>
        <v>1990</v>
      </c>
      <c r="C251" s="56">
        <f t="array" ref="C251">H251+I251</f>
        <v>0</v>
      </c>
      <c r="D251" s="75"/>
      <c r="E251" s="75"/>
      <c r="F251" s="57">
        <f t="array" ref="F251">J251-D251</f>
        <v>0</v>
      </c>
      <c r="G251" s="57">
        <f t="array" ref="G251">K251-E251</f>
        <v>0</v>
      </c>
      <c r="H251" s="56">
        <f t="array" ref="H251">E251+D251</f>
        <v>0</v>
      </c>
      <c r="I251" s="56">
        <f t="array" ref="I251">G251+F251</f>
        <v>0</v>
      </c>
      <c r="J251" s="75"/>
      <c r="K251" s="75"/>
      <c r="L251" s="85"/>
      <c r="M251" s="1"/>
      <c r="N251" s="1"/>
      <c r="O251" s="1"/>
      <c r="P251" s="1"/>
      <c r="Q251" s="1"/>
      <c r="R251" s="1"/>
      <c r="S251" s="1"/>
      <c r="T251" s="1"/>
      <c r="U251" s="1"/>
      <c r="V251" s="1"/>
      <c r="W251" s="1"/>
      <c r="X251" s="1"/>
      <c r="Y251" s="1"/>
      <c r="Z251" s="1"/>
    </row>
    <row r="252" spans="1:26" ht="19.5" customHeight="1">
      <c r="A252" s="2"/>
      <c r="B252" s="113">
        <f t="array" ref="B252">$B253-1</f>
        <v>1991</v>
      </c>
      <c r="C252" s="56">
        <f t="array" ref="C252">H252+I252</f>
        <v>0</v>
      </c>
      <c r="D252" s="75"/>
      <c r="E252" s="75"/>
      <c r="F252" s="57">
        <f t="array" ref="F252">J252-D252</f>
        <v>0</v>
      </c>
      <c r="G252" s="57">
        <f t="array" ref="G252">K252-E252</f>
        <v>0</v>
      </c>
      <c r="H252" s="56">
        <f t="array" ref="H252">E252+D252</f>
        <v>0</v>
      </c>
      <c r="I252" s="56">
        <f t="array" ref="I252">G252+F252</f>
        <v>0</v>
      </c>
      <c r="J252" s="75"/>
      <c r="K252" s="75"/>
      <c r="L252" s="85"/>
      <c r="M252" s="1"/>
      <c r="N252" s="1"/>
      <c r="O252" s="1"/>
      <c r="P252" s="1"/>
      <c r="Q252" s="1"/>
      <c r="R252" s="1"/>
      <c r="S252" s="1"/>
      <c r="T252" s="1"/>
      <c r="U252" s="1"/>
      <c r="V252" s="1"/>
      <c r="W252" s="1"/>
      <c r="X252" s="1"/>
      <c r="Y252" s="1"/>
      <c r="Z252" s="1"/>
    </row>
    <row r="253" spans="1:26" ht="19.5" customHeight="1">
      <c r="A253" s="2"/>
      <c r="B253" s="113">
        <f t="array" ref="B253">$B254-1</f>
        <v>1992</v>
      </c>
      <c r="C253" s="56">
        <f t="array" ref="C253">H253+I253</f>
        <v>0</v>
      </c>
      <c r="D253" s="75"/>
      <c r="E253" s="75"/>
      <c r="F253" s="57">
        <f t="array" ref="F253">J253-D253</f>
        <v>0</v>
      </c>
      <c r="G253" s="57">
        <f t="array" ref="G253">K253-E253</f>
        <v>0</v>
      </c>
      <c r="H253" s="56">
        <f t="array" ref="H253">E253+D253</f>
        <v>0</v>
      </c>
      <c r="I253" s="56">
        <f t="array" ref="I253">G253+F253</f>
        <v>0</v>
      </c>
      <c r="J253" s="75"/>
      <c r="K253" s="75"/>
      <c r="L253" s="85"/>
      <c r="M253" s="1"/>
      <c r="N253" s="1"/>
      <c r="O253" s="1"/>
      <c r="P253" s="1"/>
      <c r="Q253" s="1"/>
      <c r="R253" s="1"/>
      <c r="S253" s="1"/>
      <c r="T253" s="1"/>
      <c r="U253" s="1"/>
      <c r="V253" s="1"/>
      <c r="W253" s="1"/>
      <c r="X253" s="1"/>
      <c r="Y253" s="1"/>
      <c r="Z253" s="1"/>
    </row>
    <row r="254" spans="1:26" ht="19.5" customHeight="1">
      <c r="A254" s="2"/>
      <c r="B254" s="113">
        <f t="array" ref="B254">$B255-1</f>
        <v>1993</v>
      </c>
      <c r="C254" s="56">
        <f t="array" ref="C254">H254+I254</f>
        <v>0</v>
      </c>
      <c r="D254" s="75"/>
      <c r="E254" s="75"/>
      <c r="F254" s="57">
        <f t="array" ref="F254">J254-D254</f>
        <v>0</v>
      </c>
      <c r="G254" s="57">
        <f t="array" ref="G254">K254-E254</f>
        <v>0</v>
      </c>
      <c r="H254" s="56">
        <f t="array" ref="H254">E254+D254</f>
        <v>0</v>
      </c>
      <c r="I254" s="56">
        <f t="array" ref="I254">G254+F254</f>
        <v>0</v>
      </c>
      <c r="J254" s="75"/>
      <c r="K254" s="75"/>
      <c r="L254" s="85"/>
      <c r="M254" s="1"/>
      <c r="N254" s="1"/>
      <c r="O254" s="1"/>
      <c r="P254" s="1"/>
      <c r="Q254" s="1"/>
      <c r="R254" s="1"/>
      <c r="S254" s="1"/>
      <c r="T254" s="1"/>
      <c r="U254" s="1"/>
      <c r="V254" s="1"/>
      <c r="W254" s="1"/>
      <c r="X254" s="1"/>
      <c r="Y254" s="1"/>
      <c r="Z254" s="1"/>
    </row>
    <row r="255" spans="1:26" ht="19.5" customHeight="1">
      <c r="A255" s="2"/>
      <c r="B255" s="113">
        <f t="array" ref="B255">$B256-1</f>
        <v>1994</v>
      </c>
      <c r="C255" s="56">
        <f t="array" ref="C255">H255+I255</f>
        <v>0</v>
      </c>
      <c r="D255" s="75"/>
      <c r="E255" s="75"/>
      <c r="F255" s="57">
        <f t="array" ref="F255">J255-D255</f>
        <v>0</v>
      </c>
      <c r="G255" s="57">
        <f t="array" ref="G255">K255-E255</f>
        <v>0</v>
      </c>
      <c r="H255" s="56">
        <f t="array" ref="H255">E255+D255</f>
        <v>0</v>
      </c>
      <c r="I255" s="56">
        <f t="array" ref="I255">G255+F255</f>
        <v>0</v>
      </c>
      <c r="J255" s="75"/>
      <c r="K255" s="75"/>
      <c r="L255" s="85"/>
      <c r="M255" s="1"/>
      <c r="N255" s="1"/>
      <c r="O255" s="1"/>
      <c r="P255" s="1"/>
      <c r="Q255" s="1"/>
      <c r="R255" s="1"/>
      <c r="S255" s="1"/>
      <c r="T255" s="1"/>
      <c r="U255" s="1"/>
      <c r="V255" s="1"/>
      <c r="W255" s="1"/>
      <c r="X255" s="1"/>
      <c r="Y255" s="1"/>
      <c r="Z255" s="1"/>
    </row>
    <row r="256" spans="1:26" ht="19.5" customHeight="1">
      <c r="A256" s="2"/>
      <c r="B256" s="113">
        <f t="array" ref="B256">$B257-1</f>
        <v>1995</v>
      </c>
      <c r="C256" s="56">
        <f t="array" ref="C256">H256+I256</f>
        <v>0</v>
      </c>
      <c r="D256" s="75"/>
      <c r="E256" s="75"/>
      <c r="F256" s="57">
        <f t="array" ref="F256">J256-D256</f>
        <v>0</v>
      </c>
      <c r="G256" s="57">
        <f t="array" ref="G256">K256-E256</f>
        <v>0</v>
      </c>
      <c r="H256" s="56">
        <f t="array" ref="H256">E256+D256</f>
        <v>0</v>
      </c>
      <c r="I256" s="56">
        <f t="array" ref="I256">G256+F256</f>
        <v>0</v>
      </c>
      <c r="J256" s="75"/>
      <c r="K256" s="75"/>
      <c r="L256" s="85"/>
      <c r="M256" s="1"/>
      <c r="N256" s="1"/>
      <c r="O256" s="1"/>
      <c r="P256" s="1"/>
      <c r="Q256" s="1"/>
      <c r="R256" s="1"/>
      <c r="S256" s="1"/>
      <c r="T256" s="1"/>
      <c r="U256" s="1"/>
      <c r="V256" s="1"/>
      <c r="W256" s="1"/>
      <c r="X256" s="1"/>
      <c r="Y256" s="1"/>
      <c r="Z256" s="1"/>
    </row>
    <row r="257" spans="1:26" ht="19.5" customHeight="1">
      <c r="A257" s="2"/>
      <c r="B257" s="113">
        <f t="array" ref="B257">$B258-1</f>
        <v>1996</v>
      </c>
      <c r="C257" s="56">
        <f t="array" ref="C257">H257+I257</f>
        <v>0</v>
      </c>
      <c r="D257" s="75"/>
      <c r="E257" s="75"/>
      <c r="F257" s="57">
        <f t="array" ref="F257">J257-D257</f>
        <v>0</v>
      </c>
      <c r="G257" s="57">
        <f t="array" ref="G257">K257-E257</f>
        <v>0</v>
      </c>
      <c r="H257" s="56">
        <f t="array" ref="H257">E257+D257</f>
        <v>0</v>
      </c>
      <c r="I257" s="56">
        <f t="array" ref="I257">G257+F257</f>
        <v>0</v>
      </c>
      <c r="J257" s="75"/>
      <c r="K257" s="75"/>
      <c r="L257" s="85"/>
      <c r="M257" s="1"/>
      <c r="N257" s="1"/>
      <c r="O257" s="1"/>
      <c r="P257" s="1"/>
      <c r="Q257" s="1"/>
      <c r="R257" s="1"/>
      <c r="S257" s="1"/>
      <c r="T257" s="1"/>
      <c r="U257" s="1"/>
      <c r="V257" s="1"/>
      <c r="W257" s="1"/>
      <c r="X257" s="1"/>
      <c r="Y257" s="1"/>
      <c r="Z257" s="1"/>
    </row>
    <row r="258" spans="1:26" ht="19.5" customHeight="1">
      <c r="A258" s="2"/>
      <c r="B258" s="113">
        <f t="array" ref="B258">$B259-1</f>
        <v>1997</v>
      </c>
      <c r="C258" s="56">
        <f t="array" ref="C258">H258+I258</f>
        <v>0</v>
      </c>
      <c r="D258" s="75"/>
      <c r="E258" s="75"/>
      <c r="F258" s="57">
        <f t="array" ref="F258">J258-D258</f>
        <v>0</v>
      </c>
      <c r="G258" s="57">
        <f t="array" ref="G258">K258-E258</f>
        <v>0</v>
      </c>
      <c r="H258" s="56">
        <f t="array" ref="H258">E258+D258</f>
        <v>0</v>
      </c>
      <c r="I258" s="56">
        <f t="array" ref="I258">G258+F258</f>
        <v>0</v>
      </c>
      <c r="J258" s="75"/>
      <c r="K258" s="75"/>
      <c r="L258" s="85"/>
      <c r="M258" s="1"/>
      <c r="N258" s="1"/>
      <c r="O258" s="1"/>
      <c r="P258" s="1"/>
      <c r="Q258" s="1"/>
      <c r="R258" s="1"/>
      <c r="S258" s="1"/>
      <c r="T258" s="1"/>
      <c r="U258" s="1"/>
      <c r="V258" s="1"/>
      <c r="W258" s="1"/>
      <c r="X258" s="1"/>
      <c r="Y258" s="1"/>
      <c r="Z258" s="1"/>
    </row>
    <row r="259" spans="1:26" ht="19.5" customHeight="1">
      <c r="A259" s="2"/>
      <c r="B259" s="113">
        <f t="array" ref="B259">$B260-1</f>
        <v>1998</v>
      </c>
      <c r="C259" s="56">
        <f t="array" ref="C259">H259+I259</f>
        <v>0</v>
      </c>
      <c r="D259" s="75"/>
      <c r="E259" s="75"/>
      <c r="F259" s="57">
        <f t="array" ref="F259">J259-D259</f>
        <v>0</v>
      </c>
      <c r="G259" s="57">
        <f t="array" ref="G259">K259-E259</f>
        <v>0</v>
      </c>
      <c r="H259" s="56">
        <f t="array" ref="H259">E259+D259</f>
        <v>0</v>
      </c>
      <c r="I259" s="56">
        <f t="array" ref="I259">G259+F259</f>
        <v>0</v>
      </c>
      <c r="J259" s="75"/>
      <c r="K259" s="75"/>
      <c r="L259" s="85"/>
      <c r="M259" s="1"/>
      <c r="N259" s="1"/>
      <c r="O259" s="1"/>
      <c r="P259" s="1"/>
      <c r="Q259" s="1"/>
      <c r="R259" s="1"/>
      <c r="S259" s="1"/>
      <c r="T259" s="1"/>
      <c r="U259" s="1"/>
      <c r="V259" s="1"/>
      <c r="W259" s="1"/>
      <c r="X259" s="1"/>
      <c r="Y259" s="1"/>
      <c r="Z259" s="1"/>
    </row>
    <row r="260" spans="1:26" ht="19.5" customHeight="1">
      <c r="A260" s="2"/>
      <c r="B260" s="113">
        <f t="array" ref="B260">$B261-1</f>
        <v>1999</v>
      </c>
      <c r="C260" s="56">
        <f t="array" ref="C260">H260+I260</f>
        <v>0</v>
      </c>
      <c r="D260" s="75"/>
      <c r="E260" s="75"/>
      <c r="F260" s="57">
        <f t="array" ref="F260">J260-D260</f>
        <v>0</v>
      </c>
      <c r="G260" s="57">
        <f t="array" ref="G260">K260-E260</f>
        <v>0</v>
      </c>
      <c r="H260" s="56">
        <f t="array" ref="H260">E260+D260</f>
        <v>0</v>
      </c>
      <c r="I260" s="56">
        <f t="array" ref="I260">G260+F260</f>
        <v>0</v>
      </c>
      <c r="J260" s="75"/>
      <c r="K260" s="75"/>
      <c r="L260" s="85"/>
      <c r="M260" s="1"/>
      <c r="N260" s="1"/>
      <c r="O260" s="1"/>
      <c r="P260" s="1"/>
      <c r="Q260" s="1"/>
      <c r="R260" s="1"/>
      <c r="S260" s="1"/>
      <c r="T260" s="1"/>
      <c r="U260" s="1"/>
      <c r="V260" s="1"/>
      <c r="W260" s="1"/>
      <c r="X260" s="1"/>
      <c r="Y260" s="1"/>
      <c r="Z260" s="1"/>
    </row>
    <row r="261" spans="1:26" ht="19.5" customHeight="1">
      <c r="A261" s="2"/>
      <c r="B261" s="113">
        <f t="array" ref="B261">$B262-1</f>
        <v>2000</v>
      </c>
      <c r="C261" s="56">
        <f t="array" ref="C261">H261+I261</f>
        <v>0</v>
      </c>
      <c r="D261" s="75"/>
      <c r="E261" s="75"/>
      <c r="F261" s="57">
        <f t="array" ref="F261">J261-D261</f>
        <v>0</v>
      </c>
      <c r="G261" s="57">
        <f t="array" ref="G261">K261-E261</f>
        <v>0</v>
      </c>
      <c r="H261" s="56">
        <f t="array" ref="H261">E261+D261</f>
        <v>0</v>
      </c>
      <c r="I261" s="56">
        <f t="array" ref="I261">G261+F261</f>
        <v>0</v>
      </c>
      <c r="J261" s="75"/>
      <c r="K261" s="75"/>
      <c r="L261" s="85"/>
      <c r="M261" s="1"/>
      <c r="N261" s="1"/>
      <c r="O261" s="1"/>
      <c r="P261" s="1"/>
      <c r="Q261" s="1"/>
      <c r="R261" s="1"/>
      <c r="S261" s="1"/>
      <c r="T261" s="1"/>
      <c r="U261" s="1"/>
      <c r="V261" s="1"/>
      <c r="W261" s="1"/>
      <c r="X261" s="1"/>
      <c r="Y261" s="1"/>
      <c r="Z261" s="1"/>
    </row>
    <row r="262" spans="1:26" ht="19.5" customHeight="1">
      <c r="A262" s="2"/>
      <c r="B262" s="113">
        <f t="array" ref="B262">$B263-1</f>
        <v>2001</v>
      </c>
      <c r="C262" s="56">
        <f t="array" ref="C262">H262+I262</f>
        <v>0</v>
      </c>
      <c r="D262" s="75"/>
      <c r="E262" s="75"/>
      <c r="F262" s="57">
        <f t="array" ref="F262">J262-D262</f>
        <v>0</v>
      </c>
      <c r="G262" s="57">
        <f t="array" ref="G262">K262-E262</f>
        <v>0</v>
      </c>
      <c r="H262" s="56">
        <f t="array" ref="H262">E262+D262</f>
        <v>0</v>
      </c>
      <c r="I262" s="56">
        <f t="array" ref="I262">G262+F262</f>
        <v>0</v>
      </c>
      <c r="J262" s="75"/>
      <c r="K262" s="75"/>
      <c r="L262" s="85"/>
      <c r="M262" s="1"/>
      <c r="N262" s="1"/>
      <c r="O262" s="1"/>
      <c r="P262" s="1"/>
      <c r="Q262" s="1"/>
      <c r="R262" s="1"/>
      <c r="S262" s="1"/>
      <c r="T262" s="1"/>
      <c r="U262" s="1"/>
      <c r="V262" s="1"/>
      <c r="W262" s="1"/>
      <c r="X262" s="1"/>
      <c r="Y262" s="1"/>
      <c r="Z262" s="1"/>
    </row>
    <row r="263" spans="1:26" ht="19.5" customHeight="1">
      <c r="A263" s="2"/>
      <c r="B263" s="113">
        <f t="array" ref="B263">$B264-1</f>
        <v>2002</v>
      </c>
      <c r="C263" s="56">
        <f t="array" ref="C263">H263+I263</f>
        <v>0</v>
      </c>
      <c r="D263" s="75"/>
      <c r="E263" s="75"/>
      <c r="F263" s="57">
        <f t="array" ref="F263">J263-D263</f>
        <v>0</v>
      </c>
      <c r="G263" s="57">
        <f t="array" ref="G263">K263-E263</f>
        <v>0</v>
      </c>
      <c r="H263" s="56">
        <f t="array" ref="H263">E263+D263</f>
        <v>0</v>
      </c>
      <c r="I263" s="56">
        <f t="array" ref="I263">G263+F263</f>
        <v>0</v>
      </c>
      <c r="J263" s="75"/>
      <c r="K263" s="75"/>
      <c r="L263" s="85"/>
      <c r="M263" s="1"/>
      <c r="N263" s="1"/>
      <c r="O263" s="1"/>
      <c r="P263" s="1"/>
      <c r="Q263" s="1"/>
      <c r="R263" s="1"/>
      <c r="S263" s="1"/>
      <c r="T263" s="1"/>
      <c r="U263" s="1"/>
      <c r="V263" s="1"/>
      <c r="W263" s="1"/>
      <c r="X263" s="1"/>
      <c r="Y263" s="1"/>
      <c r="Z263" s="1"/>
    </row>
    <row r="264" spans="1:26" ht="19.5" customHeight="1">
      <c r="A264" s="2"/>
      <c r="B264" s="113">
        <f t="array" ref="B264">$B265-1</f>
        <v>2003</v>
      </c>
      <c r="C264" s="56">
        <f t="array" ref="C264">H264+I264</f>
        <v>0</v>
      </c>
      <c r="D264" s="75"/>
      <c r="E264" s="75"/>
      <c r="F264" s="57">
        <f t="array" ref="F264">J264-D264</f>
        <v>0</v>
      </c>
      <c r="G264" s="57">
        <f t="array" ref="G264">K264-E264</f>
        <v>0</v>
      </c>
      <c r="H264" s="56">
        <f t="array" ref="H264">E264+D264</f>
        <v>0</v>
      </c>
      <c r="I264" s="56">
        <f t="array" ref="I264">G264+F264</f>
        <v>0</v>
      </c>
      <c r="J264" s="75"/>
      <c r="K264" s="75"/>
      <c r="L264" s="85"/>
      <c r="M264" s="1"/>
      <c r="N264" s="1"/>
      <c r="O264" s="1"/>
      <c r="P264" s="1"/>
      <c r="Q264" s="1"/>
      <c r="R264" s="1"/>
      <c r="S264" s="1"/>
      <c r="T264" s="1"/>
      <c r="U264" s="1"/>
      <c r="V264" s="1"/>
      <c r="W264" s="1"/>
      <c r="X264" s="1"/>
      <c r="Y264" s="1"/>
      <c r="Z264" s="1"/>
    </row>
    <row r="265" spans="1:26" ht="19.5" customHeight="1">
      <c r="A265" s="2"/>
      <c r="B265" s="113">
        <f t="array" ref="B265">$B266-1</f>
        <v>2004</v>
      </c>
      <c r="C265" s="56">
        <f t="array" ref="C265">H265+I265</f>
        <v>0</v>
      </c>
      <c r="D265" s="75"/>
      <c r="E265" s="75"/>
      <c r="F265" s="57">
        <f t="array" ref="F265">J265-D265</f>
        <v>0</v>
      </c>
      <c r="G265" s="57">
        <f t="array" ref="G265">K265-E265</f>
        <v>0</v>
      </c>
      <c r="H265" s="56">
        <f t="array" ref="H265">E265+D265</f>
        <v>0</v>
      </c>
      <c r="I265" s="56">
        <f t="array" ref="I265">G265+F265</f>
        <v>0</v>
      </c>
      <c r="J265" s="75"/>
      <c r="K265" s="75"/>
      <c r="L265" s="85"/>
      <c r="M265" s="1"/>
      <c r="N265" s="1"/>
      <c r="O265" s="1"/>
      <c r="P265" s="1"/>
      <c r="Q265" s="1"/>
      <c r="R265" s="1"/>
      <c r="S265" s="1"/>
      <c r="T265" s="1"/>
      <c r="U265" s="1"/>
      <c r="V265" s="1"/>
      <c r="W265" s="1"/>
      <c r="X265" s="1"/>
      <c r="Y265" s="1"/>
      <c r="Z265" s="1"/>
    </row>
    <row r="266" spans="1:26" ht="19.5" customHeight="1">
      <c r="A266" s="2"/>
      <c r="B266" s="113">
        <f t="array" ref="B266">$B267-1</f>
        <v>2005</v>
      </c>
      <c r="C266" s="56">
        <f t="array" ref="C266">H266+I266</f>
        <v>0</v>
      </c>
      <c r="D266" s="75"/>
      <c r="E266" s="75"/>
      <c r="F266" s="57">
        <f t="array" ref="F266">J266-D266</f>
        <v>0</v>
      </c>
      <c r="G266" s="57">
        <f t="array" ref="G266">K266-E266</f>
        <v>0</v>
      </c>
      <c r="H266" s="56">
        <f t="array" ref="H266">E266+D266</f>
        <v>0</v>
      </c>
      <c r="I266" s="56">
        <f t="array" ref="I266">G266+F266</f>
        <v>0</v>
      </c>
      <c r="J266" s="75"/>
      <c r="K266" s="75"/>
      <c r="L266" s="85"/>
      <c r="M266" s="1"/>
      <c r="N266" s="1"/>
      <c r="O266" s="1"/>
      <c r="P266" s="1"/>
      <c r="Q266" s="1"/>
      <c r="R266" s="1"/>
      <c r="S266" s="1"/>
      <c r="T266" s="1"/>
      <c r="U266" s="1"/>
      <c r="V266" s="1"/>
      <c r="W266" s="1"/>
      <c r="X266" s="1"/>
      <c r="Y266" s="1"/>
      <c r="Z266" s="1"/>
    </row>
    <row r="267" spans="1:26" ht="19.5" customHeight="1">
      <c r="A267" s="2"/>
      <c r="B267" s="113">
        <f t="array" ref="B267">$B268-1</f>
        <v>2006</v>
      </c>
      <c r="C267" s="56">
        <f t="array" ref="C267">H267+I267</f>
        <v>176000</v>
      </c>
      <c r="D267" s="75">
        <v>65500</v>
      </c>
      <c r="E267" s="75">
        <v>65500</v>
      </c>
      <c r="F267" s="57">
        <f t="array" ref="F267">J267-D267</f>
        <v>22500</v>
      </c>
      <c r="G267" s="57">
        <f t="array" ref="G267">K267-E267</f>
        <v>22500</v>
      </c>
      <c r="H267" s="56">
        <f t="array" ref="H267">E267+D267</f>
        <v>131000</v>
      </c>
      <c r="I267" s="56">
        <f t="array" ref="I267">G267+F267</f>
        <v>45000</v>
      </c>
      <c r="J267" s="75">
        <v>88000</v>
      </c>
      <c r="K267" s="75">
        <v>88000</v>
      </c>
      <c r="L267" s="85"/>
      <c r="M267" s="1"/>
      <c r="N267" s="1"/>
      <c r="O267" s="1"/>
      <c r="P267" s="1"/>
      <c r="Q267" s="1"/>
      <c r="R267" s="1"/>
      <c r="S267" s="1"/>
      <c r="T267" s="1"/>
      <c r="U267" s="1"/>
      <c r="V267" s="1"/>
      <c r="W267" s="1"/>
      <c r="X267" s="1"/>
      <c r="Y267" s="1"/>
      <c r="Z267" s="1"/>
    </row>
    <row r="268" spans="1:26" ht="19.5" customHeight="1">
      <c r="A268" s="2"/>
      <c r="B268" s="113">
        <f t="array" ref="B268">$B269-1</f>
        <v>2007</v>
      </c>
      <c r="C268" s="56">
        <f t="array" ref="C268">H268+I268</f>
        <v>199000</v>
      </c>
      <c r="D268" s="75">
        <v>67500</v>
      </c>
      <c r="E268" s="75">
        <v>67500</v>
      </c>
      <c r="F268" s="57">
        <f t="array" ref="F268">J268-D268</f>
        <v>32000</v>
      </c>
      <c r="G268" s="57">
        <f t="array" ref="G268">K268-E268</f>
        <v>32000</v>
      </c>
      <c r="H268" s="56">
        <f t="array" ref="H268">E268+D268</f>
        <v>135000</v>
      </c>
      <c r="I268" s="56">
        <f t="array" ref="I268">G268+F268</f>
        <v>64000</v>
      </c>
      <c r="J268" s="75">
        <v>99500</v>
      </c>
      <c r="K268" s="75">
        <v>99500</v>
      </c>
      <c r="L268" s="85"/>
      <c r="M268" s="1"/>
      <c r="N268" s="1"/>
      <c r="O268" s="1"/>
      <c r="P268" s="1"/>
      <c r="Q268" s="1"/>
      <c r="R268" s="1"/>
      <c r="S268" s="1"/>
      <c r="T268" s="1"/>
      <c r="U268" s="1"/>
      <c r="V268" s="1"/>
      <c r="W268" s="1"/>
      <c r="X268" s="1"/>
      <c r="Y268" s="1"/>
      <c r="Z268" s="1"/>
    </row>
    <row r="269" spans="1:26" ht="19.5" customHeight="1">
      <c r="A269" s="2"/>
      <c r="B269" s="113">
        <f t="array" ref="B269">$B270-1</f>
        <v>2008</v>
      </c>
      <c r="C269" s="56">
        <f t="array" ref="C269">H269+I269</f>
        <v>215000</v>
      </c>
      <c r="D269" s="75">
        <v>74500</v>
      </c>
      <c r="E269" s="75">
        <v>74500</v>
      </c>
      <c r="F269" s="57">
        <f t="array" ref="F269">J269-D269</f>
        <v>33000</v>
      </c>
      <c r="G269" s="57">
        <f t="array" ref="G269">K269-E269</f>
        <v>33000</v>
      </c>
      <c r="H269" s="56">
        <f t="array" ref="H269">E269+D269</f>
        <v>149000</v>
      </c>
      <c r="I269" s="56">
        <f t="array" ref="I269">G269+F269</f>
        <v>66000</v>
      </c>
      <c r="J269" s="75">
        <v>107500</v>
      </c>
      <c r="K269" s="75">
        <v>107500</v>
      </c>
      <c r="L269" s="85"/>
      <c r="M269" s="1"/>
      <c r="N269" s="1"/>
      <c r="O269" s="1"/>
      <c r="P269" s="1"/>
      <c r="Q269" s="1"/>
      <c r="R269" s="1"/>
      <c r="S269" s="1"/>
      <c r="T269" s="1"/>
      <c r="U269" s="1"/>
      <c r="V269" s="1"/>
      <c r="W269" s="1"/>
      <c r="X269" s="1"/>
      <c r="Y269" s="1"/>
      <c r="Z269" s="1"/>
    </row>
    <row r="270" spans="1:26" ht="19.5" customHeight="1">
      <c r="A270" s="2"/>
      <c r="B270" s="113">
        <f t="array" ref="B270">$B271-1</f>
        <v>2009</v>
      </c>
      <c r="C270" s="56">
        <f t="array" ref="C270">H270+I270</f>
        <v>238000</v>
      </c>
      <c r="D270" s="75">
        <v>83000</v>
      </c>
      <c r="E270" s="75">
        <v>83000</v>
      </c>
      <c r="F270" s="57">
        <f t="array" ref="F270">J270-D270</f>
        <v>36000</v>
      </c>
      <c r="G270" s="57">
        <f t="array" ref="G270">K270-E270</f>
        <v>36000</v>
      </c>
      <c r="H270" s="56">
        <f t="array" ref="H270">E270+D270</f>
        <v>166000</v>
      </c>
      <c r="I270" s="56">
        <f t="array" ref="I270">G270+F270</f>
        <v>72000</v>
      </c>
      <c r="J270" s="75">
        <v>119000</v>
      </c>
      <c r="K270" s="75">
        <v>119000</v>
      </c>
      <c r="L270" s="85"/>
      <c r="M270" s="1"/>
      <c r="N270" s="1"/>
      <c r="O270" s="1"/>
      <c r="P270" s="1"/>
      <c r="Q270" s="1"/>
      <c r="R270" s="1"/>
      <c r="S270" s="1"/>
      <c r="T270" s="1"/>
      <c r="U270" s="1"/>
      <c r="V270" s="1"/>
      <c r="W270" s="1"/>
      <c r="X270" s="1"/>
      <c r="Y270" s="1"/>
      <c r="Z270" s="1"/>
    </row>
    <row r="271" spans="1:26" ht="19.5" customHeight="1">
      <c r="A271" s="2"/>
      <c r="B271" s="113">
        <f t="array" ref="B271">$B272-1</f>
        <v>2010</v>
      </c>
      <c r="C271" s="56">
        <f t="array" ref="C271">H271+I271</f>
        <v>269000</v>
      </c>
      <c r="D271" s="75">
        <v>100000</v>
      </c>
      <c r="E271" s="75">
        <v>100000</v>
      </c>
      <c r="F271" s="57">
        <f t="array" ref="F271">J271-D271</f>
        <v>34500</v>
      </c>
      <c r="G271" s="57">
        <f t="array" ref="G271">K271-E271</f>
        <v>34500</v>
      </c>
      <c r="H271" s="56">
        <f t="array" ref="H271">E271+D271</f>
        <v>200000</v>
      </c>
      <c r="I271" s="56">
        <f t="array" ref="I271">G271+F271</f>
        <v>69000</v>
      </c>
      <c r="J271" s="75">
        <v>134500</v>
      </c>
      <c r="K271" s="75">
        <v>134500</v>
      </c>
      <c r="L271" s="85"/>
      <c r="M271" s="1"/>
      <c r="N271" s="1"/>
      <c r="O271" s="1"/>
      <c r="P271" s="1"/>
      <c r="Q271" s="1"/>
      <c r="R271" s="1"/>
      <c r="S271" s="1"/>
      <c r="T271" s="1"/>
      <c r="U271" s="1"/>
      <c r="V271" s="1"/>
      <c r="W271" s="1"/>
      <c r="X271" s="1"/>
      <c r="Y271" s="1"/>
      <c r="Z271" s="1"/>
    </row>
    <row r="272" spans="1:26" ht="19.5" customHeight="1">
      <c r="A272" s="2"/>
      <c r="B272" s="113">
        <f t="array" ref="B272">$B273-1</f>
        <v>2011</v>
      </c>
      <c r="C272" s="56">
        <f t="array" ref="C272">H272+I272</f>
        <v>293000</v>
      </c>
      <c r="D272" s="75">
        <v>117500</v>
      </c>
      <c r="E272" s="75">
        <v>117500</v>
      </c>
      <c r="F272" s="57">
        <f t="array" ref="F272">J272-D272</f>
        <v>29000</v>
      </c>
      <c r="G272" s="57">
        <f t="array" ref="G272">K272-E272</f>
        <v>29000</v>
      </c>
      <c r="H272" s="56">
        <f t="array" ref="H272">E272+D272</f>
        <v>235000</v>
      </c>
      <c r="I272" s="56">
        <f t="array" ref="I272">G272+F272</f>
        <v>58000</v>
      </c>
      <c r="J272" s="75">
        <v>146500</v>
      </c>
      <c r="K272" s="75">
        <v>146500</v>
      </c>
      <c r="L272" s="85"/>
      <c r="M272" s="1"/>
      <c r="N272" s="1"/>
      <c r="O272" s="1"/>
      <c r="P272" s="1"/>
      <c r="Q272" s="1"/>
      <c r="R272" s="1"/>
      <c r="S272" s="1"/>
      <c r="T272" s="1"/>
      <c r="U272" s="1"/>
      <c r="V272" s="1"/>
      <c r="W272" s="1"/>
      <c r="X272" s="1"/>
      <c r="Y272" s="1"/>
      <c r="Z272" s="1"/>
    </row>
    <row r="273" spans="1:26" ht="20.25" customHeight="1">
      <c r="A273" s="23"/>
      <c r="B273" s="114">
        <f t="array" ref="B273">$B274-1</f>
        <v>2012</v>
      </c>
      <c r="C273" s="78">
        <f t="array" ref="C273">H273+I273</f>
        <v>255000</v>
      </c>
      <c r="D273" s="75">
        <v>99500</v>
      </c>
      <c r="E273" s="75">
        <v>99500</v>
      </c>
      <c r="F273" s="115">
        <f t="array" ref="F273">J273-D273</f>
        <v>28000</v>
      </c>
      <c r="G273" s="115">
        <f t="array" ref="G273">K273-E273</f>
        <v>28000</v>
      </c>
      <c r="H273" s="78">
        <f t="array" ref="H273">E273+D273</f>
        <v>199000</v>
      </c>
      <c r="I273" s="78">
        <f t="array" ref="I273">G273+F273</f>
        <v>56000</v>
      </c>
      <c r="J273" s="75">
        <v>127500</v>
      </c>
      <c r="K273" s="75">
        <v>127500</v>
      </c>
      <c r="L273" s="85"/>
      <c r="M273" s="1"/>
      <c r="N273" s="1"/>
      <c r="O273" s="1"/>
      <c r="P273" s="1"/>
      <c r="Q273" s="1"/>
      <c r="R273" s="1"/>
      <c r="S273" s="1"/>
      <c r="T273" s="1"/>
      <c r="U273" s="1"/>
      <c r="V273" s="1"/>
      <c r="W273" s="1"/>
      <c r="X273" s="1"/>
      <c r="Y273" s="1"/>
      <c r="Z273" s="1"/>
    </row>
    <row r="274" spans="1:26" ht="20.25" customHeight="1">
      <c r="A274" s="11"/>
      <c r="B274" s="116">
        <f t="array" ref="B274">$B275-1</f>
        <v>2013</v>
      </c>
      <c r="C274" s="117">
        <f t="array" ref="C274">H274+I274</f>
        <v>238000</v>
      </c>
      <c r="D274" s="65">
        <v>93500</v>
      </c>
      <c r="E274" s="65">
        <v>93500</v>
      </c>
      <c r="F274" s="118">
        <f t="array" ref="F274">J274-D274</f>
        <v>25500</v>
      </c>
      <c r="G274" s="108">
        <f t="array" ref="G274">K274-E274</f>
        <v>25500</v>
      </c>
      <c r="H274" s="81">
        <f t="array" ref="H274">E274+D274</f>
        <v>187000</v>
      </c>
      <c r="I274" s="117">
        <f t="array" ref="I274">G274+F274</f>
        <v>51000</v>
      </c>
      <c r="J274" s="65">
        <v>119000</v>
      </c>
      <c r="K274" s="65">
        <v>119000</v>
      </c>
      <c r="L274" s="119"/>
      <c r="M274" s="1"/>
      <c r="N274" s="1"/>
      <c r="O274" s="1"/>
      <c r="P274" s="1"/>
      <c r="Q274" s="1"/>
      <c r="R274" s="1"/>
      <c r="S274" s="1"/>
      <c r="T274" s="1"/>
      <c r="U274" s="1"/>
      <c r="V274" s="1"/>
      <c r="W274" s="1"/>
      <c r="X274" s="1"/>
      <c r="Y274" s="1"/>
      <c r="Z274" s="1"/>
    </row>
    <row r="275" spans="1:26" ht="20.25" customHeight="1">
      <c r="A275" s="11"/>
      <c r="B275" s="116">
        <f t="array" ref="B275">$B276-1</f>
        <v>2014</v>
      </c>
      <c r="C275" s="117">
        <f t="array" ref="C275">H275+I275</f>
        <v>308000</v>
      </c>
      <c r="D275" s="65">
        <v>134000</v>
      </c>
      <c r="E275" s="65">
        <v>134000</v>
      </c>
      <c r="F275" s="118">
        <f t="array" ref="F275">J275-D275</f>
        <v>20000</v>
      </c>
      <c r="G275" s="108">
        <f t="array" ref="G275">K275-E275</f>
        <v>20000</v>
      </c>
      <c r="H275" s="81">
        <f t="array" ref="H275">E275+D275</f>
        <v>268000</v>
      </c>
      <c r="I275" s="117">
        <f t="array" ref="I275">G275+F275</f>
        <v>40000</v>
      </c>
      <c r="J275" s="65">
        <v>154000</v>
      </c>
      <c r="K275" s="65">
        <v>154000</v>
      </c>
      <c r="L275" s="120"/>
      <c r="M275" s="1"/>
      <c r="N275" s="1"/>
      <c r="O275" s="1"/>
      <c r="P275" s="1"/>
      <c r="Q275" s="1"/>
      <c r="R275" s="1"/>
      <c r="S275" s="1"/>
      <c r="T275" s="1"/>
      <c r="U275" s="1"/>
      <c r="V275" s="1"/>
      <c r="W275" s="1"/>
      <c r="X275" s="1"/>
      <c r="Y275" s="1"/>
      <c r="Z275" s="1"/>
    </row>
    <row r="276" spans="1:26" ht="20.25" customHeight="1">
      <c r="A276" s="11"/>
      <c r="B276" s="116">
        <f t="array" ref="B276">$B277-1</f>
        <v>2015</v>
      </c>
      <c r="C276" s="117">
        <f t="array" ref="C276">H276+I276</f>
        <v>360000</v>
      </c>
      <c r="D276" s="65">
        <v>133000</v>
      </c>
      <c r="E276" s="65">
        <v>133000</v>
      </c>
      <c r="F276" s="118">
        <f t="array" ref="F276">J276-D276</f>
        <v>47000</v>
      </c>
      <c r="G276" s="108">
        <f t="array" ref="G276">K276-E276</f>
        <v>47000</v>
      </c>
      <c r="H276" s="81">
        <f t="array" ref="H276">E276+D276</f>
        <v>266000</v>
      </c>
      <c r="I276" s="117">
        <f t="array" ref="I276">G276+F276</f>
        <v>94000</v>
      </c>
      <c r="J276" s="65">
        <v>180000</v>
      </c>
      <c r="K276" s="65">
        <v>180000</v>
      </c>
      <c r="L276" s="120"/>
      <c r="M276" s="1"/>
      <c r="N276" s="1"/>
      <c r="O276" s="1"/>
      <c r="P276" s="1"/>
      <c r="Q276" s="1"/>
      <c r="R276" s="1"/>
      <c r="S276" s="1"/>
      <c r="T276" s="1"/>
      <c r="U276" s="1"/>
      <c r="V276" s="1"/>
      <c r="W276" s="1"/>
      <c r="X276" s="1"/>
      <c r="Y276" s="1"/>
      <c r="Z276" s="1"/>
    </row>
    <row r="277" spans="1:26" ht="20.25" customHeight="1">
      <c r="A277" s="11"/>
      <c r="B277" s="116">
        <f t="array" ref="B277">$B278-1</f>
        <v>2016</v>
      </c>
      <c r="C277" s="117">
        <f t="array" ref="C277">H277+I277</f>
        <v>353000</v>
      </c>
      <c r="D277" s="65">
        <v>143500</v>
      </c>
      <c r="E277" s="65">
        <v>143500</v>
      </c>
      <c r="F277" s="118">
        <f t="array" ref="F277">J277-D277</f>
        <v>33000</v>
      </c>
      <c r="G277" s="108">
        <f t="array" ref="G277">K277-E277</f>
        <v>33000</v>
      </c>
      <c r="H277" s="81">
        <f t="array" ref="H277">E277+D277</f>
        <v>287000</v>
      </c>
      <c r="I277" s="117">
        <f t="array" ref="I277">G277+F277</f>
        <v>66000</v>
      </c>
      <c r="J277" s="65">
        <v>176500</v>
      </c>
      <c r="K277" s="65">
        <v>176500</v>
      </c>
      <c r="L277" s="120"/>
      <c r="M277" s="1"/>
      <c r="N277" s="1"/>
      <c r="O277" s="1"/>
      <c r="P277" s="1"/>
      <c r="Q277" s="1"/>
      <c r="R277" s="1"/>
      <c r="S277" s="1"/>
      <c r="T277" s="1"/>
      <c r="U277" s="1"/>
      <c r="V277" s="1"/>
      <c r="W277" s="1"/>
      <c r="X277" s="1"/>
      <c r="Y277" s="1"/>
      <c r="Z277" s="1"/>
    </row>
    <row r="278" spans="1:26" ht="20.25" customHeight="1">
      <c r="A278" s="11"/>
      <c r="B278" s="116">
        <f t="array" ref="B278">$B279-1</f>
        <v>2017</v>
      </c>
      <c r="C278" s="117">
        <f t="array" ref="C278">H278+I278</f>
        <v>256000</v>
      </c>
      <c r="D278" s="65">
        <v>81500</v>
      </c>
      <c r="E278" s="65">
        <v>81500</v>
      </c>
      <c r="F278" s="118">
        <f t="array" ref="F278">J278-D278</f>
        <v>46500</v>
      </c>
      <c r="G278" s="108">
        <f t="array" ref="G278">K278-E278</f>
        <v>46500</v>
      </c>
      <c r="H278" s="81">
        <f t="array" ref="H278">E278+D278</f>
        <v>163000</v>
      </c>
      <c r="I278" s="117">
        <f t="array" ref="I278">G278+F278</f>
        <v>93000</v>
      </c>
      <c r="J278" s="65">
        <v>128000</v>
      </c>
      <c r="K278" s="65">
        <v>128000</v>
      </c>
      <c r="L278" s="120"/>
      <c r="M278" s="1"/>
      <c r="N278" s="1"/>
      <c r="O278" s="1"/>
      <c r="P278" s="1"/>
      <c r="Q278" s="1"/>
      <c r="R278" s="1"/>
      <c r="S278" s="1"/>
      <c r="T278" s="1"/>
      <c r="U278" s="1"/>
      <c r="V278" s="1"/>
      <c r="W278" s="1"/>
      <c r="X278" s="1"/>
      <c r="Y278" s="1"/>
      <c r="Z278" s="1"/>
    </row>
    <row r="279" spans="1:26" ht="20.25" customHeight="1">
      <c r="A279" s="11"/>
      <c r="B279" s="116">
        <f t="array" ref="B279">$B280-1</f>
        <v>2018</v>
      </c>
      <c r="C279" s="117">
        <f t="array" ref="C279">H279+I279</f>
        <v>230000</v>
      </c>
      <c r="D279" s="65">
        <v>73500</v>
      </c>
      <c r="E279" s="65">
        <v>73500</v>
      </c>
      <c r="F279" s="118">
        <f t="array" ref="F279">J279-D279</f>
        <v>41500</v>
      </c>
      <c r="G279" s="108">
        <f t="array" ref="G279">K279-E279</f>
        <v>41500</v>
      </c>
      <c r="H279" s="81">
        <f t="array" ref="H279">E279+D279</f>
        <v>147000</v>
      </c>
      <c r="I279" s="117">
        <f t="array" ref="I279">G279+F279</f>
        <v>83000</v>
      </c>
      <c r="J279" s="65">
        <v>115000</v>
      </c>
      <c r="K279" s="65">
        <v>115000</v>
      </c>
      <c r="L279" s="120"/>
      <c r="M279" s="1"/>
      <c r="N279" s="1"/>
      <c r="O279" s="1"/>
      <c r="P279" s="1"/>
      <c r="Q279" s="1"/>
      <c r="R279" s="1"/>
      <c r="S279" s="1"/>
      <c r="T279" s="1"/>
      <c r="U279" s="1"/>
      <c r="V279" s="1"/>
      <c r="W279" s="1"/>
      <c r="X279" s="1"/>
      <c r="Y279" s="1"/>
      <c r="Z279" s="1"/>
    </row>
    <row r="280" spans="1:26" ht="20.25" customHeight="1">
      <c r="A280" s="11"/>
      <c r="B280" s="116">
        <f t="array" ref="B280">$B281-1</f>
        <v>2019</v>
      </c>
      <c r="C280" s="117">
        <f t="array" ref="C280">H280+I280</f>
        <v>305000</v>
      </c>
      <c r="D280" s="65">
        <v>90000</v>
      </c>
      <c r="E280" s="65">
        <v>90000</v>
      </c>
      <c r="F280" s="118">
        <f t="array" ref="F280">J280-D280</f>
        <v>62500</v>
      </c>
      <c r="G280" s="108">
        <f t="array" ref="G280">K280-E280</f>
        <v>62500</v>
      </c>
      <c r="H280" s="81">
        <f t="array" ref="H280">E280+D280</f>
        <v>180000</v>
      </c>
      <c r="I280" s="117">
        <f t="array" ref="I280">G280+F280</f>
        <v>125000</v>
      </c>
      <c r="J280" s="65">
        <v>152500</v>
      </c>
      <c r="K280" s="65">
        <v>152500</v>
      </c>
      <c r="L280" s="120"/>
      <c r="M280" s="1"/>
      <c r="N280" s="1"/>
      <c r="O280" s="1"/>
      <c r="P280" s="1"/>
      <c r="Q280" s="1"/>
      <c r="R280" s="1"/>
      <c r="S280" s="1"/>
      <c r="T280" s="1"/>
      <c r="U280" s="1"/>
      <c r="V280" s="1"/>
      <c r="W280" s="1"/>
      <c r="X280" s="1"/>
      <c r="Y280" s="1"/>
      <c r="Z280" s="1"/>
    </row>
    <row r="281" spans="1:26" ht="20.25" customHeight="1">
      <c r="A281" s="11"/>
      <c r="B281" s="116">
        <f t="array" ref="B281">$B282-1</f>
        <v>2020</v>
      </c>
      <c r="C281" s="117">
        <f t="array" ref="C281">H281+I281</f>
        <v>230000</v>
      </c>
      <c r="D281" s="65">
        <v>68000</v>
      </c>
      <c r="E281" s="65">
        <v>68000</v>
      </c>
      <c r="F281" s="118">
        <f t="array" ref="F281">J281-D281</f>
        <v>47000</v>
      </c>
      <c r="G281" s="108">
        <f t="array" ref="G281">K281-E281</f>
        <v>47000</v>
      </c>
      <c r="H281" s="81">
        <f t="array" ref="H281">E281+D281</f>
        <v>136000</v>
      </c>
      <c r="I281" s="117">
        <f t="array" ref="I281">G281+F281</f>
        <v>94000</v>
      </c>
      <c r="J281" s="65">
        <v>115000</v>
      </c>
      <c r="K281" s="65">
        <v>115000</v>
      </c>
      <c r="L281" s="120"/>
      <c r="M281" s="1"/>
      <c r="N281" s="1"/>
      <c r="O281" s="1"/>
      <c r="P281" s="1"/>
      <c r="Q281" s="1"/>
      <c r="R281" s="1"/>
      <c r="S281" s="1"/>
      <c r="T281" s="1"/>
      <c r="U281" s="1"/>
      <c r="V281" s="1"/>
      <c r="W281" s="1"/>
      <c r="X281" s="1"/>
      <c r="Y281" s="1"/>
      <c r="Z281" s="1"/>
    </row>
    <row r="282" spans="1:26" ht="20.25" customHeight="1">
      <c r="A282" s="11"/>
      <c r="B282" s="116">
        <f t="array" ref="B282">$B283-1</f>
        <v>2021</v>
      </c>
      <c r="C282" s="117">
        <f t="array" ref="C282">H282+I282</f>
        <v>197000</v>
      </c>
      <c r="D282" s="65">
        <v>37000</v>
      </c>
      <c r="E282" s="65">
        <v>37000</v>
      </c>
      <c r="F282" s="118">
        <f t="array" ref="F282">J282-D282</f>
        <v>61500</v>
      </c>
      <c r="G282" s="108">
        <f t="array" ref="G282">K282-E282</f>
        <v>61500</v>
      </c>
      <c r="H282" s="81">
        <f t="array" ref="H282">E282+D282</f>
        <v>74000</v>
      </c>
      <c r="I282" s="117">
        <f t="array" ref="I282">G282+F282</f>
        <v>123000</v>
      </c>
      <c r="J282" s="65">
        <v>98500</v>
      </c>
      <c r="K282" s="65">
        <v>98500</v>
      </c>
      <c r="L282" s="120"/>
      <c r="M282" s="1"/>
      <c r="N282" s="1"/>
      <c r="O282" s="1"/>
      <c r="P282" s="1"/>
      <c r="Q282" s="1"/>
      <c r="R282" s="1"/>
      <c r="S282" s="1"/>
      <c r="T282" s="1"/>
      <c r="U282" s="1"/>
      <c r="V282" s="1"/>
      <c r="W282" s="1"/>
      <c r="X282" s="1"/>
      <c r="Y282" s="1"/>
      <c r="Z282" s="1"/>
    </row>
    <row r="283" spans="1:26" ht="20.25" customHeight="1">
      <c r="A283" s="11"/>
      <c r="B283" s="116">
        <f t="array" ref="B283">$B284-1</f>
        <v>2022</v>
      </c>
      <c r="C283" s="117">
        <f t="array" ref="C283">H283+I283</f>
        <v>279833</v>
      </c>
      <c r="D283" s="65">
        <v>57629</v>
      </c>
      <c r="E283" s="65">
        <v>47486</v>
      </c>
      <c r="F283" s="118">
        <f t="array" ref="F283">J283-D283</f>
        <v>95789</v>
      </c>
      <c r="G283" s="108">
        <f t="array" ref="G283">K283-E283</f>
        <v>78929</v>
      </c>
      <c r="H283" s="81">
        <f t="array" ref="H283">E283+D283</f>
        <v>105115</v>
      </c>
      <c r="I283" s="117">
        <f t="array" ref="I283">G283+F283</f>
        <v>174718</v>
      </c>
      <c r="J283" s="65">
        <v>153418</v>
      </c>
      <c r="K283" s="65">
        <v>126415</v>
      </c>
      <c r="L283" s="120"/>
      <c r="M283" s="1"/>
      <c r="N283" s="1"/>
      <c r="O283" s="1"/>
      <c r="P283" s="1"/>
      <c r="Q283" s="1"/>
      <c r="R283" s="1"/>
      <c r="S283" s="1"/>
      <c r="T283" s="1"/>
      <c r="U283" s="1"/>
      <c r="V283" s="1"/>
      <c r="W283" s="1"/>
      <c r="X283" s="1"/>
      <c r="Y283" s="1"/>
      <c r="Z283" s="1"/>
    </row>
    <row r="284" spans="1:26" ht="20.25" customHeight="1">
      <c r="A284" s="11"/>
      <c r="B284" s="116">
        <f t="array" ref="B284">$B285-1</f>
        <v>2023</v>
      </c>
      <c r="C284" s="117">
        <f t="array" ref="C284">H284+I284</f>
        <v>266368</v>
      </c>
      <c r="D284" s="65">
        <v>53926</v>
      </c>
      <c r="E284" s="65">
        <v>46131</v>
      </c>
      <c r="F284" s="118">
        <f t="array" ref="F284">J284-D284</f>
        <v>89635</v>
      </c>
      <c r="G284" s="108">
        <f t="array" ref="G284">K284-E284</f>
        <v>76676</v>
      </c>
      <c r="H284" s="81">
        <f t="array" ref="H284">E284+D284</f>
        <v>100057</v>
      </c>
      <c r="I284" s="117">
        <f t="array" ref="I284">G284+F284</f>
        <v>166311</v>
      </c>
      <c r="J284" s="65">
        <v>143561</v>
      </c>
      <c r="K284" s="65">
        <v>122807</v>
      </c>
      <c r="L284" s="120"/>
      <c r="M284" s="1"/>
      <c r="N284" s="1"/>
      <c r="O284" s="1"/>
      <c r="P284" s="1"/>
      <c r="Q284" s="1"/>
      <c r="R284" s="1"/>
      <c r="S284" s="1"/>
      <c r="T284" s="1"/>
      <c r="U284" s="1"/>
      <c r="V284" s="1"/>
      <c r="W284" s="1"/>
      <c r="X284" s="1"/>
      <c r="Y284" s="1"/>
      <c r="Z284" s="1"/>
    </row>
    <row r="285" spans="1:26" ht="20.25" customHeight="1">
      <c r="A285" s="11"/>
      <c r="B285" s="116">
        <f t="array" ref="B285">$C$7</f>
        <v>2024</v>
      </c>
      <c r="C285" s="117">
        <f t="array" ref="C285">H285+I285</f>
        <v>263233</v>
      </c>
      <c r="D285" s="65">
        <v>56787</v>
      </c>
      <c r="E285" s="123">
        <v>42092</v>
      </c>
      <c r="F285" s="108">
        <f t="array" ref="F285">J285-D285</f>
        <v>94390</v>
      </c>
      <c r="G285" s="108">
        <f t="array" ref="G285">K285-E285</f>
        <v>69964</v>
      </c>
      <c r="H285" s="81">
        <f t="array" ref="H285">E285+D285</f>
        <v>98879</v>
      </c>
      <c r="I285" s="117">
        <f t="array" ref="I285">G285+F285</f>
        <v>164354</v>
      </c>
      <c r="J285" s="121">
        <v>151177</v>
      </c>
      <c r="K285" s="121">
        <v>112056</v>
      </c>
      <c r="L285" s="120"/>
      <c r="M285" s="1"/>
      <c r="N285" s="1"/>
      <c r="O285" s="1"/>
      <c r="P285" s="1"/>
      <c r="Q285" s="1"/>
      <c r="R285" s="1"/>
      <c r="S285" s="1"/>
      <c r="T285" s="1"/>
      <c r="U285" s="1"/>
      <c r="V285" s="1"/>
      <c r="W285" s="1"/>
      <c r="X285" s="1"/>
      <c r="Y285" s="1"/>
      <c r="Z285" s="1"/>
    </row>
    <row r="286" spans="1:26" ht="20.25" customHeight="1">
      <c r="A286" s="15"/>
      <c r="B286" s="29" t="s">
        <v>727</v>
      </c>
      <c r="C286" s="110">
        <f t="array" ref="C286">AVERAGE(C276:C285)</f>
        <v>274043.40000000002</v>
      </c>
      <c r="D286" s="56">
        <f t="array" ref="D286">AVERAGE(D276:D285)</f>
        <v>79484.2</v>
      </c>
      <c r="E286" s="56">
        <f t="array" ref="E286">AVERAGE(E276:E285)</f>
        <v>76220.899999999994</v>
      </c>
      <c r="F286" s="110">
        <f t="array" ref="F286">AVERAGE(F276:F285)</f>
        <v>61881.4</v>
      </c>
      <c r="G286" s="110">
        <f t="array" ref="G286">AVERAGE(G276:G285)</f>
        <v>56456.9</v>
      </c>
      <c r="H286" s="110">
        <f t="array" ref="H286">AVERAGE(H276:H285)</f>
        <v>155705.1</v>
      </c>
      <c r="I286" s="110">
        <f t="array" ref="I286">AVERAGE(I276:I285)</f>
        <v>118338.3</v>
      </c>
      <c r="J286" s="110">
        <f t="array" ref="J286">AVERAGE(J276:J285)</f>
        <v>141365.6</v>
      </c>
      <c r="K286" s="110">
        <f t="array" ref="K286">AVERAGE(K276:K285)</f>
        <v>132677.79999999999</v>
      </c>
      <c r="L286" s="58"/>
      <c r="M286" s="1"/>
      <c r="N286" s="1"/>
      <c r="O286" s="1"/>
      <c r="P286" s="1"/>
      <c r="Q286" s="1"/>
      <c r="R286" s="1"/>
      <c r="S286" s="1"/>
      <c r="T286" s="1"/>
      <c r="U286" s="1"/>
      <c r="V286" s="1"/>
      <c r="W286" s="1"/>
      <c r="X286" s="1"/>
      <c r="Y286" s="1"/>
      <c r="Z286" s="1"/>
    </row>
    <row r="287" spans="1:26" ht="19.5" customHeight="1">
      <c r="A287" s="2"/>
      <c r="B287" s="17"/>
      <c r="C287" s="13"/>
      <c r="D287" s="13"/>
      <c r="E287" s="13"/>
      <c r="F287" s="13"/>
      <c r="G287" s="13"/>
      <c r="H287" s="13"/>
      <c r="I287" s="13"/>
      <c r="J287" s="13"/>
      <c r="K287" s="13"/>
      <c r="L287" s="13"/>
      <c r="M287" s="1"/>
      <c r="N287" s="1"/>
      <c r="O287" s="1"/>
      <c r="P287" s="1"/>
      <c r="Q287" s="1"/>
      <c r="R287" s="1"/>
      <c r="S287" s="1"/>
      <c r="T287" s="1"/>
      <c r="U287" s="1"/>
      <c r="V287" s="1"/>
      <c r="W287" s="1"/>
      <c r="X287" s="1"/>
      <c r="Y287" s="1"/>
      <c r="Z287" s="1"/>
    </row>
    <row r="288" spans="1:26" ht="19.5" customHeight="1">
      <c r="A288" s="23"/>
      <c r="B288" s="22" t="s">
        <v>76</v>
      </c>
      <c r="C288" s="163" t="str">
        <f t="array" ref="C288">IF(C289="","?",C289)&amp;IF(C290="","","; downloaded "&amp;C290)&amp;IF(C291="","","; "&amp;C291)</f>
        <v>https://www.insee.fr/fr/statistiques/8570316, https://ec.europa.eu/eurostat/databrowser/view/migr_emi4ctb, https://www.insee.fr/fr/statistiques/7454727; downloaded 2026-05-22</v>
      </c>
      <c r="D288" s="164"/>
      <c r="E288" s="164"/>
      <c r="F288" s="164"/>
      <c r="G288" s="164"/>
      <c r="H288" s="164"/>
      <c r="I288" s="164"/>
      <c r="J288" s="164"/>
      <c r="K288" s="165"/>
      <c r="L288" s="13"/>
      <c r="M288" s="1"/>
      <c r="N288" s="1"/>
      <c r="O288" s="1"/>
      <c r="P288" s="1"/>
      <c r="Q288" s="1"/>
      <c r="R288" s="1"/>
      <c r="S288" s="1"/>
      <c r="T288" s="1"/>
      <c r="U288" s="1"/>
      <c r="V288" s="1"/>
      <c r="W288" s="1"/>
      <c r="X288" s="1"/>
      <c r="Y288" s="1"/>
      <c r="Z288" s="1"/>
    </row>
    <row r="289" spans="1:26" ht="19.5" customHeight="1">
      <c r="A289" s="15"/>
      <c r="B289" s="22" t="s">
        <v>77</v>
      </c>
      <c r="C289" s="166" t="s">
        <v>728</v>
      </c>
      <c r="D289" s="164"/>
      <c r="E289" s="164"/>
      <c r="F289" s="164"/>
      <c r="G289" s="164"/>
      <c r="H289" s="164"/>
      <c r="I289" s="164"/>
      <c r="J289" s="164"/>
      <c r="K289" s="165"/>
      <c r="L289" s="13"/>
      <c r="M289" s="1"/>
      <c r="N289" s="1"/>
      <c r="O289" s="1"/>
      <c r="P289" s="1"/>
      <c r="Q289" s="1"/>
      <c r="R289" s="1"/>
      <c r="S289" s="1"/>
      <c r="T289" s="1"/>
      <c r="U289" s="1"/>
      <c r="V289" s="1"/>
      <c r="W289" s="1"/>
      <c r="X289" s="1"/>
      <c r="Y289" s="1"/>
      <c r="Z289" s="1"/>
    </row>
    <row r="290" spans="1:26" ht="19.5" customHeight="1">
      <c r="A290" s="23"/>
      <c r="B290" s="33" t="s">
        <v>79</v>
      </c>
      <c r="C290" s="166" t="s">
        <v>80</v>
      </c>
      <c r="D290" s="164"/>
      <c r="E290" s="164"/>
      <c r="F290" s="164"/>
      <c r="G290" s="164"/>
      <c r="H290" s="164"/>
      <c r="I290" s="164"/>
      <c r="J290" s="164"/>
      <c r="K290" s="165"/>
      <c r="L290" s="13"/>
      <c r="M290" s="1"/>
      <c r="N290" s="1"/>
      <c r="O290" s="1"/>
      <c r="P290" s="1"/>
      <c r="Q290" s="1"/>
      <c r="R290" s="1"/>
      <c r="S290" s="1"/>
      <c r="T290" s="1"/>
      <c r="U290" s="1"/>
      <c r="V290" s="1"/>
      <c r="W290" s="1"/>
      <c r="X290" s="1"/>
      <c r="Y290" s="1"/>
      <c r="Z290" s="1"/>
    </row>
    <row r="291" spans="1:26" ht="19.5" customHeight="1">
      <c r="A291" s="11"/>
      <c r="B291" s="12" t="s">
        <v>81</v>
      </c>
      <c r="C291" s="167"/>
      <c r="D291" s="168"/>
      <c r="E291" s="168"/>
      <c r="F291" s="168"/>
      <c r="G291" s="168"/>
      <c r="H291" s="168"/>
      <c r="I291" s="168"/>
      <c r="J291" s="168"/>
      <c r="K291" s="169"/>
      <c r="L291" s="13"/>
      <c r="M291" s="1"/>
      <c r="N291" s="1"/>
      <c r="O291" s="1"/>
      <c r="P291" s="1"/>
      <c r="Q291" s="1"/>
      <c r="R291" s="1"/>
      <c r="S291" s="1"/>
      <c r="T291" s="1"/>
      <c r="U291" s="1"/>
      <c r="V291" s="1"/>
      <c r="W291" s="1"/>
      <c r="X291" s="1"/>
      <c r="Y291" s="1"/>
      <c r="Z291" s="1"/>
    </row>
    <row r="292" spans="1:26" ht="19.5" customHeight="1">
      <c r="A292" s="11"/>
      <c r="B292" s="12" t="s">
        <v>82</v>
      </c>
      <c r="C292" s="170" t="s">
        <v>729</v>
      </c>
      <c r="D292" s="161"/>
      <c r="E292" s="161"/>
      <c r="F292" s="161"/>
      <c r="G292" s="161"/>
      <c r="H292" s="161"/>
      <c r="I292" s="161"/>
      <c r="J292" s="161"/>
      <c r="K292" s="162"/>
      <c r="L292" s="13"/>
      <c r="M292" s="1"/>
      <c r="N292" s="1"/>
      <c r="O292" s="1"/>
      <c r="P292" s="1"/>
      <c r="Q292" s="1"/>
      <c r="R292" s="1"/>
      <c r="S292" s="1"/>
      <c r="T292" s="1"/>
      <c r="U292" s="1"/>
      <c r="V292" s="1"/>
      <c r="W292" s="1"/>
      <c r="X292" s="1"/>
      <c r="Y292" s="1"/>
      <c r="Z292" s="1"/>
    </row>
    <row r="293" spans="1:26" ht="19.5" customHeight="1">
      <c r="A293" s="11"/>
      <c r="B293" s="12" t="s">
        <v>84</v>
      </c>
      <c r="C293" s="171"/>
      <c r="D293" s="164"/>
      <c r="E293" s="164"/>
      <c r="F293" s="164"/>
      <c r="G293" s="164"/>
      <c r="H293" s="164"/>
      <c r="I293" s="164"/>
      <c r="J293" s="164"/>
      <c r="K293" s="165"/>
      <c r="L293" s="13"/>
      <c r="M293" s="1"/>
      <c r="N293" s="1"/>
      <c r="O293" s="1"/>
      <c r="P293" s="1"/>
      <c r="Q293" s="1"/>
      <c r="R293" s="1"/>
      <c r="S293" s="1"/>
      <c r="T293" s="1"/>
      <c r="U293" s="1"/>
      <c r="V293" s="1"/>
      <c r="W293" s="1"/>
      <c r="X293" s="1"/>
      <c r="Y293" s="1"/>
      <c r="Z293" s="1"/>
    </row>
    <row r="294" spans="1:26" ht="19.5" customHeight="1">
      <c r="A294" s="42"/>
      <c r="B294" s="43"/>
      <c r="C294" s="44"/>
      <c r="D294" s="45"/>
      <c r="E294" s="45"/>
      <c r="F294" s="45"/>
      <c r="G294" s="45"/>
      <c r="H294" s="45"/>
      <c r="I294" s="45"/>
      <c r="J294" s="45"/>
      <c r="K294" s="45"/>
      <c r="L294" s="45"/>
      <c r="M294" s="1"/>
      <c r="N294" s="1"/>
      <c r="O294" s="1"/>
      <c r="P294" s="1"/>
      <c r="Q294" s="1"/>
      <c r="R294" s="1"/>
      <c r="S294" s="1"/>
      <c r="T294" s="1"/>
      <c r="U294" s="1"/>
      <c r="V294" s="1"/>
      <c r="W294" s="1"/>
      <c r="X294" s="1"/>
      <c r="Y294" s="1"/>
      <c r="Z294" s="1"/>
    </row>
    <row r="295" spans="1:26" ht="19.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9.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9.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9.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9.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9.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9.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9.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9.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9.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9.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9.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9.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9.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9.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9.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9.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9.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9.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9.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9.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9.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9.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9.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9.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9.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9.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9.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9.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9.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9.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9.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9.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9.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9.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9.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9.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9.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9.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9.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9.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9.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9.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9.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9.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9.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9.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9.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9.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9.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9.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9.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9.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9.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9.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9.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9.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9.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9.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9.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9.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9.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9.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9.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9.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9.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9.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9.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9.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9.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9.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9.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9.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9.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9.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9.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9.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9.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9.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9.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9.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9.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9.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9.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9.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9.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9.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9.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9.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9.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9.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9.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9.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9.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9.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9.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9.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9.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9.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9.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9.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9.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9.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9.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9.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9.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9.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9.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9.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9.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9.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9.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9.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9.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9.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9.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9.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9.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9.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9.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9.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9.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9.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9.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9.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9.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9.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9.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9.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9.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9.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9.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9.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9.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9.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9.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9.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9.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9.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9.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9.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9.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9.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9.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9.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9.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9.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9.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9.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9.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9.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9.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9.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9.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9.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9.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9.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9.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9.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9.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9.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9.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9.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9.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9.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9.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9.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9.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9.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9.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9.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9.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9.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9.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9.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9.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9.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9.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9.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9.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9.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9.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9.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9.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9.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9.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9.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9.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9.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9.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9.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9.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9.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9.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9.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9.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9.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9.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9.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9.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9.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9.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9.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9.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9.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9.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9.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9.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9.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9.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9.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9.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9.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9.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9.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9.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9.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9.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9.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9.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9.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9.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9.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9.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9.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9.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9.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9.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9.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9.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9.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9.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9.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9.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9.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9.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9.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9.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9.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9.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9.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9.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9.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9.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9.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9.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9.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9.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9.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9.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9.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9.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9.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9.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9.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9.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9.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9.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9.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9.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9.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9.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9.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9.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9.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9.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9.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9.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9.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9.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9.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9.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9.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9.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9.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9.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9.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9.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9.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9.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9.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9.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9.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9.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9.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9.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9.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9.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9.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9.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9.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9.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9.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9.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9.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9.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9.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9.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9.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9.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9.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9.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9.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9.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9.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9.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9.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9.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9.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9.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9.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9.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9.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9.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9.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9.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9.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9.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9.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9.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9.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9.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9.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9.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9.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9.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9.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9.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9.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9.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9.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9.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9.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9.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9.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9.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9.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9.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9.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9.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9.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9.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9.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9.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9.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9.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9.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9.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9.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9.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9.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9.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9.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9.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9.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9.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9.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9.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9.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9.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9.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9.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9.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9.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9.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9.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9.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9.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9.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9.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9.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9.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9.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9.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9.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9.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9.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9.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9.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9.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9.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9.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9.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9.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9.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9.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9.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9.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9.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9.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9.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9.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9.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9.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9.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9.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9.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9.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9.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9.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9.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9.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9.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9.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9.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9.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9.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9.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9.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9.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9.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9.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9.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9.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9.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9.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9.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9.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9.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9.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9.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9.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9.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9.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9.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9.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9.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9.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9.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9.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9.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9.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9.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9.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9.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9.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9.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9.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9.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9.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9.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9.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9.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9.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9.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9.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9.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9.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9.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9.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9.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9.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9.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9.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9.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9.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9.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9.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9.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9.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9.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9.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9.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9.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9.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9.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9.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9.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9.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9.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9.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9.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9.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9.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9.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9.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9.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9.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9.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9.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9.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9.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9.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9.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9.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9.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9.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9.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9.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9.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9.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9.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9.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9.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9.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9.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9.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9.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9.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9.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9.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9.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9.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9.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9.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9.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9.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9.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9.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9.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9.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9.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9.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9.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9.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9.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9.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9.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9.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9.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9.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9.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9.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9.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9.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9.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9.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9.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9.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9.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9.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9.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9.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9.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9.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9.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9.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9.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9.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9.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9.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9.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9.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9.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9.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9.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9.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9.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9.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9.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9.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9.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9.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9.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9.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9.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9.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9.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9.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9.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9.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9.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9.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9.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9.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9.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9.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9.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9.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9.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9.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9.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9.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9.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9.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9.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9.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9.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9.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9.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9.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9.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9.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9.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9.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9.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9.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9.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9.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9.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9.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9.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9.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9.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9.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9.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9.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9.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9.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9.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9.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9.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9.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9.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9.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9.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9.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9.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9.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9.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9.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9.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9.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9.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9.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9.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9.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9.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9.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9.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9.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9.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9.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9.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9.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9.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9.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9.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9.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9.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9.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9.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9.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9.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9.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9.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9.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9.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9.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9.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9.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9.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9.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9.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9.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9.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9.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9.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9.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9.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9.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9.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9.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9.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9.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9.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9.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9.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9.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9.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9.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9.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9.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9.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9.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9.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9.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9.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9.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9.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9.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9.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9.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9.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9.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9.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9.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9.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9.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9.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9.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9.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9.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9.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9.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9.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9.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9.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9.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9.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9.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9.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9.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9.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9.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9.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9.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9.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9.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9.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9.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9.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9.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9.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9.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9.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4">
    <mergeCell ref="C292:K292"/>
    <mergeCell ref="C293:K293"/>
    <mergeCell ref="C204:K204"/>
    <mergeCell ref="C205:K205"/>
    <mergeCell ref="C206:K206"/>
    <mergeCell ref="C208:K208"/>
    <mergeCell ref="C288:K288"/>
    <mergeCell ref="C289:K289"/>
    <mergeCell ref="C290:K290"/>
    <mergeCell ref="C121:K121"/>
    <mergeCell ref="C201:K201"/>
    <mergeCell ref="C202:K202"/>
    <mergeCell ref="C203:K203"/>
    <mergeCell ref="C291:K291"/>
    <mergeCell ref="C115:K115"/>
    <mergeCell ref="C116:K116"/>
    <mergeCell ref="C117:K117"/>
    <mergeCell ref="C118:K118"/>
    <mergeCell ref="C120:K120"/>
    <mergeCell ref="A1:L1"/>
    <mergeCell ref="C4:K4"/>
    <mergeCell ref="C5:K5"/>
    <mergeCell ref="C113:K113"/>
    <mergeCell ref="C114:K114"/>
  </mergeCells>
  <pageMargins left="1" right="1" top="1" bottom="1" header="0" footer="0"/>
  <pageSetup orientation="portrait"/>
  <headerFooter>
    <oddFooter>&amp;C 000000&amp;P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Z1000"/>
  <sheetViews>
    <sheetView showGridLines="0" workbookViewId="0">
      <pane xSplit="2" ySplit="3" topLeftCell="C4" activePane="bottomRight" state="frozen"/>
      <selection pane="topRight" activeCell="C1" sqref="C1"/>
      <selection pane="bottomLeft" activeCell="A4" sqref="A4"/>
      <selection pane="bottomRight" activeCell="C4" sqref="C4"/>
    </sheetView>
  </sheetViews>
  <sheetFormatPr baseColWidth="10" defaultColWidth="14.42578125" defaultRowHeight="15" customHeight="1"/>
  <cols>
    <col min="1" max="1" width="6.7109375" customWidth="1"/>
    <col min="2" max="2" width="33.28515625" customWidth="1"/>
    <col min="3" max="12" width="13.28515625" customWidth="1"/>
    <col min="13" max="26" width="16.28515625" customWidth="1"/>
  </cols>
  <sheetData>
    <row r="1" spans="1:26" ht="27" customHeight="1">
      <c r="A1" s="155" t="s">
        <v>730</v>
      </c>
      <c r="B1" s="156"/>
      <c r="C1" s="156"/>
      <c r="D1" s="156"/>
      <c r="E1" s="156"/>
      <c r="F1" s="156"/>
      <c r="G1" s="156"/>
      <c r="H1" s="156"/>
      <c r="I1" s="156"/>
      <c r="J1" s="156"/>
      <c r="K1" s="156"/>
      <c r="L1" s="156"/>
      <c r="M1" s="1"/>
      <c r="N1" s="1"/>
      <c r="O1" s="1"/>
      <c r="P1" s="1"/>
      <c r="Q1" s="1"/>
      <c r="R1" s="1"/>
      <c r="S1" s="1"/>
      <c r="T1" s="1"/>
      <c r="U1" s="1"/>
      <c r="V1" s="1"/>
      <c r="W1" s="1"/>
      <c r="X1" s="1"/>
      <c r="Y1" s="1"/>
      <c r="Z1" s="1"/>
    </row>
    <row r="2" spans="1:26" ht="19.5" customHeight="1">
      <c r="A2" s="2"/>
      <c r="B2" s="2"/>
      <c r="C2" s="3" t="s">
        <v>1</v>
      </c>
      <c r="D2" s="3" t="s">
        <v>2</v>
      </c>
      <c r="E2" s="3" t="s">
        <v>3</v>
      </c>
      <c r="F2" s="3" t="s">
        <v>4</v>
      </c>
      <c r="G2" s="3" t="s">
        <v>5</v>
      </c>
      <c r="H2" s="3" t="s">
        <v>6</v>
      </c>
      <c r="I2" s="3" t="s">
        <v>7</v>
      </c>
      <c r="J2" s="3" t="s">
        <v>8</v>
      </c>
      <c r="K2" s="3" t="s">
        <v>9</v>
      </c>
      <c r="L2" s="2"/>
      <c r="M2" s="1"/>
      <c r="N2" s="1"/>
      <c r="O2" s="1"/>
      <c r="P2" s="1"/>
      <c r="Q2" s="1"/>
      <c r="R2" s="1"/>
      <c r="S2" s="1"/>
      <c r="T2" s="1"/>
      <c r="U2" s="1"/>
      <c r="V2" s="1"/>
      <c r="W2" s="1"/>
      <c r="X2" s="1"/>
      <c r="Y2" s="1"/>
      <c r="Z2" s="1"/>
    </row>
    <row r="3" spans="1:26" ht="32.25" customHeight="1">
      <c r="A3" s="23"/>
      <c r="B3" s="46" t="str">
        <f t="array" ref="B3">overview!C11&amp;" / "&amp;overview!C12</f>
        <v>FR / France</v>
      </c>
      <c r="C3" s="47" t="s">
        <v>10</v>
      </c>
      <c r="D3" s="47" t="s">
        <v>11</v>
      </c>
      <c r="E3" s="47" t="s">
        <v>12</v>
      </c>
      <c r="F3" s="47" t="s">
        <v>13</v>
      </c>
      <c r="G3" s="47" t="s">
        <v>14</v>
      </c>
      <c r="H3" s="47" t="s">
        <v>15</v>
      </c>
      <c r="I3" s="47" t="s">
        <v>16</v>
      </c>
      <c r="J3" s="47" t="s">
        <v>17</v>
      </c>
      <c r="K3" s="47" t="s">
        <v>18</v>
      </c>
      <c r="L3" s="6" t="s">
        <v>19</v>
      </c>
      <c r="M3" s="1"/>
      <c r="N3" s="1"/>
      <c r="O3" s="1"/>
      <c r="P3" s="1"/>
      <c r="Q3" s="1"/>
      <c r="R3" s="1"/>
      <c r="S3" s="1"/>
      <c r="T3" s="1"/>
      <c r="U3" s="1"/>
      <c r="V3" s="1"/>
      <c r="W3" s="1"/>
      <c r="X3" s="1"/>
      <c r="Y3" s="1"/>
      <c r="Z3" s="1"/>
    </row>
    <row r="4" spans="1:26" ht="33" customHeight="1">
      <c r="A4" s="48"/>
      <c r="B4" s="49" t="s">
        <v>304</v>
      </c>
      <c r="C4" s="157" t="s">
        <v>305</v>
      </c>
      <c r="D4" s="158"/>
      <c r="E4" s="158"/>
      <c r="F4" s="158"/>
      <c r="G4" s="158"/>
      <c r="H4" s="158"/>
      <c r="I4" s="158"/>
      <c r="J4" s="158"/>
      <c r="K4" s="159"/>
      <c r="L4" s="50"/>
      <c r="M4" s="1"/>
      <c r="N4" s="1"/>
      <c r="O4" s="1"/>
      <c r="P4" s="1"/>
      <c r="Q4" s="1"/>
      <c r="R4" s="1"/>
      <c r="S4" s="1"/>
      <c r="T4" s="1"/>
      <c r="U4" s="1"/>
      <c r="V4" s="1"/>
      <c r="W4" s="1"/>
      <c r="X4" s="1"/>
      <c r="Y4" s="1"/>
      <c r="Z4" s="1"/>
    </row>
    <row r="5" spans="1:26" ht="26.25" customHeight="1">
      <c r="A5" s="124"/>
      <c r="B5" s="52" t="s">
        <v>731</v>
      </c>
      <c r="C5" s="160" t="s">
        <v>732</v>
      </c>
      <c r="D5" s="161"/>
      <c r="E5" s="161"/>
      <c r="F5" s="161"/>
      <c r="G5" s="161"/>
      <c r="H5" s="161"/>
      <c r="I5" s="161"/>
      <c r="J5" s="161"/>
      <c r="K5" s="162"/>
      <c r="L5" s="21"/>
      <c r="M5" s="1"/>
      <c r="N5" s="1"/>
      <c r="O5" s="1"/>
      <c r="P5" s="1"/>
      <c r="Q5" s="1"/>
      <c r="R5" s="1"/>
      <c r="S5" s="1"/>
      <c r="T5" s="1"/>
      <c r="U5" s="1"/>
      <c r="V5" s="1"/>
      <c r="W5" s="1"/>
      <c r="X5" s="1"/>
      <c r="Y5" s="1"/>
      <c r="Z5" s="1"/>
    </row>
    <row r="6" spans="1:26" ht="19.5" customHeight="1">
      <c r="A6" s="15"/>
      <c r="B6" s="17"/>
      <c r="C6" s="53"/>
      <c r="D6" s="58"/>
      <c r="E6" s="58"/>
      <c r="F6" s="58"/>
      <c r="G6" s="58"/>
      <c r="H6" s="58"/>
      <c r="I6" s="58"/>
      <c r="J6" s="58"/>
      <c r="K6" s="58"/>
      <c r="L6" s="58"/>
      <c r="M6" s="1"/>
      <c r="N6" s="1"/>
      <c r="O6" s="1"/>
      <c r="P6" s="1"/>
      <c r="Q6" s="1"/>
      <c r="R6" s="1"/>
      <c r="S6" s="1"/>
      <c r="T6" s="1"/>
      <c r="U6" s="1"/>
      <c r="V6" s="1"/>
      <c r="W6" s="1"/>
      <c r="X6" s="1"/>
      <c r="Y6" s="1"/>
      <c r="Z6" s="1"/>
    </row>
    <row r="7" spans="1:26" ht="19.5" customHeight="1">
      <c r="A7" s="2"/>
      <c r="B7" s="22" t="s">
        <v>733</v>
      </c>
      <c r="C7" s="54">
        <v>2025</v>
      </c>
      <c r="D7" s="53"/>
      <c r="E7" s="53"/>
      <c r="F7" s="53"/>
      <c r="G7" s="53"/>
      <c r="H7" s="53"/>
      <c r="I7" s="53"/>
      <c r="J7" s="53"/>
      <c r="K7" s="53"/>
      <c r="L7" s="53"/>
      <c r="M7" s="1"/>
      <c r="N7" s="1"/>
      <c r="O7" s="1"/>
      <c r="P7" s="1"/>
      <c r="Q7" s="1"/>
      <c r="R7" s="1"/>
      <c r="S7" s="1"/>
      <c r="T7" s="1"/>
      <c r="U7" s="1"/>
      <c r="V7" s="1"/>
      <c r="W7" s="1"/>
      <c r="X7" s="1"/>
      <c r="Y7" s="1"/>
      <c r="Z7" s="1"/>
    </row>
    <row r="8" spans="1:26" ht="19.5" customHeight="1">
      <c r="A8" s="2"/>
      <c r="B8" s="17"/>
      <c r="C8" s="55"/>
      <c r="D8" s="53"/>
      <c r="E8" s="53"/>
      <c r="F8" s="53"/>
      <c r="G8" s="53"/>
      <c r="H8" s="53"/>
      <c r="I8" s="53"/>
      <c r="J8" s="53"/>
      <c r="K8" s="53"/>
      <c r="L8" s="53"/>
      <c r="M8" s="1"/>
      <c r="N8" s="1"/>
      <c r="O8" s="1"/>
      <c r="P8" s="1"/>
      <c r="Q8" s="1"/>
      <c r="R8" s="1"/>
      <c r="S8" s="1"/>
      <c r="T8" s="1"/>
      <c r="U8" s="1"/>
      <c r="V8" s="1"/>
      <c r="W8" s="1"/>
      <c r="X8" s="1"/>
      <c r="Y8" s="1"/>
      <c r="Z8" s="1"/>
    </row>
    <row r="9" spans="1:26" ht="19.5" customHeight="1">
      <c r="A9" s="2"/>
      <c r="B9" s="22" t="s">
        <v>734</v>
      </c>
      <c r="C9" s="53"/>
      <c r="D9" s="58"/>
      <c r="E9" s="58"/>
      <c r="F9" s="58"/>
      <c r="G9" s="58"/>
      <c r="H9" s="58"/>
      <c r="I9" s="58"/>
      <c r="J9" s="58"/>
      <c r="K9" s="58"/>
      <c r="L9" s="58"/>
      <c r="M9" s="1"/>
      <c r="N9" s="1"/>
      <c r="O9" s="1"/>
      <c r="P9" s="1"/>
      <c r="Q9" s="1"/>
      <c r="R9" s="1"/>
      <c r="S9" s="1"/>
      <c r="T9" s="1"/>
      <c r="U9" s="1"/>
      <c r="V9" s="1"/>
      <c r="W9" s="1"/>
      <c r="X9" s="1"/>
      <c r="Y9" s="1"/>
      <c r="Z9" s="1"/>
    </row>
    <row r="10" spans="1:26" ht="19.5" customHeight="1">
      <c r="A10" s="3" t="s">
        <v>735</v>
      </c>
      <c r="B10" s="22" t="s">
        <v>736</v>
      </c>
      <c r="C10" s="125" t="s">
        <v>737</v>
      </c>
      <c r="D10" s="58"/>
      <c r="E10" s="58"/>
      <c r="F10" s="75"/>
      <c r="G10" s="75"/>
      <c r="H10" s="58"/>
      <c r="I10" s="56">
        <f t="array" ref="I10">G10+F10</f>
        <v>0</v>
      </c>
      <c r="J10" s="58"/>
      <c r="K10" s="58"/>
      <c r="L10" s="58"/>
      <c r="M10" s="1"/>
      <c r="N10" s="1"/>
      <c r="O10" s="1"/>
      <c r="P10" s="1"/>
      <c r="Q10" s="1"/>
      <c r="R10" s="1"/>
      <c r="S10" s="1"/>
      <c r="T10" s="1"/>
      <c r="U10" s="1"/>
      <c r="V10" s="1"/>
      <c r="W10" s="1"/>
      <c r="X10" s="1"/>
      <c r="Y10" s="1"/>
      <c r="Z10" s="1"/>
    </row>
    <row r="11" spans="1:26" ht="19.5" customHeight="1">
      <c r="A11" s="3" t="s">
        <v>738</v>
      </c>
      <c r="B11" s="22" t="s">
        <v>739</v>
      </c>
      <c r="C11" s="18" t="s">
        <v>740</v>
      </c>
      <c r="D11" s="58"/>
      <c r="E11" s="58"/>
      <c r="F11" s="75"/>
      <c r="G11" s="75"/>
      <c r="H11" s="58"/>
      <c r="I11" s="56">
        <f t="array" ref="I11">G11+F11</f>
        <v>0</v>
      </c>
      <c r="J11" s="58"/>
      <c r="K11" s="58"/>
      <c r="L11" s="58"/>
      <c r="M11" s="1"/>
      <c r="N11" s="1"/>
      <c r="O11" s="1"/>
      <c r="P11" s="1"/>
      <c r="Q11" s="1"/>
      <c r="R11" s="1"/>
      <c r="S11" s="1"/>
      <c r="T11" s="1"/>
      <c r="U11" s="1"/>
      <c r="V11" s="1"/>
      <c r="W11" s="1"/>
      <c r="X11" s="1"/>
      <c r="Y11" s="1"/>
      <c r="Z11" s="1"/>
    </row>
    <row r="12" spans="1:26" ht="19.5" customHeight="1">
      <c r="A12" s="3" t="s">
        <v>741</v>
      </c>
      <c r="B12" s="22" t="s">
        <v>742</v>
      </c>
      <c r="C12" s="18" t="s">
        <v>743</v>
      </c>
      <c r="D12" s="58"/>
      <c r="E12" s="58"/>
      <c r="F12" s="75">
        <v>4675</v>
      </c>
      <c r="G12" s="75">
        <v>2914</v>
      </c>
      <c r="H12" s="58"/>
      <c r="I12" s="56">
        <f t="array" ref="I12">G12+F12</f>
        <v>7589</v>
      </c>
      <c r="J12" s="58"/>
      <c r="K12" s="58"/>
      <c r="L12" s="58"/>
      <c r="M12" s="1"/>
      <c r="N12" s="1"/>
      <c r="O12" s="1"/>
      <c r="P12" s="1"/>
      <c r="Q12" s="1"/>
      <c r="R12" s="1"/>
      <c r="S12" s="1"/>
      <c r="T12" s="1"/>
      <c r="U12" s="1"/>
      <c r="V12" s="1"/>
      <c r="W12" s="1"/>
      <c r="X12" s="1"/>
      <c r="Y12" s="1"/>
      <c r="Z12" s="1"/>
    </row>
    <row r="13" spans="1:26" ht="19.5" customHeight="1">
      <c r="A13" s="3" t="s">
        <v>744</v>
      </c>
      <c r="B13" s="22" t="s">
        <v>745</v>
      </c>
      <c r="C13" s="18" t="s">
        <v>746</v>
      </c>
      <c r="D13" s="58"/>
      <c r="E13" s="58"/>
      <c r="F13" s="75"/>
      <c r="G13" s="75"/>
      <c r="H13" s="58"/>
      <c r="I13" s="56">
        <f t="array" ref="I13">G13+F13</f>
        <v>0</v>
      </c>
      <c r="J13" s="58"/>
      <c r="K13" s="58"/>
      <c r="L13" s="58"/>
      <c r="M13" s="1"/>
      <c r="N13" s="1"/>
      <c r="O13" s="1"/>
      <c r="P13" s="1"/>
      <c r="Q13" s="1"/>
      <c r="R13" s="1"/>
      <c r="S13" s="1"/>
      <c r="T13" s="1"/>
      <c r="U13" s="1"/>
      <c r="V13" s="1"/>
      <c r="W13" s="1"/>
      <c r="X13" s="1"/>
      <c r="Y13" s="1"/>
      <c r="Z13" s="1"/>
    </row>
    <row r="14" spans="1:26" ht="19.5" customHeight="1">
      <c r="A14" s="3" t="s">
        <v>747</v>
      </c>
      <c r="B14" s="22" t="s">
        <v>748</v>
      </c>
      <c r="C14" s="18" t="s">
        <v>749</v>
      </c>
      <c r="D14" s="58"/>
      <c r="E14" s="58"/>
      <c r="F14" s="75"/>
      <c r="G14" s="75"/>
      <c r="H14" s="58"/>
      <c r="I14" s="56">
        <f t="array" ref="I14">G14+F14</f>
        <v>0</v>
      </c>
      <c r="J14" s="58"/>
      <c r="K14" s="58"/>
      <c r="L14" s="58"/>
      <c r="M14" s="1"/>
      <c r="N14" s="1"/>
      <c r="O14" s="1"/>
      <c r="P14" s="1"/>
      <c r="Q14" s="1"/>
      <c r="R14" s="1"/>
      <c r="S14" s="1"/>
      <c r="T14" s="1"/>
      <c r="U14" s="1"/>
      <c r="V14" s="1"/>
      <c r="W14" s="1"/>
      <c r="X14" s="1"/>
      <c r="Y14" s="1"/>
      <c r="Z14" s="1"/>
    </row>
    <row r="15" spans="1:26" ht="19.5" customHeight="1">
      <c r="A15" s="3" t="s">
        <v>750</v>
      </c>
      <c r="B15" s="22" t="s">
        <v>751</v>
      </c>
      <c r="C15" s="18" t="s">
        <v>752</v>
      </c>
      <c r="D15" s="58"/>
      <c r="E15" s="58"/>
      <c r="F15" s="75">
        <v>72208</v>
      </c>
      <c r="G15" s="75">
        <v>62016</v>
      </c>
      <c r="H15" s="58"/>
      <c r="I15" s="56">
        <f t="array" ref="I15">G15+F15</f>
        <v>134224</v>
      </c>
      <c r="J15" s="58"/>
      <c r="K15" s="58"/>
      <c r="L15" s="58"/>
      <c r="M15" s="1"/>
      <c r="N15" s="1"/>
      <c r="O15" s="1"/>
      <c r="P15" s="1"/>
      <c r="Q15" s="1"/>
      <c r="R15" s="1"/>
      <c r="S15" s="1"/>
      <c r="T15" s="1"/>
      <c r="U15" s="1"/>
      <c r="V15" s="1"/>
      <c r="W15" s="1"/>
      <c r="X15" s="1"/>
      <c r="Y15" s="1"/>
      <c r="Z15" s="1"/>
    </row>
    <row r="16" spans="1:26" ht="19.5" customHeight="1">
      <c r="A16" s="3" t="s">
        <v>753</v>
      </c>
      <c r="B16" s="22" t="s">
        <v>754</v>
      </c>
      <c r="C16" s="18" t="s">
        <v>755</v>
      </c>
      <c r="D16" s="58"/>
      <c r="E16" s="58"/>
      <c r="F16" s="75">
        <v>13533</v>
      </c>
      <c r="G16" s="75">
        <v>11206</v>
      </c>
      <c r="H16" s="58"/>
      <c r="I16" s="56">
        <f t="array" ref="I16">G16+F16</f>
        <v>24739</v>
      </c>
      <c r="J16" s="58"/>
      <c r="K16" s="58"/>
      <c r="L16" s="58"/>
      <c r="M16" s="1"/>
      <c r="N16" s="1"/>
      <c r="O16" s="1"/>
      <c r="P16" s="1"/>
      <c r="Q16" s="1"/>
      <c r="R16" s="1"/>
      <c r="S16" s="1"/>
      <c r="T16" s="1"/>
      <c r="U16" s="1"/>
      <c r="V16" s="1"/>
      <c r="W16" s="1"/>
      <c r="X16" s="1"/>
      <c r="Y16" s="1"/>
      <c r="Z16" s="1"/>
    </row>
    <row r="17" spans="1:26" ht="19.5" customHeight="1">
      <c r="A17" s="3" t="s">
        <v>756</v>
      </c>
      <c r="B17" s="22" t="s">
        <v>757</v>
      </c>
      <c r="C17" s="18" t="s">
        <v>758</v>
      </c>
      <c r="D17" s="58"/>
      <c r="E17" s="58"/>
      <c r="F17" s="75"/>
      <c r="G17" s="75"/>
      <c r="H17" s="58"/>
      <c r="I17" s="56">
        <f t="array" ref="I17">G17+F17</f>
        <v>0</v>
      </c>
      <c r="J17" s="58"/>
      <c r="K17" s="58"/>
      <c r="L17" s="58"/>
      <c r="M17" s="1"/>
      <c r="N17" s="1"/>
      <c r="O17" s="1"/>
      <c r="P17" s="1"/>
      <c r="Q17" s="1"/>
      <c r="R17" s="1"/>
      <c r="S17" s="1"/>
      <c r="T17" s="1"/>
      <c r="U17" s="1"/>
      <c r="V17" s="1"/>
      <c r="W17" s="1"/>
      <c r="X17" s="1"/>
      <c r="Y17" s="1"/>
      <c r="Z17" s="1"/>
    </row>
    <row r="18" spans="1:26" ht="19.5" customHeight="1">
      <c r="A18" s="3" t="s">
        <v>759</v>
      </c>
      <c r="B18" s="22" t="s">
        <v>760</v>
      </c>
      <c r="C18" s="18" t="s">
        <v>761</v>
      </c>
      <c r="D18" s="58"/>
      <c r="E18" s="58"/>
      <c r="F18" s="75"/>
      <c r="G18" s="75"/>
      <c r="H18" s="58"/>
      <c r="I18" s="56">
        <f t="array" ref="I18">G18+F18</f>
        <v>0</v>
      </c>
      <c r="J18" s="58"/>
      <c r="K18" s="58"/>
      <c r="L18" s="58"/>
      <c r="M18" s="1"/>
      <c r="N18" s="1"/>
      <c r="O18" s="1"/>
      <c r="P18" s="1"/>
      <c r="Q18" s="1"/>
      <c r="R18" s="1"/>
      <c r="S18" s="1"/>
      <c r="T18" s="1"/>
      <c r="U18" s="1"/>
      <c r="V18" s="1"/>
      <c r="W18" s="1"/>
      <c r="X18" s="1"/>
      <c r="Y18" s="1"/>
      <c r="Z18" s="1"/>
    </row>
    <row r="19" spans="1:26" ht="19.5" customHeight="1">
      <c r="A19" s="3" t="s">
        <v>762</v>
      </c>
      <c r="B19" s="22" t="s">
        <v>763</v>
      </c>
      <c r="C19" s="18" t="s">
        <v>764</v>
      </c>
      <c r="D19" s="58"/>
      <c r="E19" s="58"/>
      <c r="F19" s="75">
        <v>4396</v>
      </c>
      <c r="G19" s="75">
        <v>2373</v>
      </c>
      <c r="H19" s="58"/>
      <c r="I19" s="56">
        <f t="array" ref="I19">G19+F19</f>
        <v>6769</v>
      </c>
      <c r="J19" s="58"/>
      <c r="K19" s="58"/>
      <c r="L19" s="58"/>
      <c r="M19" s="1"/>
      <c r="N19" s="1"/>
      <c r="O19" s="1"/>
      <c r="P19" s="1"/>
      <c r="Q19" s="1"/>
      <c r="R19" s="1"/>
      <c r="S19" s="1"/>
      <c r="T19" s="1"/>
      <c r="U19" s="1"/>
      <c r="V19" s="1"/>
      <c r="W19" s="1"/>
      <c r="X19" s="1"/>
      <c r="Y19" s="1"/>
      <c r="Z19" s="1"/>
    </row>
    <row r="20" spans="1:26" ht="19.5" customHeight="1">
      <c r="A20" s="3" t="s">
        <v>765</v>
      </c>
      <c r="B20" s="22" t="s">
        <v>766</v>
      </c>
      <c r="C20" s="18" t="s">
        <v>767</v>
      </c>
      <c r="D20" s="58"/>
      <c r="E20" s="58"/>
      <c r="F20" s="75">
        <v>83441</v>
      </c>
      <c r="G20" s="75">
        <v>65987</v>
      </c>
      <c r="H20" s="58"/>
      <c r="I20" s="56">
        <f t="array" ref="I20">G20+F20</f>
        <v>149428</v>
      </c>
      <c r="J20" s="58"/>
      <c r="K20" s="58"/>
      <c r="L20" s="58"/>
      <c r="M20" s="1"/>
      <c r="N20" s="1"/>
      <c r="O20" s="1"/>
      <c r="P20" s="1"/>
      <c r="Q20" s="1"/>
      <c r="R20" s="1"/>
      <c r="S20" s="1"/>
      <c r="T20" s="1"/>
      <c r="U20" s="1"/>
      <c r="V20" s="1"/>
      <c r="W20" s="1"/>
      <c r="X20" s="1"/>
      <c r="Y20" s="1"/>
      <c r="Z20" s="1"/>
    </row>
    <row r="21" spans="1:26" ht="19.5" customHeight="1">
      <c r="A21" s="3" t="s">
        <v>768</v>
      </c>
      <c r="B21" s="22" t="s">
        <v>769</v>
      </c>
      <c r="C21" s="18" t="s">
        <v>770</v>
      </c>
      <c r="D21" s="58"/>
      <c r="E21" s="58"/>
      <c r="F21" s="75">
        <v>2267</v>
      </c>
      <c r="G21" s="75">
        <v>1676</v>
      </c>
      <c r="H21" s="58"/>
      <c r="I21" s="56">
        <f t="array" ref="I21">G21+F21</f>
        <v>3943</v>
      </c>
      <c r="J21" s="58"/>
      <c r="K21" s="58"/>
      <c r="L21" s="58"/>
      <c r="M21" s="1"/>
      <c r="N21" s="1"/>
      <c r="O21" s="1"/>
      <c r="P21" s="1"/>
      <c r="Q21" s="1"/>
      <c r="R21" s="1"/>
      <c r="S21" s="1"/>
      <c r="T21" s="1"/>
      <c r="U21" s="1"/>
      <c r="V21" s="1"/>
      <c r="W21" s="1"/>
      <c r="X21" s="1"/>
      <c r="Y21" s="1"/>
      <c r="Z21" s="1"/>
    </row>
    <row r="22" spans="1:26" ht="19.5" customHeight="1">
      <c r="A22" s="3" t="s">
        <v>771</v>
      </c>
      <c r="B22" s="22" t="s">
        <v>772</v>
      </c>
      <c r="C22" s="18" t="s">
        <v>773</v>
      </c>
      <c r="D22" s="58"/>
      <c r="E22" s="58"/>
      <c r="F22" s="75">
        <v>802</v>
      </c>
      <c r="G22" s="75">
        <v>373</v>
      </c>
      <c r="H22" s="58"/>
      <c r="I22" s="56">
        <f t="array" ref="I22">G22+F22</f>
        <v>1175</v>
      </c>
      <c r="J22" s="58"/>
      <c r="K22" s="58"/>
      <c r="L22" s="58"/>
      <c r="M22" s="1"/>
      <c r="N22" s="1"/>
      <c r="O22" s="1"/>
      <c r="P22" s="1"/>
      <c r="Q22" s="1"/>
      <c r="R22" s="1"/>
      <c r="S22" s="1"/>
      <c r="T22" s="1"/>
      <c r="U22" s="1"/>
      <c r="V22" s="1"/>
      <c r="W22" s="1"/>
      <c r="X22" s="1"/>
      <c r="Y22" s="1"/>
      <c r="Z22" s="1"/>
    </row>
    <row r="23" spans="1:26" ht="19.5" customHeight="1">
      <c r="A23" s="3" t="s">
        <v>774</v>
      </c>
      <c r="B23" s="22" t="s">
        <v>775</v>
      </c>
      <c r="C23" s="18" t="s">
        <v>776</v>
      </c>
      <c r="D23" s="58"/>
      <c r="E23" s="58"/>
      <c r="F23" s="75">
        <v>107799</v>
      </c>
      <c r="G23" s="75">
        <v>87546</v>
      </c>
      <c r="H23" s="58"/>
      <c r="I23" s="56">
        <f t="array" ref="I23">G23+F23</f>
        <v>195345</v>
      </c>
      <c r="J23" s="58"/>
      <c r="K23" s="58"/>
      <c r="L23" s="58"/>
      <c r="M23" s="1"/>
      <c r="N23" s="1"/>
      <c r="O23" s="1"/>
      <c r="P23" s="1"/>
      <c r="Q23" s="1"/>
      <c r="R23" s="1"/>
      <c r="S23" s="1"/>
      <c r="T23" s="1"/>
      <c r="U23" s="1"/>
      <c r="V23" s="1"/>
      <c r="W23" s="1"/>
      <c r="X23" s="1"/>
      <c r="Y23" s="1"/>
      <c r="Z23" s="1"/>
    </row>
    <row r="24" spans="1:26" ht="19.5" customHeight="1">
      <c r="A24" s="3" t="s">
        <v>777</v>
      </c>
      <c r="B24" s="22" t="s">
        <v>778</v>
      </c>
      <c r="C24" s="18" t="s">
        <v>779</v>
      </c>
      <c r="D24" s="58"/>
      <c r="E24" s="58"/>
      <c r="F24" s="75">
        <v>2304</v>
      </c>
      <c r="G24" s="75">
        <v>782</v>
      </c>
      <c r="H24" s="58"/>
      <c r="I24" s="56">
        <f t="array" ref="I24">G24+F24</f>
        <v>3086</v>
      </c>
      <c r="J24" s="58"/>
      <c r="K24" s="58"/>
      <c r="L24" s="58"/>
      <c r="M24" s="1"/>
      <c r="N24" s="1"/>
      <c r="O24" s="1"/>
      <c r="P24" s="1"/>
      <c r="Q24" s="1"/>
      <c r="R24" s="1"/>
      <c r="S24" s="1"/>
      <c r="T24" s="1"/>
      <c r="U24" s="1"/>
      <c r="V24" s="1"/>
      <c r="W24" s="1"/>
      <c r="X24" s="1"/>
      <c r="Y24" s="1"/>
      <c r="Z24" s="1"/>
    </row>
    <row r="25" spans="1:26" ht="19.5" customHeight="1">
      <c r="A25" s="3" t="s">
        <v>780</v>
      </c>
      <c r="B25" s="22" t="s">
        <v>781</v>
      </c>
      <c r="C25" s="18" t="s">
        <v>782</v>
      </c>
      <c r="D25" s="58"/>
      <c r="E25" s="58"/>
      <c r="F25" s="75"/>
      <c r="G25" s="75"/>
      <c r="H25" s="58"/>
      <c r="I25" s="56">
        <f t="array" ref="I25">G25+F25</f>
        <v>0</v>
      </c>
      <c r="J25" s="58"/>
      <c r="K25" s="58"/>
      <c r="L25" s="58"/>
      <c r="M25" s="1"/>
      <c r="N25" s="1"/>
      <c r="O25" s="1"/>
      <c r="P25" s="1"/>
      <c r="Q25" s="1"/>
      <c r="R25" s="1"/>
      <c r="S25" s="1"/>
      <c r="T25" s="1"/>
      <c r="U25" s="1"/>
      <c r="V25" s="1"/>
      <c r="W25" s="1"/>
      <c r="X25" s="1"/>
      <c r="Y25" s="1"/>
      <c r="Z25" s="1"/>
    </row>
    <row r="26" spans="1:26" ht="19.5" customHeight="1">
      <c r="A26" s="3" t="s">
        <v>783</v>
      </c>
      <c r="B26" s="22" t="s">
        <v>34</v>
      </c>
      <c r="C26" s="18" t="s">
        <v>31</v>
      </c>
      <c r="D26" s="58"/>
      <c r="E26" s="58"/>
      <c r="F26" s="75"/>
      <c r="G26" s="75"/>
      <c r="H26" s="58"/>
      <c r="I26" s="56">
        <f t="array" ref="I26">G26+F26</f>
        <v>0</v>
      </c>
      <c r="J26" s="58"/>
      <c r="K26" s="58"/>
      <c r="L26" s="58"/>
      <c r="M26" s="1"/>
      <c r="N26" s="1"/>
      <c r="O26" s="1"/>
      <c r="P26" s="1"/>
      <c r="Q26" s="1"/>
      <c r="R26" s="1"/>
      <c r="S26" s="1"/>
      <c r="T26" s="1"/>
      <c r="U26" s="1"/>
      <c r="V26" s="1"/>
      <c r="W26" s="1"/>
      <c r="X26" s="1"/>
      <c r="Y26" s="1"/>
      <c r="Z26" s="1"/>
    </row>
    <row r="27" spans="1:26" ht="31.5" customHeight="1">
      <c r="A27" s="3" t="s">
        <v>784</v>
      </c>
      <c r="B27" s="22" t="s">
        <v>785</v>
      </c>
      <c r="C27" s="18" t="s">
        <v>786</v>
      </c>
      <c r="D27" s="58"/>
      <c r="E27" s="58"/>
      <c r="F27" s="75"/>
      <c r="G27" s="75"/>
      <c r="H27" s="58"/>
      <c r="I27" s="56">
        <f t="array" ref="I27">G27+F27</f>
        <v>0</v>
      </c>
      <c r="J27" s="58"/>
      <c r="K27" s="58"/>
      <c r="L27" s="58"/>
      <c r="M27" s="1"/>
      <c r="N27" s="1"/>
      <c r="O27" s="1"/>
      <c r="P27" s="1"/>
      <c r="Q27" s="1"/>
      <c r="R27" s="1"/>
      <c r="S27" s="1"/>
      <c r="T27" s="1"/>
      <c r="U27" s="1"/>
      <c r="V27" s="1"/>
      <c r="W27" s="1"/>
      <c r="X27" s="1"/>
      <c r="Y27" s="1"/>
      <c r="Z27" s="1"/>
    </row>
    <row r="28" spans="1:26" ht="19.5" customHeight="1">
      <c r="A28" s="3" t="s">
        <v>787</v>
      </c>
      <c r="B28" s="22" t="s">
        <v>788</v>
      </c>
      <c r="C28" s="18" t="s">
        <v>789</v>
      </c>
      <c r="D28" s="58"/>
      <c r="E28" s="58"/>
      <c r="F28" s="75"/>
      <c r="G28" s="75"/>
      <c r="H28" s="58"/>
      <c r="I28" s="56">
        <f t="array" ref="I28">G28+F28</f>
        <v>0</v>
      </c>
      <c r="J28" s="58"/>
      <c r="K28" s="58"/>
      <c r="L28" s="58"/>
      <c r="M28" s="1"/>
      <c r="N28" s="1"/>
      <c r="O28" s="1"/>
      <c r="P28" s="1"/>
      <c r="Q28" s="1"/>
      <c r="R28" s="1"/>
      <c r="S28" s="1"/>
      <c r="T28" s="1"/>
      <c r="U28" s="1"/>
      <c r="V28" s="1"/>
      <c r="W28" s="1"/>
      <c r="X28" s="1"/>
      <c r="Y28" s="1"/>
      <c r="Z28" s="1"/>
    </row>
    <row r="29" spans="1:26" ht="19.5" customHeight="1">
      <c r="A29" s="3" t="s">
        <v>790</v>
      </c>
      <c r="B29" s="22" t="s">
        <v>791</v>
      </c>
      <c r="C29" s="18" t="s">
        <v>792</v>
      </c>
      <c r="D29" s="58"/>
      <c r="E29" s="58"/>
      <c r="F29" s="75"/>
      <c r="G29" s="75"/>
      <c r="H29" s="58"/>
      <c r="I29" s="56">
        <f t="array" ref="I29">G29+F29</f>
        <v>0</v>
      </c>
      <c r="J29" s="58"/>
      <c r="K29" s="58"/>
      <c r="L29" s="58"/>
      <c r="M29" s="1"/>
      <c r="N29" s="1"/>
      <c r="O29" s="1"/>
      <c r="P29" s="1"/>
      <c r="Q29" s="1"/>
      <c r="R29" s="1"/>
      <c r="S29" s="1"/>
      <c r="T29" s="1"/>
      <c r="U29" s="1"/>
      <c r="V29" s="1"/>
      <c r="W29" s="1"/>
      <c r="X29" s="1"/>
      <c r="Y29" s="1"/>
      <c r="Z29" s="1"/>
    </row>
    <row r="30" spans="1:26" ht="19.5" customHeight="1">
      <c r="A30" s="3" t="s">
        <v>793</v>
      </c>
      <c r="B30" s="22" t="s">
        <v>794</v>
      </c>
      <c r="C30" s="18" t="s">
        <v>795</v>
      </c>
      <c r="D30" s="58"/>
      <c r="E30" s="58"/>
      <c r="F30" s="75">
        <v>6906</v>
      </c>
      <c r="G30" s="75">
        <v>5916</v>
      </c>
      <c r="H30" s="58"/>
      <c r="I30" s="56">
        <f t="array" ref="I30">G30+F30</f>
        <v>12822</v>
      </c>
      <c r="J30" s="58"/>
      <c r="K30" s="58"/>
      <c r="L30" s="58"/>
      <c r="M30" s="1"/>
      <c r="N30" s="1"/>
      <c r="O30" s="1"/>
      <c r="P30" s="1"/>
      <c r="Q30" s="1"/>
      <c r="R30" s="1"/>
      <c r="S30" s="1"/>
      <c r="T30" s="1"/>
      <c r="U30" s="1"/>
      <c r="V30" s="1"/>
      <c r="W30" s="1"/>
      <c r="X30" s="1"/>
      <c r="Y30" s="1"/>
      <c r="Z30" s="1"/>
    </row>
    <row r="31" spans="1:26" ht="19.5" customHeight="1">
      <c r="A31" s="3" t="s">
        <v>796</v>
      </c>
      <c r="B31" s="22" t="s">
        <v>797</v>
      </c>
      <c r="C31" s="18" t="s">
        <v>798</v>
      </c>
      <c r="D31" s="58"/>
      <c r="E31" s="58"/>
      <c r="F31" s="75">
        <v>3653</v>
      </c>
      <c r="G31" s="75">
        <v>2770</v>
      </c>
      <c r="H31" s="58"/>
      <c r="I31" s="56">
        <f t="array" ref="I31">G31+F31</f>
        <v>6423</v>
      </c>
      <c r="J31" s="58"/>
      <c r="K31" s="58"/>
      <c r="L31" s="58"/>
      <c r="M31" s="1"/>
      <c r="N31" s="1"/>
      <c r="O31" s="1"/>
      <c r="P31" s="1"/>
      <c r="Q31" s="1"/>
      <c r="R31" s="1"/>
      <c r="S31" s="1"/>
      <c r="T31" s="1"/>
      <c r="U31" s="1"/>
      <c r="V31" s="1"/>
      <c r="W31" s="1"/>
      <c r="X31" s="1"/>
      <c r="Y31" s="1"/>
      <c r="Z31" s="1"/>
    </row>
    <row r="32" spans="1:26" ht="19.5" customHeight="1">
      <c r="A32" s="3" t="s">
        <v>799</v>
      </c>
      <c r="B32" s="22" t="s">
        <v>800</v>
      </c>
      <c r="C32" s="18" t="s">
        <v>801</v>
      </c>
      <c r="D32" s="58"/>
      <c r="E32" s="58"/>
      <c r="F32" s="75">
        <v>5265</v>
      </c>
      <c r="G32" s="75">
        <v>3268</v>
      </c>
      <c r="H32" s="58"/>
      <c r="I32" s="56">
        <f t="array" ref="I32">G32+F32</f>
        <v>8533</v>
      </c>
      <c r="J32" s="58"/>
      <c r="K32" s="58"/>
      <c r="L32" s="58"/>
      <c r="M32" s="1"/>
      <c r="N32" s="1"/>
      <c r="O32" s="1"/>
      <c r="P32" s="1"/>
      <c r="Q32" s="1"/>
      <c r="R32" s="1"/>
      <c r="S32" s="1"/>
      <c r="T32" s="1"/>
      <c r="U32" s="1"/>
      <c r="V32" s="1"/>
      <c r="W32" s="1"/>
      <c r="X32" s="1"/>
      <c r="Y32" s="1"/>
      <c r="Z32" s="1"/>
    </row>
    <row r="33" spans="1:26" ht="19.5" customHeight="1">
      <c r="A33" s="3" t="s">
        <v>802</v>
      </c>
      <c r="B33" s="22" t="s">
        <v>803</v>
      </c>
      <c r="C33" s="18" t="s">
        <v>804</v>
      </c>
      <c r="D33" s="58"/>
      <c r="E33" s="58"/>
      <c r="F33" s="75">
        <v>4531</v>
      </c>
      <c r="G33" s="75">
        <v>3849</v>
      </c>
      <c r="H33" s="58"/>
      <c r="I33" s="56">
        <f t="array" ref="I33">G33+F33</f>
        <v>8380</v>
      </c>
      <c r="J33" s="58"/>
      <c r="K33" s="58"/>
      <c r="L33" s="58"/>
      <c r="M33" s="1"/>
      <c r="N33" s="1"/>
      <c r="O33" s="1"/>
      <c r="P33" s="1"/>
      <c r="Q33" s="1"/>
      <c r="R33" s="1"/>
      <c r="S33" s="1"/>
      <c r="T33" s="1"/>
      <c r="U33" s="1"/>
      <c r="V33" s="1"/>
      <c r="W33" s="1"/>
      <c r="X33" s="1"/>
      <c r="Y33" s="1"/>
      <c r="Z33" s="1"/>
    </row>
    <row r="34" spans="1:26" ht="19.5" customHeight="1">
      <c r="A34" s="3" t="s">
        <v>805</v>
      </c>
      <c r="B34" s="22" t="s">
        <v>806</v>
      </c>
      <c r="C34" s="18" t="s">
        <v>807</v>
      </c>
      <c r="D34" s="58"/>
      <c r="E34" s="58"/>
      <c r="F34" s="75"/>
      <c r="G34" s="75"/>
      <c r="H34" s="58"/>
      <c r="I34" s="56">
        <f t="array" ref="I34">G34+F34</f>
        <v>0</v>
      </c>
      <c r="J34" s="58"/>
      <c r="K34" s="58"/>
      <c r="L34" s="58"/>
      <c r="M34" s="1"/>
      <c r="N34" s="1"/>
      <c r="O34" s="1"/>
      <c r="P34" s="1"/>
      <c r="Q34" s="1"/>
      <c r="R34" s="1"/>
      <c r="S34" s="1"/>
      <c r="T34" s="1"/>
      <c r="U34" s="1"/>
      <c r="V34" s="1"/>
      <c r="W34" s="1"/>
      <c r="X34" s="1"/>
      <c r="Y34" s="1"/>
      <c r="Z34" s="1"/>
    </row>
    <row r="35" spans="1:26" ht="19.5" customHeight="1">
      <c r="A35" s="3" t="s">
        <v>808</v>
      </c>
      <c r="B35" s="22" t="s">
        <v>809</v>
      </c>
      <c r="C35" s="18" t="s">
        <v>810</v>
      </c>
      <c r="D35" s="58"/>
      <c r="E35" s="58"/>
      <c r="F35" s="75"/>
      <c r="G35" s="75"/>
      <c r="H35" s="58"/>
      <c r="I35" s="56">
        <f t="array" ref="I35">G35+F35</f>
        <v>0</v>
      </c>
      <c r="J35" s="58"/>
      <c r="K35" s="58"/>
      <c r="L35" s="58"/>
      <c r="M35" s="1"/>
      <c r="N35" s="1"/>
      <c r="O35" s="1"/>
      <c r="P35" s="1"/>
      <c r="Q35" s="1"/>
      <c r="R35" s="1"/>
      <c r="S35" s="1"/>
      <c r="T35" s="1"/>
      <c r="U35" s="1"/>
      <c r="V35" s="1"/>
      <c r="W35" s="1"/>
      <c r="X35" s="1"/>
      <c r="Y35" s="1"/>
      <c r="Z35" s="1"/>
    </row>
    <row r="36" spans="1:26" ht="19.5" customHeight="1">
      <c r="A36" s="3" t="s">
        <v>811</v>
      </c>
      <c r="B36" s="22" t="s">
        <v>812</v>
      </c>
      <c r="C36" s="18" t="s">
        <v>813</v>
      </c>
      <c r="D36" s="58"/>
      <c r="E36" s="58"/>
      <c r="F36" s="75">
        <v>113238</v>
      </c>
      <c r="G36" s="75">
        <v>109719</v>
      </c>
      <c r="H36" s="58"/>
      <c r="I36" s="56">
        <f t="array" ref="I36">G36+F36</f>
        <v>222957</v>
      </c>
      <c r="J36" s="58"/>
      <c r="K36" s="58"/>
      <c r="L36" s="58"/>
      <c r="M36" s="1"/>
      <c r="N36" s="1"/>
      <c r="O36" s="1"/>
      <c r="P36" s="1"/>
      <c r="Q36" s="1"/>
      <c r="R36" s="1"/>
      <c r="S36" s="1"/>
      <c r="T36" s="1"/>
      <c r="U36" s="1"/>
      <c r="V36" s="1"/>
      <c r="W36" s="1"/>
      <c r="X36" s="1"/>
      <c r="Y36" s="1"/>
      <c r="Z36" s="1"/>
    </row>
    <row r="37" spans="1:26" ht="19.5" customHeight="1">
      <c r="A37" s="3" t="s">
        <v>814</v>
      </c>
      <c r="B37" s="22" t="s">
        <v>815</v>
      </c>
      <c r="C37" s="18" t="s">
        <v>816</v>
      </c>
      <c r="D37" s="58"/>
      <c r="E37" s="58"/>
      <c r="F37" s="75"/>
      <c r="G37" s="75"/>
      <c r="H37" s="58"/>
      <c r="I37" s="56">
        <f t="array" ref="I37">G37+F37</f>
        <v>0</v>
      </c>
      <c r="J37" s="58"/>
      <c r="K37" s="58"/>
      <c r="L37" s="58"/>
      <c r="M37" s="1"/>
      <c r="N37" s="1"/>
      <c r="O37" s="1"/>
      <c r="P37" s="1"/>
      <c r="Q37" s="1"/>
      <c r="R37" s="1"/>
      <c r="S37" s="1"/>
      <c r="T37" s="1"/>
      <c r="U37" s="1"/>
      <c r="V37" s="1"/>
      <c r="W37" s="1"/>
      <c r="X37" s="1"/>
      <c r="Y37" s="1"/>
      <c r="Z37" s="1"/>
    </row>
    <row r="38" spans="1:26" ht="19.5" customHeight="1">
      <c r="A38" s="3" t="s">
        <v>817</v>
      </c>
      <c r="B38" s="22" t="s">
        <v>818</v>
      </c>
      <c r="C38" s="18" t="s">
        <v>819</v>
      </c>
      <c r="D38" s="58"/>
      <c r="E38" s="58"/>
      <c r="F38" s="75"/>
      <c r="G38" s="75"/>
      <c r="H38" s="58"/>
      <c r="I38" s="56">
        <f t="array" ref="I38">G38+F38</f>
        <v>0</v>
      </c>
      <c r="J38" s="58"/>
      <c r="K38" s="58"/>
      <c r="L38" s="58"/>
      <c r="M38" s="1"/>
      <c r="N38" s="1"/>
      <c r="O38" s="1"/>
      <c r="P38" s="1"/>
      <c r="Q38" s="1"/>
      <c r="R38" s="1"/>
      <c r="S38" s="1"/>
      <c r="T38" s="1"/>
      <c r="U38" s="1"/>
      <c r="V38" s="1"/>
      <c r="W38" s="1"/>
      <c r="X38" s="1"/>
      <c r="Y38" s="1"/>
      <c r="Z38" s="1"/>
    </row>
    <row r="39" spans="1:26" ht="19.5" customHeight="1">
      <c r="A39" s="3" t="s">
        <v>820</v>
      </c>
      <c r="B39" s="22" t="s">
        <v>821</v>
      </c>
      <c r="C39" s="18" t="s">
        <v>822</v>
      </c>
      <c r="D39" s="58"/>
      <c r="E39" s="58"/>
      <c r="F39" s="75">
        <v>1992</v>
      </c>
      <c r="G39" s="75">
        <v>1148</v>
      </c>
      <c r="H39" s="58"/>
      <c r="I39" s="56">
        <f t="array" ref="I39">G39+F39</f>
        <v>3140</v>
      </c>
      <c r="J39" s="58"/>
      <c r="K39" s="58"/>
      <c r="L39" s="58"/>
      <c r="M39" s="1"/>
      <c r="N39" s="1"/>
      <c r="O39" s="1"/>
      <c r="P39" s="1"/>
      <c r="Q39" s="1"/>
      <c r="R39" s="1"/>
      <c r="S39" s="1"/>
      <c r="T39" s="1"/>
      <c r="U39" s="1"/>
      <c r="V39" s="1"/>
      <c r="W39" s="1"/>
      <c r="X39" s="1"/>
      <c r="Y39" s="1"/>
      <c r="Z39" s="1"/>
    </row>
    <row r="40" spans="1:26" ht="19.5" customHeight="1">
      <c r="A40" s="3" t="s">
        <v>823</v>
      </c>
      <c r="B40" s="22" t="s">
        <v>824</v>
      </c>
      <c r="C40" s="18" t="s">
        <v>825</v>
      </c>
      <c r="D40" s="58"/>
      <c r="E40" s="58"/>
      <c r="F40" s="75">
        <v>8448</v>
      </c>
      <c r="G40" s="75">
        <v>8488</v>
      </c>
      <c r="H40" s="58"/>
      <c r="I40" s="56">
        <f t="array" ref="I40">G40+F40</f>
        <v>16936</v>
      </c>
      <c r="J40" s="58"/>
      <c r="K40" s="58"/>
      <c r="L40" s="58"/>
      <c r="M40" s="1"/>
      <c r="N40" s="1"/>
      <c r="O40" s="1"/>
      <c r="P40" s="1"/>
      <c r="Q40" s="1"/>
      <c r="R40" s="1"/>
      <c r="S40" s="1"/>
      <c r="T40" s="1"/>
      <c r="U40" s="1"/>
      <c r="V40" s="1"/>
      <c r="W40" s="1"/>
      <c r="X40" s="1"/>
      <c r="Y40" s="1"/>
      <c r="Z40" s="1"/>
    </row>
    <row r="41" spans="1:26" ht="19.5" customHeight="1">
      <c r="A41" s="3" t="s">
        <v>826</v>
      </c>
      <c r="B41" s="22" t="s">
        <v>827</v>
      </c>
      <c r="C41" s="18" t="s">
        <v>828</v>
      </c>
      <c r="D41" s="58"/>
      <c r="E41" s="58"/>
      <c r="F41" s="75">
        <v>1726</v>
      </c>
      <c r="G41" s="75">
        <v>1010</v>
      </c>
      <c r="H41" s="58"/>
      <c r="I41" s="56">
        <f t="array" ref="I41">G41+F41</f>
        <v>2736</v>
      </c>
      <c r="J41" s="58"/>
      <c r="K41" s="58"/>
      <c r="L41" s="58"/>
      <c r="M41" s="1"/>
      <c r="N41" s="1"/>
      <c r="O41" s="1"/>
      <c r="P41" s="1"/>
      <c r="Q41" s="1"/>
      <c r="R41" s="1"/>
      <c r="S41" s="1"/>
      <c r="T41" s="1"/>
      <c r="U41" s="1"/>
      <c r="V41" s="1"/>
      <c r="W41" s="1"/>
      <c r="X41" s="1"/>
      <c r="Y41" s="1"/>
      <c r="Z41" s="1"/>
    </row>
    <row r="42" spans="1:26" ht="19.5" customHeight="1">
      <c r="A42" s="3" t="s">
        <v>829</v>
      </c>
      <c r="B42" s="22" t="s">
        <v>830</v>
      </c>
      <c r="C42" s="18" t="s">
        <v>831</v>
      </c>
      <c r="D42" s="58"/>
      <c r="E42" s="58"/>
      <c r="F42" s="75"/>
      <c r="G42" s="75"/>
      <c r="H42" s="58"/>
      <c r="I42" s="56">
        <f t="array" ref="I42">G42+F42</f>
        <v>0</v>
      </c>
      <c r="J42" s="58"/>
      <c r="K42" s="58"/>
      <c r="L42" s="58"/>
      <c r="M42" s="1"/>
      <c r="N42" s="1"/>
      <c r="O42" s="1"/>
      <c r="P42" s="1"/>
      <c r="Q42" s="1"/>
      <c r="R42" s="1"/>
      <c r="S42" s="1"/>
      <c r="T42" s="1"/>
      <c r="U42" s="1"/>
      <c r="V42" s="1"/>
      <c r="W42" s="1"/>
      <c r="X42" s="1"/>
      <c r="Y42" s="1"/>
      <c r="Z42" s="1"/>
    </row>
    <row r="43" spans="1:26" ht="19.5" customHeight="1">
      <c r="A43" s="3" t="s">
        <v>832</v>
      </c>
      <c r="B43" s="22" t="s">
        <v>833</v>
      </c>
      <c r="C43" s="18" t="s">
        <v>834</v>
      </c>
      <c r="D43" s="58"/>
      <c r="E43" s="58"/>
      <c r="F43" s="75"/>
      <c r="G43" s="75"/>
      <c r="H43" s="58"/>
      <c r="I43" s="56">
        <f t="array" ref="I43">G43+F43</f>
        <v>0</v>
      </c>
      <c r="J43" s="58"/>
      <c r="K43" s="58"/>
      <c r="L43" s="58"/>
      <c r="M43" s="1"/>
      <c r="N43" s="1"/>
      <c r="O43" s="1"/>
      <c r="P43" s="1"/>
      <c r="Q43" s="1"/>
      <c r="R43" s="1"/>
      <c r="S43" s="1"/>
      <c r="T43" s="1"/>
      <c r="U43" s="1"/>
      <c r="V43" s="1"/>
      <c r="W43" s="1"/>
      <c r="X43" s="1"/>
      <c r="Y43" s="1"/>
      <c r="Z43" s="1"/>
    </row>
    <row r="44" spans="1:26" ht="19.5" customHeight="1">
      <c r="A44" s="3" t="s">
        <v>835</v>
      </c>
      <c r="B44" s="22" t="s">
        <v>836</v>
      </c>
      <c r="C44" s="18" t="s">
        <v>837</v>
      </c>
      <c r="D44" s="58"/>
      <c r="E44" s="58"/>
      <c r="F44" s="75"/>
      <c r="G44" s="75"/>
      <c r="H44" s="58"/>
      <c r="I44" s="56">
        <f t="array" ref="I44">G44+F44</f>
        <v>0</v>
      </c>
      <c r="J44" s="58"/>
      <c r="K44" s="58"/>
      <c r="L44" s="58"/>
      <c r="M44" s="1"/>
      <c r="N44" s="1"/>
      <c r="O44" s="1"/>
      <c r="P44" s="1"/>
      <c r="Q44" s="1"/>
      <c r="R44" s="1"/>
      <c r="S44" s="1"/>
      <c r="T44" s="1"/>
      <c r="U44" s="1"/>
      <c r="V44" s="1"/>
      <c r="W44" s="1"/>
      <c r="X44" s="1"/>
      <c r="Y44" s="1"/>
      <c r="Z44" s="1"/>
    </row>
    <row r="45" spans="1:26" ht="19.5" customHeight="1">
      <c r="A45" s="3" t="s">
        <v>838</v>
      </c>
      <c r="B45" s="22" t="s">
        <v>839</v>
      </c>
      <c r="C45" s="18" t="s">
        <v>840</v>
      </c>
      <c r="D45" s="58"/>
      <c r="E45" s="58"/>
      <c r="F45" s="75"/>
      <c r="G45" s="75"/>
      <c r="H45" s="58"/>
      <c r="I45" s="56">
        <f t="array" ref="I45">G45+F45</f>
        <v>0</v>
      </c>
      <c r="J45" s="58"/>
      <c r="K45" s="58"/>
      <c r="L45" s="58"/>
      <c r="M45" s="1"/>
      <c r="N45" s="1"/>
      <c r="O45" s="1"/>
      <c r="P45" s="1"/>
      <c r="Q45" s="1"/>
      <c r="R45" s="1"/>
      <c r="S45" s="1"/>
      <c r="T45" s="1"/>
      <c r="U45" s="1"/>
      <c r="V45" s="1"/>
      <c r="W45" s="1"/>
      <c r="X45" s="1"/>
      <c r="Y45" s="1"/>
      <c r="Z45" s="1"/>
    </row>
    <row r="46" spans="1:26" ht="19.5" customHeight="1">
      <c r="A46" s="3" t="s">
        <v>841</v>
      </c>
      <c r="B46" s="22" t="s">
        <v>842</v>
      </c>
      <c r="C46" s="18" t="s">
        <v>843</v>
      </c>
      <c r="D46" s="58"/>
      <c r="E46" s="58"/>
      <c r="F46" s="75">
        <v>268</v>
      </c>
      <c r="G46" s="75">
        <v>245</v>
      </c>
      <c r="H46" s="58"/>
      <c r="I46" s="56">
        <f t="array" ref="I46">G46+F46</f>
        <v>513</v>
      </c>
      <c r="J46" s="58"/>
      <c r="K46" s="58"/>
      <c r="L46" s="58"/>
      <c r="M46" s="1"/>
      <c r="N46" s="1"/>
      <c r="O46" s="1"/>
      <c r="P46" s="1"/>
      <c r="Q46" s="1"/>
      <c r="R46" s="1"/>
      <c r="S46" s="1"/>
      <c r="T46" s="1"/>
      <c r="U46" s="1"/>
      <c r="V46" s="1"/>
      <c r="W46" s="1"/>
      <c r="X46" s="1"/>
      <c r="Y46" s="1"/>
      <c r="Z46" s="1"/>
    </row>
    <row r="47" spans="1:26" ht="19.5" customHeight="1">
      <c r="A47" s="3" t="s">
        <v>844</v>
      </c>
      <c r="B47" s="22" t="s">
        <v>845</v>
      </c>
      <c r="C47" s="18" t="s">
        <v>846</v>
      </c>
      <c r="D47" s="58"/>
      <c r="E47" s="58"/>
      <c r="F47" s="75">
        <v>16547</v>
      </c>
      <c r="G47" s="75">
        <v>14939</v>
      </c>
      <c r="H47" s="58"/>
      <c r="I47" s="56">
        <f t="array" ref="I47">G47+F47</f>
        <v>31486</v>
      </c>
      <c r="J47" s="58"/>
      <c r="K47" s="58"/>
      <c r="L47" s="58"/>
      <c r="M47" s="1"/>
      <c r="N47" s="1"/>
      <c r="O47" s="1"/>
      <c r="P47" s="1"/>
      <c r="Q47" s="1"/>
      <c r="R47" s="1"/>
      <c r="S47" s="1"/>
      <c r="T47" s="1"/>
      <c r="U47" s="1"/>
      <c r="V47" s="1"/>
      <c r="W47" s="1"/>
      <c r="X47" s="1"/>
      <c r="Y47" s="1"/>
      <c r="Z47" s="1"/>
    </row>
    <row r="48" spans="1:26" ht="19.5" customHeight="1">
      <c r="A48" s="3" t="s">
        <v>847</v>
      </c>
      <c r="B48" s="22" t="s">
        <v>848</v>
      </c>
      <c r="C48" s="18" t="s">
        <v>849</v>
      </c>
      <c r="D48" s="58"/>
      <c r="E48" s="58"/>
      <c r="F48" s="75"/>
      <c r="G48" s="75"/>
      <c r="H48" s="58"/>
      <c r="I48" s="56">
        <f t="array" ref="I48">G48+F48</f>
        <v>0</v>
      </c>
      <c r="J48" s="58"/>
      <c r="K48" s="58"/>
      <c r="L48" s="58"/>
      <c r="M48" s="1"/>
      <c r="N48" s="1"/>
      <c r="O48" s="1"/>
      <c r="P48" s="1"/>
      <c r="Q48" s="1"/>
      <c r="R48" s="1"/>
      <c r="S48" s="1"/>
      <c r="T48" s="1"/>
      <c r="U48" s="1"/>
      <c r="V48" s="1"/>
      <c r="W48" s="1"/>
      <c r="X48" s="1"/>
      <c r="Y48" s="1"/>
      <c r="Z48" s="1"/>
    </row>
    <row r="49" spans="1:26" ht="19.5" customHeight="1">
      <c r="A49" s="3" t="s">
        <v>850</v>
      </c>
      <c r="B49" s="22" t="s">
        <v>851</v>
      </c>
      <c r="C49" s="18" t="s">
        <v>852</v>
      </c>
      <c r="D49" s="58"/>
      <c r="E49" s="58"/>
      <c r="F49" s="75">
        <v>38960</v>
      </c>
      <c r="G49" s="75">
        <v>23350</v>
      </c>
      <c r="H49" s="58"/>
      <c r="I49" s="56">
        <f t="array" ref="I49">G49+F49</f>
        <v>62310</v>
      </c>
      <c r="J49" s="58"/>
      <c r="K49" s="58"/>
      <c r="L49" s="58"/>
      <c r="M49" s="1"/>
      <c r="N49" s="1"/>
      <c r="O49" s="1"/>
      <c r="P49" s="1"/>
      <c r="Q49" s="1"/>
      <c r="R49" s="1"/>
      <c r="S49" s="1"/>
      <c r="T49" s="1"/>
      <c r="U49" s="1"/>
      <c r="V49" s="1"/>
      <c r="W49" s="1"/>
      <c r="X49" s="1"/>
      <c r="Y49" s="1"/>
      <c r="Z49" s="1"/>
    </row>
    <row r="50" spans="1:26" ht="19.5" customHeight="1">
      <c r="A50" s="3" t="s">
        <v>853</v>
      </c>
      <c r="B50" s="22" t="s">
        <v>854</v>
      </c>
      <c r="C50" s="18" t="s">
        <v>855</v>
      </c>
      <c r="D50" s="58"/>
      <c r="E50" s="58"/>
      <c r="F50" s="75">
        <v>219081</v>
      </c>
      <c r="G50" s="75">
        <v>217986</v>
      </c>
      <c r="H50" s="58"/>
      <c r="I50" s="56">
        <f t="array" ref="I50">G50+F50</f>
        <v>437067</v>
      </c>
      <c r="J50" s="58"/>
      <c r="K50" s="58"/>
      <c r="L50" s="58"/>
      <c r="M50" s="1"/>
      <c r="N50" s="1"/>
      <c r="O50" s="1"/>
      <c r="P50" s="1"/>
      <c r="Q50" s="1"/>
      <c r="R50" s="1"/>
      <c r="S50" s="1"/>
      <c r="T50" s="1"/>
      <c r="U50" s="1"/>
      <c r="V50" s="1"/>
      <c r="W50" s="1"/>
      <c r="X50" s="1"/>
      <c r="Y50" s="1"/>
      <c r="Z50" s="1"/>
    </row>
    <row r="51" spans="1:26" ht="19.5" customHeight="1">
      <c r="A51" s="3" t="s">
        <v>856</v>
      </c>
      <c r="B51" s="22" t="s">
        <v>857</v>
      </c>
      <c r="C51" s="18" t="s">
        <v>858</v>
      </c>
      <c r="D51" s="58"/>
      <c r="E51" s="58"/>
      <c r="F51" s="75">
        <v>58173</v>
      </c>
      <c r="G51" s="75">
        <v>52827</v>
      </c>
      <c r="H51" s="58"/>
      <c r="I51" s="56">
        <f t="array" ref="I51">G51+F51</f>
        <v>111000</v>
      </c>
      <c r="J51" s="58"/>
      <c r="K51" s="58"/>
      <c r="L51" s="58"/>
      <c r="M51" s="1"/>
      <c r="N51" s="1"/>
      <c r="O51" s="1"/>
      <c r="P51" s="1"/>
      <c r="Q51" s="1"/>
      <c r="R51" s="1"/>
      <c r="S51" s="1"/>
      <c r="T51" s="1"/>
      <c r="U51" s="1"/>
      <c r="V51" s="1"/>
      <c r="W51" s="1"/>
      <c r="X51" s="1"/>
      <c r="Y51" s="1"/>
      <c r="Z51" s="1"/>
    </row>
    <row r="52" spans="1:26" ht="19.5" customHeight="1">
      <c r="A52" s="3" t="s">
        <v>859</v>
      </c>
      <c r="B52" s="22" t="s">
        <v>860</v>
      </c>
      <c r="C52" s="18" t="s">
        <v>861</v>
      </c>
      <c r="D52" s="58"/>
      <c r="E52" s="58"/>
      <c r="F52" s="75"/>
      <c r="G52" s="75"/>
      <c r="H52" s="58"/>
      <c r="I52" s="56">
        <f t="array" ref="I52">G52+F52</f>
        <v>0</v>
      </c>
      <c r="J52" s="58"/>
      <c r="K52" s="58"/>
      <c r="L52" s="58"/>
      <c r="M52" s="1"/>
      <c r="N52" s="1"/>
      <c r="O52" s="1"/>
      <c r="P52" s="1"/>
      <c r="Q52" s="1"/>
      <c r="R52" s="1"/>
      <c r="S52" s="1"/>
      <c r="T52" s="1"/>
      <c r="U52" s="1"/>
      <c r="V52" s="1"/>
      <c r="W52" s="1"/>
      <c r="X52" s="1"/>
      <c r="Y52" s="1"/>
      <c r="Z52" s="1"/>
    </row>
    <row r="53" spans="1:26" ht="19.5" customHeight="1">
      <c r="A53" s="3" t="s">
        <v>862</v>
      </c>
      <c r="B53" s="22" t="s">
        <v>863</v>
      </c>
      <c r="C53" s="18" t="s">
        <v>864</v>
      </c>
      <c r="D53" s="58"/>
      <c r="E53" s="58"/>
      <c r="F53" s="75"/>
      <c r="G53" s="75"/>
      <c r="H53" s="58"/>
      <c r="I53" s="56">
        <f t="array" ref="I53">G53+F53</f>
        <v>0</v>
      </c>
      <c r="J53" s="58"/>
      <c r="K53" s="58"/>
      <c r="L53" s="58"/>
      <c r="M53" s="1"/>
      <c r="N53" s="1"/>
      <c r="O53" s="1"/>
      <c r="P53" s="1"/>
      <c r="Q53" s="1"/>
      <c r="R53" s="1"/>
      <c r="S53" s="1"/>
      <c r="T53" s="1"/>
      <c r="U53" s="1"/>
      <c r="V53" s="1"/>
      <c r="W53" s="1"/>
      <c r="X53" s="1"/>
      <c r="Y53" s="1"/>
      <c r="Z53" s="1"/>
    </row>
    <row r="54" spans="1:26" ht="19.5" customHeight="1">
      <c r="A54" s="3" t="s">
        <v>865</v>
      </c>
      <c r="B54" s="22" t="s">
        <v>866</v>
      </c>
      <c r="C54" s="18" t="s">
        <v>867</v>
      </c>
      <c r="D54" s="58"/>
      <c r="E54" s="58"/>
      <c r="F54" s="75">
        <v>4412</v>
      </c>
      <c r="G54" s="75">
        <v>2721</v>
      </c>
      <c r="H54" s="58"/>
      <c r="I54" s="56">
        <f t="array" ref="I54">G54+F54</f>
        <v>7133</v>
      </c>
      <c r="J54" s="58"/>
      <c r="K54" s="58"/>
      <c r="L54" s="58"/>
      <c r="M54" s="1"/>
      <c r="N54" s="1"/>
      <c r="O54" s="1"/>
      <c r="P54" s="1"/>
      <c r="Q54" s="1"/>
      <c r="R54" s="1"/>
      <c r="S54" s="1"/>
      <c r="T54" s="1"/>
      <c r="U54" s="1"/>
      <c r="V54" s="1"/>
      <c r="W54" s="1"/>
      <c r="X54" s="1"/>
      <c r="Y54" s="1"/>
      <c r="Z54" s="1"/>
    </row>
    <row r="55" spans="1:26" ht="19.5" customHeight="1">
      <c r="A55" s="3" t="s">
        <v>868</v>
      </c>
      <c r="B55" s="22" t="s">
        <v>869</v>
      </c>
      <c r="C55" s="18" t="s">
        <v>870</v>
      </c>
      <c r="D55" s="58"/>
      <c r="E55" s="58"/>
      <c r="F55" s="75">
        <v>879</v>
      </c>
      <c r="G55" s="75">
        <v>695</v>
      </c>
      <c r="H55" s="58"/>
      <c r="I55" s="56">
        <f t="array" ref="I55">G55+F55</f>
        <v>1574</v>
      </c>
      <c r="J55" s="58"/>
      <c r="K55" s="58"/>
      <c r="L55" s="58"/>
      <c r="M55" s="1"/>
      <c r="N55" s="1"/>
      <c r="O55" s="1"/>
      <c r="P55" s="1"/>
      <c r="Q55" s="1"/>
      <c r="R55" s="1"/>
      <c r="S55" s="1"/>
      <c r="T55" s="1"/>
      <c r="U55" s="1"/>
      <c r="V55" s="1"/>
      <c r="W55" s="1"/>
      <c r="X55" s="1"/>
      <c r="Y55" s="1"/>
      <c r="Z55" s="1"/>
    </row>
    <row r="56" spans="1:26" ht="19.5" customHeight="1">
      <c r="A56" s="3" t="s">
        <v>871</v>
      </c>
      <c r="B56" s="22" t="s">
        <v>848</v>
      </c>
      <c r="C56" s="18" t="s">
        <v>872</v>
      </c>
      <c r="D56" s="58"/>
      <c r="E56" s="58"/>
      <c r="F56" s="75"/>
      <c r="G56" s="75"/>
      <c r="H56" s="58"/>
      <c r="I56" s="56">
        <f t="array" ref="I56">G56+F56</f>
        <v>0</v>
      </c>
      <c r="J56" s="58"/>
      <c r="K56" s="58"/>
      <c r="L56" s="58"/>
      <c r="M56" s="1"/>
      <c r="N56" s="1"/>
      <c r="O56" s="1"/>
      <c r="P56" s="1"/>
      <c r="Q56" s="1"/>
      <c r="R56" s="1"/>
      <c r="S56" s="1"/>
      <c r="T56" s="1"/>
      <c r="U56" s="1"/>
      <c r="V56" s="1"/>
      <c r="W56" s="1"/>
      <c r="X56" s="1"/>
      <c r="Y56" s="1"/>
      <c r="Z56" s="1"/>
    </row>
    <row r="57" spans="1:26" ht="19.5" customHeight="1">
      <c r="A57" s="3" t="s">
        <v>873</v>
      </c>
      <c r="B57" s="22" t="s">
        <v>874</v>
      </c>
      <c r="C57" s="18" t="s">
        <v>875</v>
      </c>
      <c r="D57" s="58"/>
      <c r="E57" s="58"/>
      <c r="F57" s="75">
        <v>2974</v>
      </c>
      <c r="G57" s="75">
        <v>1384</v>
      </c>
      <c r="H57" s="58"/>
      <c r="I57" s="56">
        <f t="array" ref="I57">G57+F57</f>
        <v>4358</v>
      </c>
      <c r="J57" s="58"/>
      <c r="K57" s="58"/>
      <c r="L57" s="58"/>
      <c r="M57" s="1"/>
      <c r="N57" s="1"/>
      <c r="O57" s="1"/>
      <c r="P57" s="1"/>
      <c r="Q57" s="1"/>
      <c r="R57" s="1"/>
      <c r="S57" s="1"/>
      <c r="T57" s="1"/>
      <c r="U57" s="1"/>
      <c r="V57" s="1"/>
      <c r="W57" s="1"/>
      <c r="X57" s="1"/>
      <c r="Y57" s="1"/>
      <c r="Z57" s="1"/>
    </row>
    <row r="58" spans="1:26" ht="19.5" customHeight="1">
      <c r="A58" s="3" t="s">
        <v>876</v>
      </c>
      <c r="B58" s="22" t="s">
        <v>877</v>
      </c>
      <c r="C58" s="18" t="s">
        <v>878</v>
      </c>
      <c r="D58" s="58"/>
      <c r="E58" s="58"/>
      <c r="F58" s="75"/>
      <c r="G58" s="75"/>
      <c r="H58" s="58"/>
      <c r="I58" s="56">
        <f t="array" ref="I58">G58+F58</f>
        <v>0</v>
      </c>
      <c r="J58" s="58"/>
      <c r="K58" s="58"/>
      <c r="L58" s="58"/>
      <c r="M58" s="1"/>
      <c r="N58" s="1"/>
      <c r="O58" s="1"/>
      <c r="P58" s="1"/>
      <c r="Q58" s="1"/>
      <c r="R58" s="1"/>
      <c r="S58" s="1"/>
      <c r="T58" s="1"/>
      <c r="U58" s="1"/>
      <c r="V58" s="1"/>
      <c r="W58" s="1"/>
      <c r="X58" s="1"/>
      <c r="Y58" s="1"/>
      <c r="Z58" s="1"/>
    </row>
    <row r="59" spans="1:26" ht="19.5" customHeight="1">
      <c r="A59" s="3" t="s">
        <v>879</v>
      </c>
      <c r="B59" s="22" t="s">
        <v>880</v>
      </c>
      <c r="C59" s="18" t="s">
        <v>881</v>
      </c>
      <c r="D59" s="58"/>
      <c r="E59" s="58"/>
      <c r="F59" s="75"/>
      <c r="G59" s="75"/>
      <c r="H59" s="58"/>
      <c r="I59" s="56">
        <f t="array" ref="I59">G59+F59</f>
        <v>0</v>
      </c>
      <c r="J59" s="58"/>
      <c r="K59" s="58"/>
      <c r="L59" s="58"/>
      <c r="M59" s="1"/>
      <c r="N59" s="1"/>
      <c r="O59" s="1"/>
      <c r="P59" s="1"/>
      <c r="Q59" s="1"/>
      <c r="R59" s="1"/>
      <c r="S59" s="1"/>
      <c r="T59" s="1"/>
      <c r="U59" s="1"/>
      <c r="V59" s="1"/>
      <c r="W59" s="1"/>
      <c r="X59" s="1"/>
      <c r="Y59" s="1"/>
      <c r="Z59" s="1"/>
    </row>
    <row r="60" spans="1:26" ht="19.5" customHeight="1">
      <c r="A60" s="3" t="s">
        <v>882</v>
      </c>
      <c r="B60" s="22" t="s">
        <v>883</v>
      </c>
      <c r="C60" s="18" t="s">
        <v>884</v>
      </c>
      <c r="D60" s="58"/>
      <c r="E60" s="58"/>
      <c r="F60" s="75"/>
      <c r="G60" s="75"/>
      <c r="H60" s="58"/>
      <c r="I60" s="56">
        <f t="array" ref="I60">G60+F60</f>
        <v>0</v>
      </c>
      <c r="J60" s="58"/>
      <c r="K60" s="58"/>
      <c r="L60" s="58"/>
      <c r="M60" s="1"/>
      <c r="N60" s="1"/>
      <c r="O60" s="1"/>
      <c r="P60" s="1"/>
      <c r="Q60" s="1"/>
      <c r="R60" s="1"/>
      <c r="S60" s="1"/>
      <c r="T60" s="1"/>
      <c r="U60" s="1"/>
      <c r="V60" s="1"/>
      <c r="W60" s="1"/>
      <c r="X60" s="1"/>
      <c r="Y60" s="1"/>
      <c r="Z60" s="1"/>
    </row>
    <row r="61" spans="1:26" ht="19.5" customHeight="1">
      <c r="A61" s="3" t="s">
        <v>885</v>
      </c>
      <c r="B61" s="22" t="s">
        <v>886</v>
      </c>
      <c r="C61" s="18" t="s">
        <v>887</v>
      </c>
      <c r="D61" s="58"/>
      <c r="E61" s="58"/>
      <c r="F61" s="75"/>
      <c r="G61" s="75"/>
      <c r="H61" s="58"/>
      <c r="I61" s="56">
        <f t="array" ref="I61">G61+F61</f>
        <v>0</v>
      </c>
      <c r="J61" s="58"/>
      <c r="K61" s="58"/>
      <c r="L61" s="58"/>
      <c r="M61" s="1"/>
      <c r="N61" s="1"/>
      <c r="O61" s="1"/>
      <c r="P61" s="1"/>
      <c r="Q61" s="1"/>
      <c r="R61" s="1"/>
      <c r="S61" s="1"/>
      <c r="T61" s="1"/>
      <c r="U61" s="1"/>
      <c r="V61" s="1"/>
      <c r="W61" s="1"/>
      <c r="X61" s="1"/>
      <c r="Y61" s="1"/>
      <c r="Z61" s="1"/>
    </row>
    <row r="62" spans="1:26" ht="19.5" customHeight="1">
      <c r="A62" s="3" t="s">
        <v>888</v>
      </c>
      <c r="B62" s="126" t="s">
        <v>734</v>
      </c>
      <c r="C62" s="53"/>
      <c r="D62" s="58"/>
      <c r="E62" s="58"/>
      <c r="F62" s="56">
        <f t="array" ref="F62">SUM(F10:F61)</f>
        <v>778478</v>
      </c>
      <c r="G62" s="56">
        <f t="array" ref="G62">SUM(G10:G61)</f>
        <v>685188</v>
      </c>
      <c r="H62" s="58"/>
      <c r="I62" s="56">
        <f t="array" ref="I62">SUM(I10:I61)</f>
        <v>1463666</v>
      </c>
      <c r="J62" s="58"/>
      <c r="K62" s="58"/>
      <c r="L62" s="58"/>
      <c r="M62" s="1"/>
      <c r="N62" s="1"/>
      <c r="O62" s="1"/>
      <c r="P62" s="1"/>
      <c r="Q62" s="1"/>
      <c r="R62" s="1"/>
      <c r="S62" s="1"/>
      <c r="T62" s="1"/>
      <c r="U62" s="1"/>
      <c r="V62" s="1"/>
      <c r="W62" s="1"/>
      <c r="X62" s="1"/>
      <c r="Y62" s="1"/>
      <c r="Z62" s="1"/>
    </row>
    <row r="63" spans="1:26" ht="19.5" customHeight="1">
      <c r="A63" s="2"/>
      <c r="B63" s="17"/>
      <c r="C63" s="13"/>
      <c r="D63" s="58"/>
      <c r="E63" s="58"/>
      <c r="F63" s="58"/>
      <c r="G63" s="58"/>
      <c r="H63" s="58"/>
      <c r="I63" s="58"/>
      <c r="J63" s="58"/>
      <c r="K63" s="58"/>
      <c r="L63" s="58"/>
      <c r="M63" s="1"/>
      <c r="N63" s="1"/>
      <c r="O63" s="1"/>
      <c r="P63" s="1"/>
      <c r="Q63" s="1"/>
      <c r="R63" s="1"/>
      <c r="S63" s="1"/>
      <c r="T63" s="1"/>
      <c r="U63" s="1"/>
      <c r="V63" s="1"/>
      <c r="W63" s="1"/>
      <c r="X63" s="1"/>
      <c r="Y63" s="1"/>
      <c r="Z63" s="1"/>
    </row>
    <row r="64" spans="1:26" ht="19.5" customHeight="1">
      <c r="A64" s="2"/>
      <c r="B64" s="22" t="s">
        <v>889</v>
      </c>
      <c r="C64" s="13"/>
      <c r="D64" s="58"/>
      <c r="E64" s="58"/>
      <c r="F64" s="58"/>
      <c r="G64" s="58"/>
      <c r="H64" s="58"/>
      <c r="I64" s="58"/>
      <c r="J64" s="58"/>
      <c r="K64" s="58"/>
      <c r="L64" s="58"/>
      <c r="M64" s="1"/>
      <c r="N64" s="1"/>
      <c r="O64" s="1"/>
      <c r="P64" s="1"/>
      <c r="Q64" s="1"/>
      <c r="R64" s="1"/>
      <c r="S64" s="1"/>
      <c r="T64" s="1"/>
      <c r="U64" s="1"/>
      <c r="V64" s="1"/>
      <c r="W64" s="1"/>
      <c r="X64" s="1"/>
      <c r="Y64" s="1"/>
      <c r="Z64" s="1"/>
    </row>
    <row r="65" spans="1:26" ht="19.5" customHeight="1">
      <c r="A65" s="3" t="s">
        <v>890</v>
      </c>
      <c r="B65" s="22" t="s">
        <v>891</v>
      </c>
      <c r="C65" s="18" t="s">
        <v>892</v>
      </c>
      <c r="D65" s="58"/>
      <c r="E65" s="58"/>
      <c r="F65" s="75"/>
      <c r="G65" s="75"/>
      <c r="H65" s="58"/>
      <c r="I65" s="56">
        <f t="array" ref="I65">G65+F65</f>
        <v>0</v>
      </c>
      <c r="J65" s="58"/>
      <c r="K65" s="58"/>
      <c r="L65" s="58"/>
      <c r="M65" s="1"/>
      <c r="N65" s="1"/>
      <c r="O65" s="1"/>
      <c r="P65" s="1"/>
      <c r="Q65" s="1"/>
      <c r="R65" s="1"/>
      <c r="S65" s="1"/>
      <c r="T65" s="1"/>
      <c r="U65" s="1"/>
      <c r="V65" s="1"/>
      <c r="W65" s="1"/>
      <c r="X65" s="1"/>
      <c r="Y65" s="1"/>
      <c r="Z65" s="1"/>
    </row>
    <row r="66" spans="1:26" ht="19.5" customHeight="1">
      <c r="A66" s="3" t="s">
        <v>893</v>
      </c>
      <c r="B66" s="22" t="s">
        <v>894</v>
      </c>
      <c r="C66" s="18" t="s">
        <v>895</v>
      </c>
      <c r="D66" s="58"/>
      <c r="E66" s="58"/>
      <c r="F66" s="75"/>
      <c r="G66" s="75"/>
      <c r="H66" s="58"/>
      <c r="I66" s="56">
        <f t="array" ref="I66">G66+F66</f>
        <v>0</v>
      </c>
      <c r="J66" s="58"/>
      <c r="K66" s="58"/>
      <c r="L66" s="58"/>
      <c r="M66" s="1"/>
      <c r="N66" s="1"/>
      <c r="O66" s="1"/>
      <c r="P66" s="1"/>
      <c r="Q66" s="1"/>
      <c r="R66" s="1"/>
      <c r="S66" s="1"/>
      <c r="T66" s="1"/>
      <c r="U66" s="1"/>
      <c r="V66" s="1"/>
      <c r="W66" s="1"/>
      <c r="X66" s="1"/>
      <c r="Y66" s="1"/>
      <c r="Z66" s="1"/>
    </row>
    <row r="67" spans="1:26" ht="19.5" customHeight="1">
      <c r="A67" s="3" t="s">
        <v>896</v>
      </c>
      <c r="B67" s="22" t="s">
        <v>897</v>
      </c>
      <c r="C67" s="18" t="s">
        <v>898</v>
      </c>
      <c r="D67" s="58"/>
      <c r="E67" s="58"/>
      <c r="F67" s="75"/>
      <c r="G67" s="75"/>
      <c r="H67" s="58"/>
      <c r="I67" s="56">
        <f t="array" ref="I67">G67+F67</f>
        <v>0</v>
      </c>
      <c r="J67" s="58"/>
      <c r="K67" s="58"/>
      <c r="L67" s="58"/>
      <c r="M67" s="1"/>
      <c r="N67" s="1"/>
      <c r="O67" s="1"/>
      <c r="P67" s="1"/>
      <c r="Q67" s="1"/>
      <c r="R67" s="1"/>
      <c r="S67" s="1"/>
      <c r="T67" s="1"/>
      <c r="U67" s="1"/>
      <c r="V67" s="1"/>
      <c r="W67" s="1"/>
      <c r="X67" s="1"/>
      <c r="Y67" s="1"/>
      <c r="Z67" s="1"/>
    </row>
    <row r="68" spans="1:26" ht="19.5" customHeight="1">
      <c r="A68" s="3" t="s">
        <v>899</v>
      </c>
      <c r="B68" s="22" t="s">
        <v>900</v>
      </c>
      <c r="C68" s="18" t="s">
        <v>901</v>
      </c>
      <c r="D68" s="58"/>
      <c r="E68" s="58"/>
      <c r="F68" s="75"/>
      <c r="G68" s="75"/>
      <c r="H68" s="58"/>
      <c r="I68" s="56">
        <f t="array" ref="I68">G68+F68</f>
        <v>0</v>
      </c>
      <c r="J68" s="58"/>
      <c r="K68" s="58"/>
      <c r="L68" s="58"/>
      <c r="M68" s="1"/>
      <c r="N68" s="1"/>
      <c r="O68" s="1"/>
      <c r="P68" s="1"/>
      <c r="Q68" s="1"/>
      <c r="R68" s="1"/>
      <c r="S68" s="1"/>
      <c r="T68" s="1"/>
      <c r="U68" s="1"/>
      <c r="V68" s="1"/>
      <c r="W68" s="1"/>
      <c r="X68" s="1"/>
      <c r="Y68" s="1"/>
      <c r="Z68" s="1"/>
    </row>
    <row r="69" spans="1:26" ht="19.5" customHeight="1">
      <c r="A69" s="3" t="s">
        <v>902</v>
      </c>
      <c r="B69" s="22" t="s">
        <v>903</v>
      </c>
      <c r="C69" s="18" t="s">
        <v>904</v>
      </c>
      <c r="D69" s="58"/>
      <c r="E69" s="58"/>
      <c r="F69" s="75"/>
      <c r="G69" s="75"/>
      <c r="H69" s="58"/>
      <c r="I69" s="56">
        <f t="array" ref="I69">G69+F69</f>
        <v>0</v>
      </c>
      <c r="J69" s="58"/>
      <c r="K69" s="58"/>
      <c r="L69" s="58"/>
      <c r="M69" s="1"/>
      <c r="N69" s="1"/>
      <c r="O69" s="1"/>
      <c r="P69" s="1"/>
      <c r="Q69" s="1"/>
      <c r="R69" s="1"/>
      <c r="S69" s="1"/>
      <c r="T69" s="1"/>
      <c r="U69" s="1"/>
      <c r="V69" s="1"/>
      <c r="W69" s="1"/>
      <c r="X69" s="1"/>
      <c r="Y69" s="1"/>
      <c r="Z69" s="1"/>
    </row>
    <row r="70" spans="1:26" ht="19.5" customHeight="1">
      <c r="A70" s="3" t="s">
        <v>905</v>
      </c>
      <c r="B70" s="22" t="s">
        <v>906</v>
      </c>
      <c r="C70" s="18" t="s">
        <v>907</v>
      </c>
      <c r="D70" s="58"/>
      <c r="E70" s="58"/>
      <c r="F70" s="75"/>
      <c r="G70" s="75"/>
      <c r="H70" s="58"/>
      <c r="I70" s="56">
        <f t="array" ref="I70">G70+F70</f>
        <v>0</v>
      </c>
      <c r="J70" s="58"/>
      <c r="K70" s="58"/>
      <c r="L70" s="58"/>
      <c r="M70" s="1"/>
      <c r="N70" s="1"/>
      <c r="O70" s="1"/>
      <c r="P70" s="1"/>
      <c r="Q70" s="1"/>
      <c r="R70" s="1"/>
      <c r="S70" s="1"/>
      <c r="T70" s="1"/>
      <c r="U70" s="1"/>
      <c r="V70" s="1"/>
      <c r="W70" s="1"/>
      <c r="X70" s="1"/>
      <c r="Y70" s="1"/>
      <c r="Z70" s="1"/>
    </row>
    <row r="71" spans="1:26" ht="19.5" customHeight="1">
      <c r="A71" s="3" t="s">
        <v>908</v>
      </c>
      <c r="B71" s="22" t="s">
        <v>909</v>
      </c>
      <c r="C71" s="18" t="s">
        <v>910</v>
      </c>
      <c r="D71" s="58"/>
      <c r="E71" s="58"/>
      <c r="F71" s="75"/>
      <c r="G71" s="75"/>
      <c r="H71" s="58"/>
      <c r="I71" s="56">
        <f t="array" ref="I71">G71+F71</f>
        <v>0</v>
      </c>
      <c r="J71" s="58"/>
      <c r="K71" s="58"/>
      <c r="L71" s="58"/>
      <c r="M71" s="1"/>
      <c r="N71" s="1"/>
      <c r="O71" s="1"/>
      <c r="P71" s="1"/>
      <c r="Q71" s="1"/>
      <c r="R71" s="1"/>
      <c r="S71" s="1"/>
      <c r="T71" s="1"/>
      <c r="U71" s="1"/>
      <c r="V71" s="1"/>
      <c r="W71" s="1"/>
      <c r="X71" s="1"/>
      <c r="Y71" s="1"/>
      <c r="Z71" s="1"/>
    </row>
    <row r="72" spans="1:26" ht="19.5" customHeight="1">
      <c r="A72" s="3" t="s">
        <v>911</v>
      </c>
      <c r="B72" s="22" t="s">
        <v>912</v>
      </c>
      <c r="C72" s="18" t="s">
        <v>913</v>
      </c>
      <c r="D72" s="58"/>
      <c r="E72" s="58"/>
      <c r="F72" s="75"/>
      <c r="G72" s="75"/>
      <c r="H72" s="58"/>
      <c r="I72" s="56">
        <f t="array" ref="I72">G72+F72</f>
        <v>0</v>
      </c>
      <c r="J72" s="58"/>
      <c r="K72" s="58"/>
      <c r="L72" s="58"/>
      <c r="M72" s="1"/>
      <c r="N72" s="1"/>
      <c r="O72" s="1"/>
      <c r="P72" s="1"/>
      <c r="Q72" s="1"/>
      <c r="R72" s="1"/>
      <c r="S72" s="1"/>
      <c r="T72" s="1"/>
      <c r="U72" s="1"/>
      <c r="V72" s="1"/>
      <c r="W72" s="1"/>
      <c r="X72" s="1"/>
      <c r="Y72" s="1"/>
      <c r="Z72" s="1"/>
    </row>
    <row r="73" spans="1:26" ht="19.5" customHeight="1">
      <c r="A73" s="3" t="s">
        <v>914</v>
      </c>
      <c r="B73" s="22" t="s">
        <v>915</v>
      </c>
      <c r="C73" s="18" t="s">
        <v>916</v>
      </c>
      <c r="D73" s="58"/>
      <c r="E73" s="58"/>
      <c r="F73" s="75"/>
      <c r="G73" s="75"/>
      <c r="H73" s="58"/>
      <c r="I73" s="56">
        <f t="array" ref="I73">G73+F73</f>
        <v>0</v>
      </c>
      <c r="J73" s="58"/>
      <c r="K73" s="58"/>
      <c r="L73" s="58"/>
      <c r="M73" s="1"/>
      <c r="N73" s="1"/>
      <c r="O73" s="1"/>
      <c r="P73" s="1"/>
      <c r="Q73" s="1"/>
      <c r="R73" s="1"/>
      <c r="S73" s="1"/>
      <c r="T73" s="1"/>
      <c r="U73" s="1"/>
      <c r="V73" s="1"/>
      <c r="W73" s="1"/>
      <c r="X73" s="1"/>
      <c r="Y73" s="1"/>
      <c r="Z73" s="1"/>
    </row>
    <row r="74" spans="1:26" ht="19.5" customHeight="1">
      <c r="A74" s="3" t="s">
        <v>917</v>
      </c>
      <c r="B74" s="22" t="s">
        <v>918</v>
      </c>
      <c r="C74" s="18" t="s">
        <v>919</v>
      </c>
      <c r="D74" s="58"/>
      <c r="E74" s="58"/>
      <c r="F74" s="75"/>
      <c r="G74" s="75"/>
      <c r="H74" s="58"/>
      <c r="I74" s="56">
        <f t="array" ref="I74">G74+F74</f>
        <v>0</v>
      </c>
      <c r="J74" s="58"/>
      <c r="K74" s="58"/>
      <c r="L74" s="58"/>
      <c r="M74" s="1"/>
      <c r="N74" s="1"/>
      <c r="O74" s="1"/>
      <c r="P74" s="1"/>
      <c r="Q74" s="1"/>
      <c r="R74" s="1"/>
      <c r="S74" s="1"/>
      <c r="T74" s="1"/>
      <c r="U74" s="1"/>
      <c r="V74" s="1"/>
      <c r="W74" s="1"/>
      <c r="X74" s="1"/>
      <c r="Y74" s="1"/>
      <c r="Z74" s="1"/>
    </row>
    <row r="75" spans="1:26" ht="19.5" customHeight="1">
      <c r="A75" s="3" t="s">
        <v>920</v>
      </c>
      <c r="B75" s="22" t="s">
        <v>921</v>
      </c>
      <c r="C75" s="18" t="s">
        <v>922</v>
      </c>
      <c r="D75" s="58"/>
      <c r="E75" s="58"/>
      <c r="F75" s="75"/>
      <c r="G75" s="75"/>
      <c r="H75" s="58"/>
      <c r="I75" s="56">
        <f t="array" ref="I75">G75+F75</f>
        <v>0</v>
      </c>
      <c r="J75" s="58"/>
      <c r="K75" s="58"/>
      <c r="L75" s="58"/>
      <c r="M75" s="1"/>
      <c r="N75" s="1"/>
      <c r="O75" s="1"/>
      <c r="P75" s="1"/>
      <c r="Q75" s="1"/>
      <c r="R75" s="1"/>
      <c r="S75" s="1"/>
      <c r="T75" s="1"/>
      <c r="U75" s="1"/>
      <c r="V75" s="1"/>
      <c r="W75" s="1"/>
      <c r="X75" s="1"/>
      <c r="Y75" s="1"/>
      <c r="Z75" s="1"/>
    </row>
    <row r="76" spans="1:26" ht="19.5" customHeight="1">
      <c r="A76" s="3" t="s">
        <v>923</v>
      </c>
      <c r="B76" s="22" t="s">
        <v>924</v>
      </c>
      <c r="C76" s="18" t="s">
        <v>925</v>
      </c>
      <c r="D76" s="58"/>
      <c r="E76" s="58"/>
      <c r="F76" s="75"/>
      <c r="G76" s="75"/>
      <c r="H76" s="58"/>
      <c r="I76" s="56">
        <f t="array" ref="I76">G76+F76</f>
        <v>0</v>
      </c>
      <c r="J76" s="58"/>
      <c r="K76" s="58"/>
      <c r="L76" s="58"/>
      <c r="M76" s="1"/>
      <c r="N76" s="1"/>
      <c r="O76" s="1"/>
      <c r="P76" s="1"/>
      <c r="Q76" s="1"/>
      <c r="R76" s="1"/>
      <c r="S76" s="1"/>
      <c r="T76" s="1"/>
      <c r="U76" s="1"/>
      <c r="V76" s="1"/>
      <c r="W76" s="1"/>
      <c r="X76" s="1"/>
      <c r="Y76" s="1"/>
      <c r="Z76" s="1"/>
    </row>
    <row r="77" spans="1:26" ht="19.5" customHeight="1">
      <c r="A77" s="3" t="s">
        <v>926</v>
      </c>
      <c r="B77" s="22" t="s">
        <v>927</v>
      </c>
      <c r="C77" s="18" t="s">
        <v>928</v>
      </c>
      <c r="D77" s="58"/>
      <c r="E77" s="58"/>
      <c r="F77" s="75"/>
      <c r="G77" s="75"/>
      <c r="H77" s="58"/>
      <c r="I77" s="56">
        <f t="array" ref="I77">G77+F77</f>
        <v>0</v>
      </c>
      <c r="J77" s="58"/>
      <c r="K77" s="58"/>
      <c r="L77" s="58"/>
      <c r="M77" s="1"/>
      <c r="N77" s="1"/>
      <c r="O77" s="1"/>
      <c r="P77" s="1"/>
      <c r="Q77" s="1"/>
      <c r="R77" s="1"/>
      <c r="S77" s="1"/>
      <c r="T77" s="1"/>
      <c r="U77" s="1"/>
      <c r="V77" s="1"/>
      <c r="W77" s="1"/>
      <c r="X77" s="1"/>
      <c r="Y77" s="1"/>
      <c r="Z77" s="1"/>
    </row>
    <row r="78" spans="1:26" ht="19.5" customHeight="1">
      <c r="A78" s="3" t="s">
        <v>929</v>
      </c>
      <c r="B78" s="22" t="s">
        <v>930</v>
      </c>
      <c r="C78" s="18" t="s">
        <v>931</v>
      </c>
      <c r="D78" s="58"/>
      <c r="E78" s="58"/>
      <c r="F78" s="75"/>
      <c r="G78" s="75"/>
      <c r="H78" s="58"/>
      <c r="I78" s="56">
        <f t="array" ref="I78">G78+F78</f>
        <v>0</v>
      </c>
      <c r="J78" s="58"/>
      <c r="K78" s="58"/>
      <c r="L78" s="58"/>
      <c r="M78" s="1"/>
      <c r="N78" s="1"/>
      <c r="O78" s="1"/>
      <c r="P78" s="1"/>
      <c r="Q78" s="1"/>
      <c r="R78" s="1"/>
      <c r="S78" s="1"/>
      <c r="T78" s="1"/>
      <c r="U78" s="1"/>
      <c r="V78" s="1"/>
      <c r="W78" s="1"/>
      <c r="X78" s="1"/>
      <c r="Y78" s="1"/>
      <c r="Z78" s="1"/>
    </row>
    <row r="79" spans="1:26" ht="19.5" customHeight="1">
      <c r="A79" s="3" t="s">
        <v>932</v>
      </c>
      <c r="B79" s="22" t="s">
        <v>933</v>
      </c>
      <c r="C79" s="18" t="s">
        <v>934</v>
      </c>
      <c r="D79" s="58"/>
      <c r="E79" s="58"/>
      <c r="F79" s="75"/>
      <c r="G79" s="75"/>
      <c r="H79" s="58"/>
      <c r="I79" s="56">
        <f t="array" ref="I79">G79+F79</f>
        <v>0</v>
      </c>
      <c r="J79" s="58"/>
      <c r="K79" s="58"/>
      <c r="L79" s="58"/>
      <c r="M79" s="1"/>
      <c r="N79" s="1"/>
      <c r="O79" s="1"/>
      <c r="P79" s="1"/>
      <c r="Q79" s="1"/>
      <c r="R79" s="1"/>
      <c r="S79" s="1"/>
      <c r="T79" s="1"/>
      <c r="U79" s="1"/>
      <c r="V79" s="1"/>
      <c r="W79" s="1"/>
      <c r="X79" s="1"/>
      <c r="Y79" s="1"/>
      <c r="Z79" s="1"/>
    </row>
    <row r="80" spans="1:26" ht="19.5" customHeight="1">
      <c r="A80" s="3" t="s">
        <v>935</v>
      </c>
      <c r="B80" s="22" t="s">
        <v>936</v>
      </c>
      <c r="C80" s="18" t="s">
        <v>937</v>
      </c>
      <c r="D80" s="58"/>
      <c r="E80" s="58"/>
      <c r="F80" s="75"/>
      <c r="G80" s="75"/>
      <c r="H80" s="58"/>
      <c r="I80" s="56">
        <f t="array" ref="I80">G80+F80</f>
        <v>0</v>
      </c>
      <c r="J80" s="58"/>
      <c r="K80" s="58"/>
      <c r="L80" s="58"/>
      <c r="M80" s="1"/>
      <c r="N80" s="1"/>
      <c r="O80" s="1"/>
      <c r="P80" s="1"/>
      <c r="Q80" s="1"/>
      <c r="R80" s="1"/>
      <c r="S80" s="1"/>
      <c r="T80" s="1"/>
      <c r="U80" s="1"/>
      <c r="V80" s="1"/>
      <c r="W80" s="1"/>
      <c r="X80" s="1"/>
      <c r="Y80" s="1"/>
      <c r="Z80" s="1"/>
    </row>
    <row r="81" spans="1:26" ht="19.5" customHeight="1">
      <c r="A81" s="3" t="s">
        <v>938</v>
      </c>
      <c r="B81" s="22" t="s">
        <v>939</v>
      </c>
      <c r="C81" s="18" t="s">
        <v>940</v>
      </c>
      <c r="D81" s="58"/>
      <c r="E81" s="58"/>
      <c r="F81" s="75"/>
      <c r="G81" s="75"/>
      <c r="H81" s="58"/>
      <c r="I81" s="56">
        <f t="array" ref="I81">G81+F81</f>
        <v>0</v>
      </c>
      <c r="J81" s="58"/>
      <c r="K81" s="58"/>
      <c r="L81" s="58"/>
      <c r="M81" s="1"/>
      <c r="N81" s="1"/>
      <c r="O81" s="1"/>
      <c r="P81" s="1"/>
      <c r="Q81" s="1"/>
      <c r="R81" s="1"/>
      <c r="S81" s="1"/>
      <c r="T81" s="1"/>
      <c r="U81" s="1"/>
      <c r="V81" s="1"/>
      <c r="W81" s="1"/>
      <c r="X81" s="1"/>
      <c r="Y81" s="1"/>
      <c r="Z81" s="1"/>
    </row>
    <row r="82" spans="1:26" ht="19.5" customHeight="1">
      <c r="A82" s="3" t="s">
        <v>941</v>
      </c>
      <c r="B82" s="22" t="s">
        <v>942</v>
      </c>
      <c r="C82" s="18" t="s">
        <v>943</v>
      </c>
      <c r="D82" s="58"/>
      <c r="E82" s="58"/>
      <c r="F82" s="75"/>
      <c r="G82" s="75"/>
      <c r="H82" s="58"/>
      <c r="I82" s="56">
        <f t="array" ref="I82">G82+F82</f>
        <v>0</v>
      </c>
      <c r="J82" s="58"/>
      <c r="K82" s="58"/>
      <c r="L82" s="58"/>
      <c r="M82" s="1"/>
      <c r="N82" s="1"/>
      <c r="O82" s="1"/>
      <c r="P82" s="1"/>
      <c r="Q82" s="1"/>
      <c r="R82" s="1"/>
      <c r="S82" s="1"/>
      <c r="T82" s="1"/>
      <c r="U82" s="1"/>
      <c r="V82" s="1"/>
      <c r="W82" s="1"/>
      <c r="X82" s="1"/>
      <c r="Y82" s="1"/>
      <c r="Z82" s="1"/>
    </row>
    <row r="83" spans="1:26" ht="19.5" customHeight="1">
      <c r="A83" s="3" t="s">
        <v>944</v>
      </c>
      <c r="B83" s="22" t="s">
        <v>945</v>
      </c>
      <c r="C83" s="18" t="s">
        <v>946</v>
      </c>
      <c r="D83" s="58"/>
      <c r="E83" s="58"/>
      <c r="F83" s="75"/>
      <c r="G83" s="75"/>
      <c r="H83" s="58"/>
      <c r="I83" s="56">
        <f t="array" ref="I83">G83+F83</f>
        <v>0</v>
      </c>
      <c r="J83" s="58"/>
      <c r="K83" s="58"/>
      <c r="L83" s="58"/>
      <c r="M83" s="1"/>
      <c r="N83" s="1"/>
      <c r="O83" s="1"/>
      <c r="P83" s="1"/>
      <c r="Q83" s="1"/>
      <c r="R83" s="1"/>
      <c r="S83" s="1"/>
      <c r="T83" s="1"/>
      <c r="U83" s="1"/>
      <c r="V83" s="1"/>
      <c r="W83" s="1"/>
      <c r="X83" s="1"/>
      <c r="Y83" s="1"/>
      <c r="Z83" s="1"/>
    </row>
    <row r="84" spans="1:26" ht="19.5" customHeight="1">
      <c r="A84" s="3" t="s">
        <v>947</v>
      </c>
      <c r="B84" s="22" t="s">
        <v>948</v>
      </c>
      <c r="C84" s="18" t="s">
        <v>949</v>
      </c>
      <c r="D84" s="58"/>
      <c r="E84" s="58"/>
      <c r="F84" s="75"/>
      <c r="G84" s="75"/>
      <c r="H84" s="58"/>
      <c r="I84" s="56">
        <f t="array" ref="I84">G84+F84</f>
        <v>0</v>
      </c>
      <c r="J84" s="58"/>
      <c r="K84" s="58"/>
      <c r="L84" s="58"/>
      <c r="M84" s="1"/>
      <c r="N84" s="1"/>
      <c r="O84" s="1"/>
      <c r="P84" s="1"/>
      <c r="Q84" s="1"/>
      <c r="R84" s="1"/>
      <c r="S84" s="1"/>
      <c r="T84" s="1"/>
      <c r="U84" s="1"/>
      <c r="V84" s="1"/>
      <c r="W84" s="1"/>
      <c r="X84" s="1"/>
      <c r="Y84" s="1"/>
      <c r="Z84" s="1"/>
    </row>
    <row r="85" spans="1:26" ht="19.5" customHeight="1">
      <c r="A85" s="3" t="s">
        <v>950</v>
      </c>
      <c r="B85" s="22" t="s">
        <v>951</v>
      </c>
      <c r="C85" s="18" t="s">
        <v>952</v>
      </c>
      <c r="D85" s="58"/>
      <c r="E85" s="58"/>
      <c r="F85" s="75"/>
      <c r="G85" s="75"/>
      <c r="H85" s="58"/>
      <c r="I85" s="56">
        <f t="array" ref="I85">G85+F85</f>
        <v>0</v>
      </c>
      <c r="J85" s="58"/>
      <c r="K85" s="58"/>
      <c r="L85" s="58"/>
      <c r="M85" s="1"/>
      <c r="N85" s="1"/>
      <c r="O85" s="1"/>
      <c r="P85" s="1"/>
      <c r="Q85" s="1"/>
      <c r="R85" s="1"/>
      <c r="S85" s="1"/>
      <c r="T85" s="1"/>
      <c r="U85" s="1"/>
      <c r="V85" s="1"/>
      <c r="W85" s="1"/>
      <c r="X85" s="1"/>
      <c r="Y85" s="1"/>
      <c r="Z85" s="1"/>
    </row>
    <row r="86" spans="1:26" ht="19.5" customHeight="1">
      <c r="A86" s="3" t="s">
        <v>953</v>
      </c>
      <c r="B86" s="22" t="s">
        <v>954</v>
      </c>
      <c r="C86" s="18" t="s">
        <v>955</v>
      </c>
      <c r="D86" s="58"/>
      <c r="E86" s="58"/>
      <c r="F86" s="75"/>
      <c r="G86" s="75"/>
      <c r="H86" s="58"/>
      <c r="I86" s="56">
        <f t="array" ref="I86">G86+F86</f>
        <v>0</v>
      </c>
      <c r="J86" s="58"/>
      <c r="K86" s="58"/>
      <c r="L86" s="58"/>
      <c r="M86" s="1"/>
      <c r="N86" s="1"/>
      <c r="O86" s="1"/>
      <c r="P86" s="1"/>
      <c r="Q86" s="1"/>
      <c r="R86" s="1"/>
      <c r="S86" s="1"/>
      <c r="T86" s="1"/>
      <c r="U86" s="1"/>
      <c r="V86" s="1"/>
      <c r="W86" s="1"/>
      <c r="X86" s="1"/>
      <c r="Y86" s="1"/>
      <c r="Z86" s="1"/>
    </row>
    <row r="87" spans="1:26" ht="19.5" customHeight="1">
      <c r="A87" s="3" t="s">
        <v>956</v>
      </c>
      <c r="B87" s="22" t="s">
        <v>957</v>
      </c>
      <c r="C87" s="18" t="s">
        <v>958</v>
      </c>
      <c r="D87" s="58"/>
      <c r="E87" s="58"/>
      <c r="F87" s="75"/>
      <c r="G87" s="75"/>
      <c r="H87" s="58"/>
      <c r="I87" s="56">
        <f t="array" ref="I87">G87+F87</f>
        <v>0</v>
      </c>
      <c r="J87" s="58"/>
      <c r="K87" s="58"/>
      <c r="L87" s="58"/>
      <c r="M87" s="1"/>
      <c r="N87" s="1"/>
      <c r="O87" s="1"/>
      <c r="P87" s="1"/>
      <c r="Q87" s="1"/>
      <c r="R87" s="1"/>
      <c r="S87" s="1"/>
      <c r="T87" s="1"/>
      <c r="U87" s="1"/>
      <c r="V87" s="1"/>
      <c r="W87" s="1"/>
      <c r="X87" s="1"/>
      <c r="Y87" s="1"/>
      <c r="Z87" s="1"/>
    </row>
    <row r="88" spans="1:26" ht="19.5" customHeight="1">
      <c r="A88" s="3" t="s">
        <v>959</v>
      </c>
      <c r="B88" s="22" t="s">
        <v>960</v>
      </c>
      <c r="C88" s="18" t="s">
        <v>961</v>
      </c>
      <c r="D88" s="58"/>
      <c r="E88" s="58"/>
      <c r="F88" s="75"/>
      <c r="G88" s="75"/>
      <c r="H88" s="58"/>
      <c r="I88" s="56">
        <f t="array" ref="I88">G88+F88</f>
        <v>0</v>
      </c>
      <c r="J88" s="58"/>
      <c r="K88" s="58"/>
      <c r="L88" s="58"/>
      <c r="M88" s="1"/>
      <c r="N88" s="1"/>
      <c r="O88" s="1"/>
      <c r="P88" s="1"/>
      <c r="Q88" s="1"/>
      <c r="R88" s="1"/>
      <c r="S88" s="1"/>
      <c r="T88" s="1"/>
      <c r="U88" s="1"/>
      <c r="V88" s="1"/>
      <c r="W88" s="1"/>
      <c r="X88" s="1"/>
      <c r="Y88" s="1"/>
      <c r="Z88" s="1"/>
    </row>
    <row r="89" spans="1:26" ht="19.5" customHeight="1">
      <c r="A89" s="3" t="s">
        <v>962</v>
      </c>
      <c r="B89" s="22" t="s">
        <v>963</v>
      </c>
      <c r="C89" s="18" t="s">
        <v>964</v>
      </c>
      <c r="D89" s="58"/>
      <c r="E89" s="58"/>
      <c r="F89" s="75"/>
      <c r="G89" s="75"/>
      <c r="H89" s="58"/>
      <c r="I89" s="56">
        <f t="array" ref="I89">G89+F89</f>
        <v>0</v>
      </c>
      <c r="J89" s="58"/>
      <c r="K89" s="58"/>
      <c r="L89" s="58"/>
      <c r="M89" s="1"/>
      <c r="N89" s="1"/>
      <c r="O89" s="1"/>
      <c r="P89" s="1"/>
      <c r="Q89" s="1"/>
      <c r="R89" s="1"/>
      <c r="S89" s="1"/>
      <c r="T89" s="1"/>
      <c r="U89" s="1"/>
      <c r="V89" s="1"/>
      <c r="W89" s="1"/>
      <c r="X89" s="1"/>
      <c r="Y89" s="1"/>
      <c r="Z89" s="1"/>
    </row>
    <row r="90" spans="1:26" ht="19.5" customHeight="1">
      <c r="A90" s="3" t="s">
        <v>965</v>
      </c>
      <c r="B90" s="22" t="s">
        <v>966</v>
      </c>
      <c r="C90" s="18" t="s">
        <v>967</v>
      </c>
      <c r="D90" s="58"/>
      <c r="E90" s="58"/>
      <c r="F90" s="75"/>
      <c r="G90" s="75"/>
      <c r="H90" s="58"/>
      <c r="I90" s="56">
        <f t="array" ref="I90">G90+F90</f>
        <v>0</v>
      </c>
      <c r="J90" s="58"/>
      <c r="K90" s="58"/>
      <c r="L90" s="58"/>
      <c r="M90" s="1"/>
      <c r="N90" s="1"/>
      <c r="O90" s="1"/>
      <c r="P90" s="1"/>
      <c r="Q90" s="1"/>
      <c r="R90" s="1"/>
      <c r="S90" s="1"/>
      <c r="T90" s="1"/>
      <c r="U90" s="1"/>
      <c r="V90" s="1"/>
      <c r="W90" s="1"/>
      <c r="X90" s="1"/>
      <c r="Y90" s="1"/>
      <c r="Z90" s="1"/>
    </row>
    <row r="91" spans="1:26" ht="19.5" customHeight="1">
      <c r="A91" s="3" t="s">
        <v>968</v>
      </c>
      <c r="B91" s="22" t="s">
        <v>969</v>
      </c>
      <c r="C91" s="18" t="s">
        <v>970</v>
      </c>
      <c r="D91" s="58"/>
      <c r="E91" s="58"/>
      <c r="F91" s="75"/>
      <c r="G91" s="75"/>
      <c r="H91" s="58"/>
      <c r="I91" s="56">
        <f t="array" ref="I91">G91+F91</f>
        <v>0</v>
      </c>
      <c r="J91" s="58"/>
      <c r="K91" s="58"/>
      <c r="L91" s="58"/>
      <c r="M91" s="1"/>
      <c r="N91" s="1"/>
      <c r="O91" s="1"/>
      <c r="P91" s="1"/>
      <c r="Q91" s="1"/>
      <c r="R91" s="1"/>
      <c r="S91" s="1"/>
      <c r="T91" s="1"/>
      <c r="U91" s="1"/>
      <c r="V91" s="1"/>
      <c r="W91" s="1"/>
      <c r="X91" s="1"/>
      <c r="Y91" s="1"/>
      <c r="Z91" s="1"/>
    </row>
    <row r="92" spans="1:26" ht="19.5" customHeight="1">
      <c r="A92" s="3" t="s">
        <v>971</v>
      </c>
      <c r="B92" s="22" t="s">
        <v>972</v>
      </c>
      <c r="C92" s="18" t="s">
        <v>973</v>
      </c>
      <c r="D92" s="58"/>
      <c r="E92" s="58"/>
      <c r="F92" s="75"/>
      <c r="G92" s="75"/>
      <c r="H92" s="58"/>
      <c r="I92" s="56">
        <f t="array" ref="I92">G92+F92</f>
        <v>0</v>
      </c>
      <c r="J92" s="58"/>
      <c r="K92" s="58"/>
      <c r="L92" s="58"/>
      <c r="M92" s="1"/>
      <c r="N92" s="1"/>
      <c r="O92" s="1"/>
      <c r="P92" s="1"/>
      <c r="Q92" s="1"/>
      <c r="R92" s="1"/>
      <c r="S92" s="1"/>
      <c r="T92" s="1"/>
      <c r="U92" s="1"/>
      <c r="V92" s="1"/>
      <c r="W92" s="1"/>
      <c r="X92" s="1"/>
      <c r="Y92" s="1"/>
      <c r="Z92" s="1"/>
    </row>
    <row r="93" spans="1:26" ht="19.5" customHeight="1">
      <c r="A93" s="3" t="s">
        <v>974</v>
      </c>
      <c r="B93" s="22" t="s">
        <v>975</v>
      </c>
      <c r="C93" s="18" t="s">
        <v>976</v>
      </c>
      <c r="D93" s="58"/>
      <c r="E93" s="58"/>
      <c r="F93" s="75"/>
      <c r="G93" s="75"/>
      <c r="H93" s="58"/>
      <c r="I93" s="56">
        <f t="array" ref="I93">G93+F93</f>
        <v>0</v>
      </c>
      <c r="J93" s="58"/>
      <c r="K93" s="58"/>
      <c r="L93" s="58"/>
      <c r="M93" s="1"/>
      <c r="N93" s="1"/>
      <c r="O93" s="1"/>
      <c r="P93" s="1"/>
      <c r="Q93" s="1"/>
      <c r="R93" s="1"/>
      <c r="S93" s="1"/>
      <c r="T93" s="1"/>
      <c r="U93" s="1"/>
      <c r="V93" s="1"/>
      <c r="W93" s="1"/>
      <c r="X93" s="1"/>
      <c r="Y93" s="1"/>
      <c r="Z93" s="1"/>
    </row>
    <row r="94" spans="1:26" ht="19.5" customHeight="1">
      <c r="A94" s="3" t="s">
        <v>977</v>
      </c>
      <c r="B94" s="22" t="s">
        <v>978</v>
      </c>
      <c r="C94" s="18" t="s">
        <v>979</v>
      </c>
      <c r="D94" s="58"/>
      <c r="E94" s="58"/>
      <c r="F94" s="75"/>
      <c r="G94" s="75"/>
      <c r="H94" s="58"/>
      <c r="I94" s="56">
        <f t="array" ref="I94">G94+F94</f>
        <v>0</v>
      </c>
      <c r="J94" s="58"/>
      <c r="K94" s="58"/>
      <c r="L94" s="58"/>
      <c r="M94" s="1"/>
      <c r="N94" s="1"/>
      <c r="O94" s="1"/>
      <c r="P94" s="1"/>
      <c r="Q94" s="1"/>
      <c r="R94" s="1"/>
      <c r="S94" s="1"/>
      <c r="T94" s="1"/>
      <c r="U94" s="1"/>
      <c r="V94" s="1"/>
      <c r="W94" s="1"/>
      <c r="X94" s="1"/>
      <c r="Y94" s="1"/>
      <c r="Z94" s="1"/>
    </row>
    <row r="95" spans="1:26" ht="19.5" customHeight="1">
      <c r="A95" s="3" t="s">
        <v>980</v>
      </c>
      <c r="B95" s="22" t="s">
        <v>981</v>
      </c>
      <c r="C95" s="18" t="s">
        <v>982</v>
      </c>
      <c r="D95" s="58"/>
      <c r="E95" s="58"/>
      <c r="F95" s="75"/>
      <c r="G95" s="75"/>
      <c r="H95" s="58"/>
      <c r="I95" s="56">
        <f t="array" ref="I95">G95+F95</f>
        <v>0</v>
      </c>
      <c r="J95" s="58"/>
      <c r="K95" s="58"/>
      <c r="L95" s="58"/>
      <c r="M95" s="1"/>
      <c r="N95" s="1"/>
      <c r="O95" s="1"/>
      <c r="P95" s="1"/>
      <c r="Q95" s="1"/>
      <c r="R95" s="1"/>
      <c r="S95" s="1"/>
      <c r="T95" s="1"/>
      <c r="U95" s="1"/>
      <c r="V95" s="1"/>
      <c r="W95" s="1"/>
      <c r="X95" s="1"/>
      <c r="Y95" s="1"/>
      <c r="Z95" s="1"/>
    </row>
    <row r="96" spans="1:26" ht="19.5" customHeight="1">
      <c r="A96" s="3" t="s">
        <v>983</v>
      </c>
      <c r="B96" s="22" t="s">
        <v>984</v>
      </c>
      <c r="C96" s="18" t="s">
        <v>985</v>
      </c>
      <c r="D96" s="58"/>
      <c r="E96" s="58"/>
      <c r="F96" s="75"/>
      <c r="G96" s="75"/>
      <c r="H96" s="58"/>
      <c r="I96" s="56">
        <f t="array" ref="I96">G96+F96</f>
        <v>0</v>
      </c>
      <c r="J96" s="58"/>
      <c r="K96" s="58"/>
      <c r="L96" s="58"/>
      <c r="M96" s="1"/>
      <c r="N96" s="1"/>
      <c r="O96" s="1"/>
      <c r="P96" s="1"/>
      <c r="Q96" s="1"/>
      <c r="R96" s="1"/>
      <c r="S96" s="1"/>
      <c r="T96" s="1"/>
      <c r="U96" s="1"/>
      <c r="V96" s="1"/>
      <c r="W96" s="1"/>
      <c r="X96" s="1"/>
      <c r="Y96" s="1"/>
      <c r="Z96" s="1"/>
    </row>
    <row r="97" spans="1:26" ht="19.5" customHeight="1">
      <c r="A97" s="3" t="s">
        <v>986</v>
      </c>
      <c r="B97" s="22" t="s">
        <v>987</v>
      </c>
      <c r="C97" s="18" t="s">
        <v>988</v>
      </c>
      <c r="D97" s="58"/>
      <c r="E97" s="58"/>
      <c r="F97" s="75"/>
      <c r="G97" s="75"/>
      <c r="H97" s="58"/>
      <c r="I97" s="56">
        <f t="array" ref="I97">G97+F97</f>
        <v>0</v>
      </c>
      <c r="J97" s="58"/>
      <c r="K97" s="58"/>
      <c r="L97" s="58"/>
      <c r="M97" s="1"/>
      <c r="N97" s="1"/>
      <c r="O97" s="1"/>
      <c r="P97" s="1"/>
      <c r="Q97" s="1"/>
      <c r="R97" s="1"/>
      <c r="S97" s="1"/>
      <c r="T97" s="1"/>
      <c r="U97" s="1"/>
      <c r="V97" s="1"/>
      <c r="W97" s="1"/>
      <c r="X97" s="1"/>
      <c r="Y97" s="1"/>
      <c r="Z97" s="1"/>
    </row>
    <row r="98" spans="1:26" ht="19.5" customHeight="1">
      <c r="A98" s="3" t="s">
        <v>989</v>
      </c>
      <c r="B98" s="22" t="s">
        <v>990</v>
      </c>
      <c r="C98" s="18" t="s">
        <v>991</v>
      </c>
      <c r="D98" s="58"/>
      <c r="E98" s="58"/>
      <c r="F98" s="75"/>
      <c r="G98" s="75"/>
      <c r="H98" s="58"/>
      <c r="I98" s="56">
        <f t="array" ref="I98">G98+F98</f>
        <v>0</v>
      </c>
      <c r="J98" s="58"/>
      <c r="K98" s="58"/>
      <c r="L98" s="58"/>
      <c r="M98" s="1"/>
      <c r="N98" s="1"/>
      <c r="O98" s="1"/>
      <c r="P98" s="1"/>
      <c r="Q98" s="1"/>
      <c r="R98" s="1"/>
      <c r="S98" s="1"/>
      <c r="T98" s="1"/>
      <c r="U98" s="1"/>
      <c r="V98" s="1"/>
      <c r="W98" s="1"/>
      <c r="X98" s="1"/>
      <c r="Y98" s="1"/>
      <c r="Z98" s="1"/>
    </row>
    <row r="99" spans="1:26" ht="19.5" customHeight="1">
      <c r="A99" s="3" t="s">
        <v>992</v>
      </c>
      <c r="B99" s="22" t="s">
        <v>993</v>
      </c>
      <c r="C99" s="18" t="s">
        <v>994</v>
      </c>
      <c r="D99" s="58"/>
      <c r="E99" s="58"/>
      <c r="F99" s="75"/>
      <c r="G99" s="75"/>
      <c r="H99" s="58"/>
      <c r="I99" s="56">
        <f t="array" ref="I99">G99+F99</f>
        <v>0</v>
      </c>
      <c r="J99" s="58"/>
      <c r="K99" s="58"/>
      <c r="L99" s="58"/>
      <c r="M99" s="1"/>
      <c r="N99" s="1"/>
      <c r="O99" s="1"/>
      <c r="P99" s="1"/>
      <c r="Q99" s="1"/>
      <c r="R99" s="1"/>
      <c r="S99" s="1"/>
      <c r="T99" s="1"/>
      <c r="U99" s="1"/>
      <c r="V99" s="1"/>
      <c r="W99" s="1"/>
      <c r="X99" s="1"/>
      <c r="Y99" s="1"/>
      <c r="Z99" s="1"/>
    </row>
    <row r="100" spans="1:26" ht="19.5" customHeight="1">
      <c r="A100" s="3" t="s">
        <v>995</v>
      </c>
      <c r="B100" s="22" t="s">
        <v>996</v>
      </c>
      <c r="C100" s="18" t="s">
        <v>997</v>
      </c>
      <c r="D100" s="58"/>
      <c r="E100" s="58"/>
      <c r="F100" s="75"/>
      <c r="G100" s="75"/>
      <c r="H100" s="58"/>
      <c r="I100" s="56">
        <f t="array" ref="I100">G100+F100</f>
        <v>0</v>
      </c>
      <c r="J100" s="58"/>
      <c r="K100" s="58"/>
      <c r="L100" s="58"/>
      <c r="M100" s="1"/>
      <c r="N100" s="1"/>
      <c r="O100" s="1"/>
      <c r="P100" s="1"/>
      <c r="Q100" s="1"/>
      <c r="R100" s="1"/>
      <c r="S100" s="1"/>
      <c r="T100" s="1"/>
      <c r="U100" s="1"/>
      <c r="V100" s="1"/>
      <c r="W100" s="1"/>
      <c r="X100" s="1"/>
      <c r="Y100" s="1"/>
      <c r="Z100" s="1"/>
    </row>
    <row r="101" spans="1:26" ht="19.5" customHeight="1">
      <c r="A101" s="3" t="s">
        <v>998</v>
      </c>
      <c r="B101" s="22" t="s">
        <v>999</v>
      </c>
      <c r="C101" s="18" t="s">
        <v>1000</v>
      </c>
      <c r="D101" s="58"/>
      <c r="E101" s="58"/>
      <c r="F101" s="75"/>
      <c r="G101" s="75"/>
      <c r="H101" s="58"/>
      <c r="I101" s="56">
        <f t="array" ref="I101">G101+F101</f>
        <v>0</v>
      </c>
      <c r="J101" s="58"/>
      <c r="K101" s="58"/>
      <c r="L101" s="58"/>
      <c r="M101" s="1"/>
      <c r="N101" s="1"/>
      <c r="O101" s="1"/>
      <c r="P101" s="1"/>
      <c r="Q101" s="1"/>
      <c r="R101" s="1"/>
      <c r="S101" s="1"/>
      <c r="T101" s="1"/>
      <c r="U101" s="1"/>
      <c r="V101" s="1"/>
      <c r="W101" s="1"/>
      <c r="X101" s="1"/>
      <c r="Y101" s="1"/>
      <c r="Z101" s="1"/>
    </row>
    <row r="102" spans="1:26" ht="19.5" customHeight="1">
      <c r="A102" s="3" t="s">
        <v>1001</v>
      </c>
      <c r="B102" s="22" t="s">
        <v>1002</v>
      </c>
      <c r="C102" s="18" t="s">
        <v>1003</v>
      </c>
      <c r="D102" s="58"/>
      <c r="E102" s="58"/>
      <c r="F102" s="75"/>
      <c r="G102" s="75"/>
      <c r="H102" s="58"/>
      <c r="I102" s="56">
        <f t="array" ref="I102">G102+F102</f>
        <v>0</v>
      </c>
      <c r="J102" s="58"/>
      <c r="K102" s="58"/>
      <c r="L102" s="58"/>
      <c r="M102" s="1"/>
      <c r="N102" s="1"/>
      <c r="O102" s="1"/>
      <c r="P102" s="1"/>
      <c r="Q102" s="1"/>
      <c r="R102" s="1"/>
      <c r="S102" s="1"/>
      <c r="T102" s="1"/>
      <c r="U102" s="1"/>
      <c r="V102" s="1"/>
      <c r="W102" s="1"/>
      <c r="X102" s="1"/>
      <c r="Y102" s="1"/>
      <c r="Z102" s="1"/>
    </row>
    <row r="103" spans="1:26" ht="19.5" customHeight="1">
      <c r="A103" s="3" t="s">
        <v>1004</v>
      </c>
      <c r="B103" s="22" t="s">
        <v>1005</v>
      </c>
      <c r="C103" s="18" t="s">
        <v>1006</v>
      </c>
      <c r="D103" s="58"/>
      <c r="E103" s="58"/>
      <c r="F103" s="75"/>
      <c r="G103" s="75"/>
      <c r="H103" s="58"/>
      <c r="I103" s="56">
        <f t="array" ref="I103">G103+F103</f>
        <v>0</v>
      </c>
      <c r="J103" s="58"/>
      <c r="K103" s="58"/>
      <c r="L103" s="58"/>
      <c r="M103" s="1"/>
      <c r="N103" s="1"/>
      <c r="O103" s="1"/>
      <c r="P103" s="1"/>
      <c r="Q103" s="1"/>
      <c r="R103" s="1"/>
      <c r="S103" s="1"/>
      <c r="T103" s="1"/>
      <c r="U103" s="1"/>
      <c r="V103" s="1"/>
      <c r="W103" s="1"/>
      <c r="X103" s="1"/>
      <c r="Y103" s="1"/>
      <c r="Z103" s="1"/>
    </row>
    <row r="104" spans="1:26" ht="19.5" customHeight="1">
      <c r="A104" s="3" t="s">
        <v>1007</v>
      </c>
      <c r="B104" s="22" t="s">
        <v>1008</v>
      </c>
      <c r="C104" s="18" t="s">
        <v>1009</v>
      </c>
      <c r="D104" s="58"/>
      <c r="E104" s="58"/>
      <c r="F104" s="75"/>
      <c r="G104" s="75"/>
      <c r="H104" s="58"/>
      <c r="I104" s="56">
        <f t="array" ref="I104">G104+F104</f>
        <v>0</v>
      </c>
      <c r="J104" s="58"/>
      <c r="K104" s="58"/>
      <c r="L104" s="58"/>
      <c r="M104" s="1"/>
      <c r="N104" s="1"/>
      <c r="O104" s="1"/>
      <c r="P104" s="1"/>
      <c r="Q104" s="1"/>
      <c r="R104" s="1"/>
      <c r="S104" s="1"/>
      <c r="T104" s="1"/>
      <c r="U104" s="1"/>
      <c r="V104" s="1"/>
      <c r="W104" s="1"/>
      <c r="X104" s="1"/>
      <c r="Y104" s="1"/>
      <c r="Z104" s="1"/>
    </row>
    <row r="105" spans="1:26" ht="19.5" customHeight="1">
      <c r="A105" s="3" t="s">
        <v>1010</v>
      </c>
      <c r="B105" s="22" t="s">
        <v>1011</v>
      </c>
      <c r="C105" s="18" t="s">
        <v>1012</v>
      </c>
      <c r="D105" s="58"/>
      <c r="E105" s="58"/>
      <c r="F105" s="75"/>
      <c r="G105" s="75"/>
      <c r="H105" s="58"/>
      <c r="I105" s="56">
        <f t="array" ref="I105">G105+F105</f>
        <v>0</v>
      </c>
      <c r="J105" s="58"/>
      <c r="K105" s="58"/>
      <c r="L105" s="58"/>
      <c r="M105" s="1"/>
      <c r="N105" s="1"/>
      <c r="O105" s="1"/>
      <c r="P105" s="1"/>
      <c r="Q105" s="1"/>
      <c r="R105" s="1"/>
      <c r="S105" s="1"/>
      <c r="T105" s="1"/>
      <c r="U105" s="1"/>
      <c r="V105" s="1"/>
      <c r="W105" s="1"/>
      <c r="X105" s="1"/>
      <c r="Y105" s="1"/>
      <c r="Z105" s="1"/>
    </row>
    <row r="106" spans="1:26" ht="19.5" customHeight="1">
      <c r="A106" s="3" t="s">
        <v>1013</v>
      </c>
      <c r="B106" s="22" t="s">
        <v>1014</v>
      </c>
      <c r="C106" s="18" t="s">
        <v>1015</v>
      </c>
      <c r="D106" s="58"/>
      <c r="E106" s="58"/>
      <c r="F106" s="75"/>
      <c r="G106" s="75"/>
      <c r="H106" s="58"/>
      <c r="I106" s="56">
        <f t="array" ref="I106">G106+F106</f>
        <v>0</v>
      </c>
      <c r="J106" s="58"/>
      <c r="K106" s="58"/>
      <c r="L106" s="58"/>
      <c r="M106" s="1"/>
      <c r="N106" s="1"/>
      <c r="O106" s="1"/>
      <c r="P106" s="1"/>
      <c r="Q106" s="1"/>
      <c r="R106" s="1"/>
      <c r="S106" s="1"/>
      <c r="T106" s="1"/>
      <c r="U106" s="1"/>
      <c r="V106" s="1"/>
      <c r="W106" s="1"/>
      <c r="X106" s="1"/>
      <c r="Y106" s="1"/>
      <c r="Z106" s="1"/>
    </row>
    <row r="107" spans="1:26" ht="19.5" customHeight="1">
      <c r="A107" s="3" t="s">
        <v>1016</v>
      </c>
      <c r="B107" s="126" t="s">
        <v>889</v>
      </c>
      <c r="C107" s="53"/>
      <c r="D107" s="58"/>
      <c r="E107" s="58"/>
      <c r="F107" s="56">
        <f t="array" ref="F107">SUM(F65:F106)</f>
        <v>0</v>
      </c>
      <c r="G107" s="56">
        <f t="array" ref="G107">SUM(G65:G106)</f>
        <v>0</v>
      </c>
      <c r="H107" s="58"/>
      <c r="I107" s="56">
        <f t="array" ref="I107">SUM(I65:I106)</f>
        <v>0</v>
      </c>
      <c r="J107" s="58"/>
      <c r="K107" s="58"/>
      <c r="L107" s="58"/>
      <c r="M107" s="1"/>
      <c r="N107" s="1"/>
      <c r="O107" s="1"/>
      <c r="P107" s="1"/>
      <c r="Q107" s="1"/>
      <c r="R107" s="1"/>
      <c r="S107" s="1"/>
      <c r="T107" s="1"/>
      <c r="U107" s="1"/>
      <c r="V107" s="1"/>
      <c r="W107" s="1"/>
      <c r="X107" s="1"/>
      <c r="Y107" s="1"/>
      <c r="Z107" s="1"/>
    </row>
    <row r="108" spans="1:26" ht="19.5" customHeight="1">
      <c r="A108" s="2"/>
      <c r="B108" s="17"/>
      <c r="C108" s="13"/>
      <c r="D108" s="58"/>
      <c r="E108" s="58"/>
      <c r="F108" s="58"/>
      <c r="G108" s="58"/>
      <c r="H108" s="58"/>
      <c r="I108" s="58"/>
      <c r="J108" s="58"/>
      <c r="K108" s="58"/>
      <c r="L108" s="58"/>
      <c r="M108" s="1"/>
      <c r="N108" s="1"/>
      <c r="O108" s="1"/>
      <c r="P108" s="1"/>
      <c r="Q108" s="1"/>
      <c r="R108" s="1"/>
      <c r="S108" s="1"/>
      <c r="T108" s="1"/>
      <c r="U108" s="1"/>
      <c r="V108" s="1"/>
      <c r="W108" s="1"/>
      <c r="X108" s="1"/>
      <c r="Y108" s="1"/>
      <c r="Z108" s="1"/>
    </row>
    <row r="109" spans="1:26" ht="19.5" customHeight="1">
      <c r="A109" s="2"/>
      <c r="B109" s="22" t="s">
        <v>1017</v>
      </c>
      <c r="C109" s="13"/>
      <c r="D109" s="58"/>
      <c r="E109" s="58"/>
      <c r="F109" s="58"/>
      <c r="G109" s="58"/>
      <c r="H109" s="58"/>
      <c r="I109" s="58"/>
      <c r="J109" s="58"/>
      <c r="K109" s="58"/>
      <c r="L109" s="58"/>
      <c r="M109" s="1"/>
      <c r="N109" s="1"/>
      <c r="O109" s="1"/>
      <c r="P109" s="1"/>
      <c r="Q109" s="1"/>
      <c r="R109" s="1"/>
      <c r="S109" s="1"/>
      <c r="T109" s="1"/>
      <c r="U109" s="1"/>
      <c r="V109" s="1"/>
      <c r="W109" s="1"/>
      <c r="X109" s="1"/>
      <c r="Y109" s="1"/>
      <c r="Z109" s="1"/>
    </row>
    <row r="110" spans="1:26" ht="19.5" customHeight="1">
      <c r="A110" s="3" t="s">
        <v>1018</v>
      </c>
      <c r="B110" s="22" t="s">
        <v>1019</v>
      </c>
      <c r="C110" s="18" t="s">
        <v>1020</v>
      </c>
      <c r="D110" s="58"/>
      <c r="E110" s="58"/>
      <c r="F110" s="75"/>
      <c r="G110" s="75"/>
      <c r="H110" s="58"/>
      <c r="I110" s="56">
        <f t="array" ref="I110">G110+F110</f>
        <v>0</v>
      </c>
      <c r="J110" s="58"/>
      <c r="K110" s="58"/>
      <c r="L110" s="58"/>
      <c r="M110" s="1"/>
      <c r="N110" s="1"/>
      <c r="O110" s="1"/>
      <c r="P110" s="1"/>
      <c r="Q110" s="1"/>
      <c r="R110" s="1"/>
      <c r="S110" s="1"/>
      <c r="T110" s="1"/>
      <c r="U110" s="1"/>
      <c r="V110" s="1"/>
      <c r="W110" s="1"/>
      <c r="X110" s="1"/>
      <c r="Y110" s="1"/>
      <c r="Z110" s="1"/>
    </row>
    <row r="111" spans="1:26" ht="19.5" customHeight="1">
      <c r="A111" s="3" t="s">
        <v>1021</v>
      </c>
      <c r="B111" s="22" t="s">
        <v>1022</v>
      </c>
      <c r="C111" s="18" t="s">
        <v>1023</v>
      </c>
      <c r="D111" s="58"/>
      <c r="E111" s="58"/>
      <c r="F111" s="75"/>
      <c r="G111" s="75"/>
      <c r="H111" s="58"/>
      <c r="I111" s="56">
        <f t="array" ref="I111">G111+F111</f>
        <v>0</v>
      </c>
      <c r="J111" s="58"/>
      <c r="K111" s="58"/>
      <c r="L111" s="58"/>
      <c r="M111" s="1"/>
      <c r="N111" s="1"/>
      <c r="O111" s="1"/>
      <c r="P111" s="1"/>
      <c r="Q111" s="1"/>
      <c r="R111" s="1"/>
      <c r="S111" s="1"/>
      <c r="T111" s="1"/>
      <c r="U111" s="1"/>
      <c r="V111" s="1"/>
      <c r="W111" s="1"/>
      <c r="X111" s="1"/>
      <c r="Y111" s="1"/>
      <c r="Z111" s="1"/>
    </row>
    <row r="112" spans="1:26" ht="19.5" customHeight="1">
      <c r="A112" s="3" t="s">
        <v>1024</v>
      </c>
      <c r="B112" s="22" t="s">
        <v>1025</v>
      </c>
      <c r="C112" s="18" t="s">
        <v>1026</v>
      </c>
      <c r="D112" s="58"/>
      <c r="E112" s="58"/>
      <c r="F112" s="75"/>
      <c r="G112" s="75"/>
      <c r="H112" s="58"/>
      <c r="I112" s="56">
        <f t="array" ref="I112">G112+F112</f>
        <v>0</v>
      </c>
      <c r="J112" s="58"/>
      <c r="K112" s="58"/>
      <c r="L112" s="58"/>
      <c r="M112" s="1"/>
      <c r="N112" s="1"/>
      <c r="O112" s="1"/>
      <c r="P112" s="1"/>
      <c r="Q112" s="1"/>
      <c r="R112" s="1"/>
      <c r="S112" s="1"/>
      <c r="T112" s="1"/>
      <c r="U112" s="1"/>
      <c r="V112" s="1"/>
      <c r="W112" s="1"/>
      <c r="X112" s="1"/>
      <c r="Y112" s="1"/>
      <c r="Z112" s="1"/>
    </row>
    <row r="113" spans="1:26" ht="19.5" customHeight="1">
      <c r="A113" s="3" t="s">
        <v>1027</v>
      </c>
      <c r="B113" s="22" t="s">
        <v>1028</v>
      </c>
      <c r="C113" s="18" t="s">
        <v>1029</v>
      </c>
      <c r="D113" s="58"/>
      <c r="E113" s="58"/>
      <c r="F113" s="75"/>
      <c r="G113" s="75"/>
      <c r="H113" s="58"/>
      <c r="I113" s="56">
        <f t="array" ref="I113">G113+F113</f>
        <v>0</v>
      </c>
      <c r="J113" s="58"/>
      <c r="K113" s="58"/>
      <c r="L113" s="58"/>
      <c r="M113" s="1"/>
      <c r="N113" s="1"/>
      <c r="O113" s="1"/>
      <c r="P113" s="1"/>
      <c r="Q113" s="1"/>
      <c r="R113" s="1"/>
      <c r="S113" s="1"/>
      <c r="T113" s="1"/>
      <c r="U113" s="1"/>
      <c r="V113" s="1"/>
      <c r="W113" s="1"/>
      <c r="X113" s="1"/>
      <c r="Y113" s="1"/>
      <c r="Z113" s="1"/>
    </row>
    <row r="114" spans="1:26" ht="19.5" customHeight="1">
      <c r="A114" s="3" t="s">
        <v>1030</v>
      </c>
      <c r="B114" s="22" t="s">
        <v>1031</v>
      </c>
      <c r="C114" s="18" t="s">
        <v>1032</v>
      </c>
      <c r="D114" s="58"/>
      <c r="E114" s="58"/>
      <c r="F114" s="75"/>
      <c r="G114" s="75"/>
      <c r="H114" s="58"/>
      <c r="I114" s="56">
        <f t="array" ref="I114">G114+F114</f>
        <v>0</v>
      </c>
      <c r="J114" s="58"/>
      <c r="K114" s="58"/>
      <c r="L114" s="58"/>
      <c r="M114" s="1"/>
      <c r="N114" s="1"/>
      <c r="O114" s="1"/>
      <c r="P114" s="1"/>
      <c r="Q114" s="1"/>
      <c r="R114" s="1"/>
      <c r="S114" s="1"/>
      <c r="T114" s="1"/>
      <c r="U114" s="1"/>
      <c r="V114" s="1"/>
      <c r="W114" s="1"/>
      <c r="X114" s="1"/>
      <c r="Y114" s="1"/>
      <c r="Z114" s="1"/>
    </row>
    <row r="115" spans="1:26" ht="19.5" customHeight="1">
      <c r="A115" s="3" t="s">
        <v>1033</v>
      </c>
      <c r="B115" s="22" t="s">
        <v>1034</v>
      </c>
      <c r="C115" s="18" t="s">
        <v>1035</v>
      </c>
      <c r="D115" s="58"/>
      <c r="E115" s="58"/>
      <c r="F115" s="75"/>
      <c r="G115" s="75"/>
      <c r="H115" s="58"/>
      <c r="I115" s="56">
        <f t="array" ref="I115">G115+F115</f>
        <v>0</v>
      </c>
      <c r="J115" s="58"/>
      <c r="K115" s="58"/>
      <c r="L115" s="58"/>
      <c r="M115" s="1"/>
      <c r="N115" s="1"/>
      <c r="O115" s="1"/>
      <c r="P115" s="1"/>
      <c r="Q115" s="1"/>
      <c r="R115" s="1"/>
      <c r="S115" s="1"/>
      <c r="T115" s="1"/>
      <c r="U115" s="1"/>
      <c r="V115" s="1"/>
      <c r="W115" s="1"/>
      <c r="X115" s="1"/>
      <c r="Y115" s="1"/>
      <c r="Z115" s="1"/>
    </row>
    <row r="116" spans="1:26" ht="19.5" customHeight="1">
      <c r="A116" s="3" t="s">
        <v>1036</v>
      </c>
      <c r="B116" s="22" t="s">
        <v>1037</v>
      </c>
      <c r="C116" s="18" t="s">
        <v>1038</v>
      </c>
      <c r="D116" s="58"/>
      <c r="E116" s="58"/>
      <c r="F116" s="75"/>
      <c r="G116" s="75"/>
      <c r="H116" s="58"/>
      <c r="I116" s="56">
        <f t="array" ref="I116">G116+F116</f>
        <v>0</v>
      </c>
      <c r="J116" s="58"/>
      <c r="K116" s="58"/>
      <c r="L116" s="58"/>
      <c r="M116" s="1"/>
      <c r="N116" s="1"/>
      <c r="O116" s="1"/>
      <c r="P116" s="1"/>
      <c r="Q116" s="1"/>
      <c r="R116" s="1"/>
      <c r="S116" s="1"/>
      <c r="T116" s="1"/>
      <c r="U116" s="1"/>
      <c r="V116" s="1"/>
      <c r="W116" s="1"/>
      <c r="X116" s="1"/>
      <c r="Y116" s="1"/>
      <c r="Z116" s="1"/>
    </row>
    <row r="117" spans="1:26" ht="19.5" customHeight="1">
      <c r="A117" s="3" t="s">
        <v>1039</v>
      </c>
      <c r="B117" s="22" t="s">
        <v>1040</v>
      </c>
      <c r="C117" s="18" t="s">
        <v>1041</v>
      </c>
      <c r="D117" s="58"/>
      <c r="E117" s="58"/>
      <c r="F117" s="75"/>
      <c r="G117" s="75"/>
      <c r="H117" s="58"/>
      <c r="I117" s="56">
        <f t="array" ref="I117">G117+F117</f>
        <v>0</v>
      </c>
      <c r="J117" s="58"/>
      <c r="K117" s="58"/>
      <c r="L117" s="58"/>
      <c r="M117" s="1"/>
      <c r="N117" s="1"/>
      <c r="O117" s="1"/>
      <c r="P117" s="1"/>
      <c r="Q117" s="1"/>
      <c r="R117" s="1"/>
      <c r="S117" s="1"/>
      <c r="T117" s="1"/>
      <c r="U117" s="1"/>
      <c r="V117" s="1"/>
      <c r="W117" s="1"/>
      <c r="X117" s="1"/>
      <c r="Y117" s="1"/>
      <c r="Z117" s="1"/>
    </row>
    <row r="118" spans="1:26" ht="19.5" customHeight="1">
      <c r="A118" s="3" t="s">
        <v>1042</v>
      </c>
      <c r="B118" s="22" t="s">
        <v>1043</v>
      </c>
      <c r="C118" s="18" t="s">
        <v>1044</v>
      </c>
      <c r="D118" s="58"/>
      <c r="E118" s="58"/>
      <c r="F118" s="75"/>
      <c r="G118" s="75"/>
      <c r="H118" s="58"/>
      <c r="I118" s="56">
        <f t="array" ref="I118">G118+F118</f>
        <v>0</v>
      </c>
      <c r="J118" s="58"/>
      <c r="K118" s="58"/>
      <c r="L118" s="58"/>
      <c r="M118" s="1"/>
      <c r="N118" s="1"/>
      <c r="O118" s="1"/>
      <c r="P118" s="1"/>
      <c r="Q118" s="1"/>
      <c r="R118" s="1"/>
      <c r="S118" s="1"/>
      <c r="T118" s="1"/>
      <c r="U118" s="1"/>
      <c r="V118" s="1"/>
      <c r="W118" s="1"/>
      <c r="X118" s="1"/>
      <c r="Y118" s="1"/>
      <c r="Z118" s="1"/>
    </row>
    <row r="119" spans="1:26" ht="19.5" customHeight="1">
      <c r="A119" s="3" t="s">
        <v>1045</v>
      </c>
      <c r="B119" s="22" t="s">
        <v>1046</v>
      </c>
      <c r="C119" s="18" t="s">
        <v>1047</v>
      </c>
      <c r="D119" s="58"/>
      <c r="E119" s="58"/>
      <c r="F119" s="75"/>
      <c r="G119" s="75"/>
      <c r="H119" s="58"/>
      <c r="I119" s="56">
        <f t="array" ref="I119">G119+F119</f>
        <v>0</v>
      </c>
      <c r="J119" s="58"/>
      <c r="K119" s="58"/>
      <c r="L119" s="58"/>
      <c r="M119" s="1"/>
      <c r="N119" s="1"/>
      <c r="O119" s="1"/>
      <c r="P119" s="1"/>
      <c r="Q119" s="1"/>
      <c r="R119" s="1"/>
      <c r="S119" s="1"/>
      <c r="T119" s="1"/>
      <c r="U119" s="1"/>
      <c r="V119" s="1"/>
      <c r="W119" s="1"/>
      <c r="X119" s="1"/>
      <c r="Y119" s="1"/>
      <c r="Z119" s="1"/>
    </row>
    <row r="120" spans="1:26" ht="19.5" customHeight="1">
      <c r="A120" s="3" t="s">
        <v>1048</v>
      </c>
      <c r="B120" s="22" t="s">
        <v>1049</v>
      </c>
      <c r="C120" s="18" t="s">
        <v>1050</v>
      </c>
      <c r="D120" s="58"/>
      <c r="E120" s="58"/>
      <c r="F120" s="75"/>
      <c r="G120" s="75"/>
      <c r="H120" s="58"/>
      <c r="I120" s="56">
        <f t="array" ref="I120">G120+F120</f>
        <v>0</v>
      </c>
      <c r="J120" s="58"/>
      <c r="K120" s="58"/>
      <c r="L120" s="58"/>
      <c r="M120" s="1"/>
      <c r="N120" s="1"/>
      <c r="O120" s="1"/>
      <c r="P120" s="1"/>
      <c r="Q120" s="1"/>
      <c r="R120" s="1"/>
      <c r="S120" s="1"/>
      <c r="T120" s="1"/>
      <c r="U120" s="1"/>
      <c r="V120" s="1"/>
      <c r="W120" s="1"/>
      <c r="X120" s="1"/>
      <c r="Y120" s="1"/>
      <c r="Z120" s="1"/>
    </row>
    <row r="121" spans="1:26" ht="19.5" customHeight="1">
      <c r="A121" s="3" t="s">
        <v>1051</v>
      </c>
      <c r="B121" s="22" t="s">
        <v>1052</v>
      </c>
      <c r="C121" s="18" t="s">
        <v>1053</v>
      </c>
      <c r="D121" s="58"/>
      <c r="E121" s="58"/>
      <c r="F121" s="75"/>
      <c r="G121" s="75"/>
      <c r="H121" s="58"/>
      <c r="I121" s="56">
        <f t="array" ref="I121">G121+F121</f>
        <v>0</v>
      </c>
      <c r="J121" s="58"/>
      <c r="K121" s="58"/>
      <c r="L121" s="58"/>
      <c r="M121" s="1"/>
      <c r="N121" s="1"/>
      <c r="O121" s="1"/>
      <c r="P121" s="1"/>
      <c r="Q121" s="1"/>
      <c r="R121" s="1"/>
      <c r="S121" s="1"/>
      <c r="T121" s="1"/>
      <c r="U121" s="1"/>
      <c r="V121" s="1"/>
      <c r="W121" s="1"/>
      <c r="X121" s="1"/>
      <c r="Y121" s="1"/>
      <c r="Z121" s="1"/>
    </row>
    <row r="122" spans="1:26" ht="19.5" customHeight="1">
      <c r="A122" s="3" t="s">
        <v>1054</v>
      </c>
      <c r="B122" s="22" t="s">
        <v>1055</v>
      </c>
      <c r="C122" s="18" t="s">
        <v>1056</v>
      </c>
      <c r="D122" s="58"/>
      <c r="E122" s="58"/>
      <c r="F122" s="75"/>
      <c r="G122" s="75"/>
      <c r="H122" s="58"/>
      <c r="I122" s="56">
        <f t="array" ref="I122">G122+F122</f>
        <v>0</v>
      </c>
      <c r="J122" s="58"/>
      <c r="K122" s="58"/>
      <c r="L122" s="58"/>
      <c r="M122" s="1"/>
      <c r="N122" s="1"/>
      <c r="O122" s="1"/>
      <c r="P122" s="1"/>
      <c r="Q122" s="1"/>
      <c r="R122" s="1"/>
      <c r="S122" s="1"/>
      <c r="T122" s="1"/>
      <c r="U122" s="1"/>
      <c r="V122" s="1"/>
      <c r="W122" s="1"/>
      <c r="X122" s="1"/>
      <c r="Y122" s="1"/>
      <c r="Z122" s="1"/>
    </row>
    <row r="123" spans="1:26" ht="19.5" customHeight="1">
      <c r="A123" s="3" t="s">
        <v>1057</v>
      </c>
      <c r="B123" s="126" t="s">
        <v>1017</v>
      </c>
      <c r="C123" s="53"/>
      <c r="D123" s="58"/>
      <c r="E123" s="58"/>
      <c r="F123" s="56">
        <f t="array" ref="F123">SUM(F110:F122)</f>
        <v>0</v>
      </c>
      <c r="G123" s="56">
        <f t="array" ref="G123">SUM(G110:G122)</f>
        <v>0</v>
      </c>
      <c r="H123" s="58"/>
      <c r="I123" s="56">
        <f t="array" ref="I123">SUM(I110:I122)</f>
        <v>0</v>
      </c>
      <c r="J123" s="58"/>
      <c r="K123" s="58"/>
      <c r="L123" s="58"/>
      <c r="M123" s="1"/>
      <c r="N123" s="1"/>
      <c r="O123" s="1"/>
      <c r="P123" s="1"/>
      <c r="Q123" s="1"/>
      <c r="R123" s="1"/>
      <c r="S123" s="1"/>
      <c r="T123" s="1"/>
      <c r="U123" s="1"/>
      <c r="V123" s="1"/>
      <c r="W123" s="1"/>
      <c r="X123" s="1"/>
      <c r="Y123" s="1"/>
      <c r="Z123" s="1"/>
    </row>
    <row r="124" spans="1:26" ht="19.5" customHeight="1">
      <c r="A124" s="2"/>
      <c r="B124" s="17"/>
      <c r="C124" s="13"/>
      <c r="D124" s="58"/>
      <c r="E124" s="58"/>
      <c r="F124" s="58"/>
      <c r="G124" s="58"/>
      <c r="H124" s="58"/>
      <c r="I124" s="58"/>
      <c r="J124" s="58"/>
      <c r="K124" s="58"/>
      <c r="L124" s="58"/>
      <c r="M124" s="1"/>
      <c r="N124" s="1"/>
      <c r="O124" s="1"/>
      <c r="P124" s="1"/>
      <c r="Q124" s="1"/>
      <c r="R124" s="1"/>
      <c r="S124" s="1"/>
      <c r="T124" s="1"/>
      <c r="U124" s="1"/>
      <c r="V124" s="1"/>
      <c r="W124" s="1"/>
      <c r="X124" s="1"/>
      <c r="Y124" s="1"/>
      <c r="Z124" s="1"/>
    </row>
    <row r="125" spans="1:26" ht="19.5" customHeight="1">
      <c r="A125" s="2"/>
      <c r="B125" s="22" t="s">
        <v>1058</v>
      </c>
      <c r="C125" s="13"/>
      <c r="D125" s="58"/>
      <c r="E125" s="58"/>
      <c r="F125" s="58"/>
      <c r="G125" s="58"/>
      <c r="H125" s="58"/>
      <c r="I125" s="58"/>
      <c r="J125" s="58"/>
      <c r="K125" s="58"/>
      <c r="L125" s="58"/>
      <c r="M125" s="1"/>
      <c r="N125" s="1"/>
      <c r="O125" s="1"/>
      <c r="P125" s="1"/>
      <c r="Q125" s="1"/>
      <c r="R125" s="1"/>
      <c r="S125" s="1"/>
      <c r="T125" s="1"/>
      <c r="U125" s="1"/>
      <c r="V125" s="1"/>
      <c r="W125" s="1"/>
      <c r="X125" s="1"/>
      <c r="Y125" s="1"/>
      <c r="Z125" s="1"/>
    </row>
    <row r="126" spans="1:26" ht="19.5" customHeight="1">
      <c r="A126" s="3" t="s">
        <v>1059</v>
      </c>
      <c r="B126" s="22" t="s">
        <v>1060</v>
      </c>
      <c r="C126" s="18" t="s">
        <v>1061</v>
      </c>
      <c r="D126" s="58"/>
      <c r="E126" s="58"/>
      <c r="F126" s="75"/>
      <c r="G126" s="75"/>
      <c r="H126" s="58"/>
      <c r="I126" s="56">
        <f t="array" ref="I126">G126+F126</f>
        <v>0</v>
      </c>
      <c r="J126" s="58"/>
      <c r="K126" s="58"/>
      <c r="L126" s="58"/>
      <c r="M126" s="1"/>
      <c r="N126" s="1"/>
      <c r="O126" s="1"/>
      <c r="P126" s="1"/>
      <c r="Q126" s="1"/>
      <c r="R126" s="1"/>
      <c r="S126" s="1"/>
      <c r="T126" s="1"/>
      <c r="U126" s="1"/>
      <c r="V126" s="1"/>
      <c r="W126" s="1"/>
      <c r="X126" s="1"/>
      <c r="Y126" s="1"/>
      <c r="Z126" s="1"/>
    </row>
    <row r="127" spans="1:26" ht="19.5" customHeight="1">
      <c r="A127" s="3" t="s">
        <v>1062</v>
      </c>
      <c r="B127" s="22" t="s">
        <v>1063</v>
      </c>
      <c r="C127" s="18" t="s">
        <v>1064</v>
      </c>
      <c r="D127" s="58"/>
      <c r="E127" s="58"/>
      <c r="F127" s="75"/>
      <c r="G127" s="75"/>
      <c r="H127" s="58"/>
      <c r="I127" s="56">
        <f t="array" ref="I127">G127+F127</f>
        <v>0</v>
      </c>
      <c r="J127" s="58"/>
      <c r="K127" s="58"/>
      <c r="L127" s="58"/>
      <c r="M127" s="1"/>
      <c r="N127" s="1"/>
      <c r="O127" s="1"/>
      <c r="P127" s="1"/>
      <c r="Q127" s="1"/>
      <c r="R127" s="1"/>
      <c r="S127" s="1"/>
      <c r="T127" s="1"/>
      <c r="U127" s="1"/>
      <c r="V127" s="1"/>
      <c r="W127" s="1"/>
      <c r="X127" s="1"/>
      <c r="Y127" s="1"/>
      <c r="Z127" s="1"/>
    </row>
    <row r="128" spans="1:26" ht="19.5" customHeight="1">
      <c r="A128" s="3" t="s">
        <v>1065</v>
      </c>
      <c r="B128" s="22" t="s">
        <v>1066</v>
      </c>
      <c r="C128" s="18" t="s">
        <v>1067</v>
      </c>
      <c r="D128" s="58"/>
      <c r="E128" s="58"/>
      <c r="F128" s="75"/>
      <c r="G128" s="75"/>
      <c r="H128" s="58"/>
      <c r="I128" s="56">
        <f t="array" ref="I128">G128+F128</f>
        <v>0</v>
      </c>
      <c r="J128" s="58"/>
      <c r="K128" s="58"/>
      <c r="L128" s="58"/>
      <c r="M128" s="1"/>
      <c r="N128" s="1"/>
      <c r="O128" s="1"/>
      <c r="P128" s="1"/>
      <c r="Q128" s="1"/>
      <c r="R128" s="1"/>
      <c r="S128" s="1"/>
      <c r="T128" s="1"/>
      <c r="U128" s="1"/>
      <c r="V128" s="1"/>
      <c r="W128" s="1"/>
      <c r="X128" s="1"/>
      <c r="Y128" s="1"/>
      <c r="Z128" s="1"/>
    </row>
    <row r="129" spans="1:26" ht="19.5" customHeight="1">
      <c r="A129" s="3" t="s">
        <v>1068</v>
      </c>
      <c r="B129" s="22" t="s">
        <v>1069</v>
      </c>
      <c r="C129" s="18" t="s">
        <v>1070</v>
      </c>
      <c r="D129" s="58"/>
      <c r="E129" s="58"/>
      <c r="F129" s="75"/>
      <c r="G129" s="75"/>
      <c r="H129" s="58"/>
      <c r="I129" s="56">
        <f t="array" ref="I129">G129+F129</f>
        <v>0</v>
      </c>
      <c r="J129" s="58"/>
      <c r="K129" s="58"/>
      <c r="L129" s="58"/>
      <c r="M129" s="1"/>
      <c r="N129" s="1"/>
      <c r="O129" s="1"/>
      <c r="P129" s="1"/>
      <c r="Q129" s="1"/>
      <c r="R129" s="1"/>
      <c r="S129" s="1"/>
      <c r="T129" s="1"/>
      <c r="U129" s="1"/>
      <c r="V129" s="1"/>
      <c r="W129" s="1"/>
      <c r="X129" s="1"/>
      <c r="Y129" s="1"/>
      <c r="Z129" s="1"/>
    </row>
    <row r="130" spans="1:26" ht="19.5" customHeight="1">
      <c r="A130" s="3" t="s">
        <v>1071</v>
      </c>
      <c r="B130" s="22" t="s">
        <v>1072</v>
      </c>
      <c r="C130" s="18" t="s">
        <v>1073</v>
      </c>
      <c r="D130" s="58"/>
      <c r="E130" s="58"/>
      <c r="F130" s="75"/>
      <c r="G130" s="75"/>
      <c r="H130" s="58"/>
      <c r="I130" s="56">
        <f t="array" ref="I130">G130+F130</f>
        <v>0</v>
      </c>
      <c r="J130" s="58"/>
      <c r="K130" s="58"/>
      <c r="L130" s="58"/>
      <c r="M130" s="1"/>
      <c r="N130" s="1"/>
      <c r="O130" s="1"/>
      <c r="P130" s="1"/>
      <c r="Q130" s="1"/>
      <c r="R130" s="1"/>
      <c r="S130" s="1"/>
      <c r="T130" s="1"/>
      <c r="U130" s="1"/>
      <c r="V130" s="1"/>
      <c r="W130" s="1"/>
      <c r="X130" s="1"/>
      <c r="Y130" s="1"/>
      <c r="Z130" s="1"/>
    </row>
    <row r="131" spans="1:26" ht="19.5" customHeight="1">
      <c r="A131" s="3" t="s">
        <v>1074</v>
      </c>
      <c r="B131" s="22" t="s">
        <v>1075</v>
      </c>
      <c r="C131" s="18" t="s">
        <v>1076</v>
      </c>
      <c r="D131" s="58"/>
      <c r="E131" s="58"/>
      <c r="F131" s="75"/>
      <c r="G131" s="75"/>
      <c r="H131" s="58"/>
      <c r="I131" s="56">
        <f t="array" ref="I131">G131+F131</f>
        <v>0</v>
      </c>
      <c r="J131" s="58"/>
      <c r="K131" s="58"/>
      <c r="L131" s="58"/>
      <c r="M131" s="1"/>
      <c r="N131" s="1"/>
      <c r="O131" s="1"/>
      <c r="P131" s="1"/>
      <c r="Q131" s="1"/>
      <c r="R131" s="1"/>
      <c r="S131" s="1"/>
      <c r="T131" s="1"/>
      <c r="U131" s="1"/>
      <c r="V131" s="1"/>
      <c r="W131" s="1"/>
      <c r="X131" s="1"/>
      <c r="Y131" s="1"/>
      <c r="Z131" s="1"/>
    </row>
    <row r="132" spans="1:26" ht="19.5" customHeight="1">
      <c r="A132" s="3" t="s">
        <v>1077</v>
      </c>
      <c r="B132" s="22" t="s">
        <v>1078</v>
      </c>
      <c r="C132" s="18" t="s">
        <v>1079</v>
      </c>
      <c r="D132" s="58"/>
      <c r="E132" s="58"/>
      <c r="F132" s="75"/>
      <c r="G132" s="75"/>
      <c r="H132" s="58"/>
      <c r="I132" s="56">
        <f t="array" ref="I132">G132+F132</f>
        <v>0</v>
      </c>
      <c r="J132" s="58"/>
      <c r="K132" s="58"/>
      <c r="L132" s="58"/>
      <c r="M132" s="1"/>
      <c r="N132" s="1"/>
      <c r="O132" s="1"/>
      <c r="P132" s="1"/>
      <c r="Q132" s="1"/>
      <c r="R132" s="1"/>
      <c r="S132" s="1"/>
      <c r="T132" s="1"/>
      <c r="U132" s="1"/>
      <c r="V132" s="1"/>
      <c r="W132" s="1"/>
      <c r="X132" s="1"/>
      <c r="Y132" s="1"/>
      <c r="Z132" s="1"/>
    </row>
    <row r="133" spans="1:26" ht="19.5" customHeight="1">
      <c r="A133" s="3" t="s">
        <v>1080</v>
      </c>
      <c r="B133" s="22" t="s">
        <v>1081</v>
      </c>
      <c r="C133" s="18" t="s">
        <v>1082</v>
      </c>
      <c r="D133" s="58"/>
      <c r="E133" s="58"/>
      <c r="F133" s="75"/>
      <c r="G133" s="75"/>
      <c r="H133" s="58"/>
      <c r="I133" s="56">
        <f t="array" ref="I133">G133+F133</f>
        <v>0</v>
      </c>
      <c r="J133" s="58"/>
      <c r="K133" s="58"/>
      <c r="L133" s="58"/>
      <c r="M133" s="1"/>
      <c r="N133" s="1"/>
      <c r="O133" s="1"/>
      <c r="P133" s="1"/>
      <c r="Q133" s="1"/>
      <c r="R133" s="1"/>
      <c r="S133" s="1"/>
      <c r="T133" s="1"/>
      <c r="U133" s="1"/>
      <c r="V133" s="1"/>
      <c r="W133" s="1"/>
      <c r="X133" s="1"/>
      <c r="Y133" s="1"/>
      <c r="Z133" s="1"/>
    </row>
    <row r="134" spans="1:26" ht="19.5" customHeight="1">
      <c r="A134" s="3" t="s">
        <v>1083</v>
      </c>
      <c r="B134" s="22" t="s">
        <v>1084</v>
      </c>
      <c r="C134" s="18" t="s">
        <v>1085</v>
      </c>
      <c r="D134" s="58"/>
      <c r="E134" s="58"/>
      <c r="F134" s="75"/>
      <c r="G134" s="75"/>
      <c r="H134" s="58"/>
      <c r="I134" s="56">
        <f t="array" ref="I134">G134+F134</f>
        <v>0</v>
      </c>
      <c r="J134" s="58"/>
      <c r="K134" s="58"/>
      <c r="L134" s="58"/>
      <c r="M134" s="1"/>
      <c r="N134" s="1"/>
      <c r="O134" s="1"/>
      <c r="P134" s="1"/>
      <c r="Q134" s="1"/>
      <c r="R134" s="1"/>
      <c r="S134" s="1"/>
      <c r="T134" s="1"/>
      <c r="U134" s="1"/>
      <c r="V134" s="1"/>
      <c r="W134" s="1"/>
      <c r="X134" s="1"/>
      <c r="Y134" s="1"/>
      <c r="Z134" s="1"/>
    </row>
    <row r="135" spans="1:26" ht="19.5" customHeight="1">
      <c r="A135" s="3" t="s">
        <v>1086</v>
      </c>
      <c r="B135" s="22" t="s">
        <v>1087</v>
      </c>
      <c r="C135" s="18" t="s">
        <v>1088</v>
      </c>
      <c r="D135" s="58"/>
      <c r="E135" s="58"/>
      <c r="F135" s="75"/>
      <c r="G135" s="75"/>
      <c r="H135" s="58"/>
      <c r="I135" s="56">
        <f t="array" ref="I135">G135+F135</f>
        <v>0</v>
      </c>
      <c r="J135" s="58"/>
      <c r="K135" s="58"/>
      <c r="L135" s="58"/>
      <c r="M135" s="1"/>
      <c r="N135" s="1"/>
      <c r="O135" s="1"/>
      <c r="P135" s="1"/>
      <c r="Q135" s="1"/>
      <c r="R135" s="1"/>
      <c r="S135" s="1"/>
      <c r="T135" s="1"/>
      <c r="U135" s="1"/>
      <c r="V135" s="1"/>
      <c r="W135" s="1"/>
      <c r="X135" s="1"/>
      <c r="Y135" s="1"/>
      <c r="Z135" s="1"/>
    </row>
    <row r="136" spans="1:26" ht="19.5" customHeight="1">
      <c r="A136" s="3" t="s">
        <v>1089</v>
      </c>
      <c r="B136" s="22" t="s">
        <v>1090</v>
      </c>
      <c r="C136" s="18" t="s">
        <v>1091</v>
      </c>
      <c r="D136" s="58"/>
      <c r="E136" s="58"/>
      <c r="F136" s="75"/>
      <c r="G136" s="75"/>
      <c r="H136" s="58"/>
      <c r="I136" s="56">
        <f t="array" ref="I136">G136+F136</f>
        <v>0</v>
      </c>
      <c r="J136" s="58"/>
      <c r="K136" s="58"/>
      <c r="L136" s="58"/>
      <c r="M136" s="1"/>
      <c r="N136" s="1"/>
      <c r="O136" s="1"/>
      <c r="P136" s="1"/>
      <c r="Q136" s="1"/>
      <c r="R136" s="1"/>
      <c r="S136" s="1"/>
      <c r="T136" s="1"/>
      <c r="U136" s="1"/>
      <c r="V136" s="1"/>
      <c r="W136" s="1"/>
      <c r="X136" s="1"/>
      <c r="Y136" s="1"/>
      <c r="Z136" s="1"/>
    </row>
    <row r="137" spans="1:26" ht="19.5" customHeight="1">
      <c r="A137" s="3" t="s">
        <v>1092</v>
      </c>
      <c r="B137" s="22" t="s">
        <v>1093</v>
      </c>
      <c r="C137" s="18" t="s">
        <v>1094</v>
      </c>
      <c r="D137" s="58"/>
      <c r="E137" s="58"/>
      <c r="F137" s="75"/>
      <c r="G137" s="75"/>
      <c r="H137" s="58"/>
      <c r="I137" s="56">
        <f t="array" ref="I137">G137+F137</f>
        <v>0</v>
      </c>
      <c r="J137" s="58"/>
      <c r="K137" s="58"/>
      <c r="L137" s="58"/>
      <c r="M137" s="1"/>
      <c r="N137" s="1"/>
      <c r="O137" s="1"/>
      <c r="P137" s="1"/>
      <c r="Q137" s="1"/>
      <c r="R137" s="1"/>
      <c r="S137" s="1"/>
      <c r="T137" s="1"/>
      <c r="U137" s="1"/>
      <c r="V137" s="1"/>
      <c r="W137" s="1"/>
      <c r="X137" s="1"/>
      <c r="Y137" s="1"/>
      <c r="Z137" s="1"/>
    </row>
    <row r="138" spans="1:26" ht="19.5" customHeight="1">
      <c r="A138" s="3" t="s">
        <v>1095</v>
      </c>
      <c r="B138" s="22" t="s">
        <v>1096</v>
      </c>
      <c r="C138" s="18" t="s">
        <v>1097</v>
      </c>
      <c r="D138" s="58"/>
      <c r="E138" s="58"/>
      <c r="F138" s="75"/>
      <c r="G138" s="75"/>
      <c r="H138" s="58"/>
      <c r="I138" s="56">
        <f t="array" ref="I138">G138+F138</f>
        <v>0</v>
      </c>
      <c r="J138" s="58"/>
      <c r="K138" s="58"/>
      <c r="L138" s="58"/>
      <c r="M138" s="1"/>
      <c r="N138" s="1"/>
      <c r="O138" s="1"/>
      <c r="P138" s="1"/>
      <c r="Q138" s="1"/>
      <c r="R138" s="1"/>
      <c r="S138" s="1"/>
      <c r="T138" s="1"/>
      <c r="U138" s="1"/>
      <c r="V138" s="1"/>
      <c r="W138" s="1"/>
      <c r="X138" s="1"/>
      <c r="Y138" s="1"/>
      <c r="Z138" s="1"/>
    </row>
    <row r="139" spans="1:26" ht="19.5" customHeight="1">
      <c r="A139" s="3" t="s">
        <v>1098</v>
      </c>
      <c r="B139" s="22" t="s">
        <v>1099</v>
      </c>
      <c r="C139" s="18" t="s">
        <v>1100</v>
      </c>
      <c r="D139" s="58"/>
      <c r="E139" s="58"/>
      <c r="F139" s="75"/>
      <c r="G139" s="75"/>
      <c r="H139" s="58"/>
      <c r="I139" s="56">
        <f t="array" ref="I139">G139+F139</f>
        <v>0</v>
      </c>
      <c r="J139" s="58"/>
      <c r="K139" s="58"/>
      <c r="L139" s="58"/>
      <c r="M139" s="1"/>
      <c r="N139" s="1"/>
      <c r="O139" s="1"/>
      <c r="P139" s="1"/>
      <c r="Q139" s="1"/>
      <c r="R139" s="1"/>
      <c r="S139" s="1"/>
      <c r="T139" s="1"/>
      <c r="U139" s="1"/>
      <c r="V139" s="1"/>
      <c r="W139" s="1"/>
      <c r="X139" s="1"/>
      <c r="Y139" s="1"/>
      <c r="Z139" s="1"/>
    </row>
    <row r="140" spans="1:26" ht="19.5" customHeight="1">
      <c r="A140" s="3" t="s">
        <v>1101</v>
      </c>
      <c r="B140" s="22" t="s">
        <v>1102</v>
      </c>
      <c r="C140" s="18" t="s">
        <v>1103</v>
      </c>
      <c r="D140" s="58"/>
      <c r="E140" s="58"/>
      <c r="F140" s="75"/>
      <c r="G140" s="75"/>
      <c r="H140" s="58"/>
      <c r="I140" s="56">
        <f t="array" ref="I140">G140+F140</f>
        <v>0</v>
      </c>
      <c r="J140" s="58"/>
      <c r="K140" s="58"/>
      <c r="L140" s="58"/>
      <c r="M140" s="1"/>
      <c r="N140" s="1"/>
      <c r="O140" s="1"/>
      <c r="P140" s="1"/>
      <c r="Q140" s="1"/>
      <c r="R140" s="1"/>
      <c r="S140" s="1"/>
      <c r="T140" s="1"/>
      <c r="U140" s="1"/>
      <c r="V140" s="1"/>
      <c r="W140" s="1"/>
      <c r="X140" s="1"/>
      <c r="Y140" s="1"/>
      <c r="Z140" s="1"/>
    </row>
    <row r="141" spans="1:26" ht="19.5" customHeight="1">
      <c r="A141" s="3" t="s">
        <v>1104</v>
      </c>
      <c r="B141" s="22" t="s">
        <v>1105</v>
      </c>
      <c r="C141" s="18" t="s">
        <v>1106</v>
      </c>
      <c r="D141" s="58"/>
      <c r="E141" s="58"/>
      <c r="F141" s="75"/>
      <c r="G141" s="75"/>
      <c r="H141" s="58"/>
      <c r="I141" s="56">
        <f t="array" ref="I141">G141+F141</f>
        <v>0</v>
      </c>
      <c r="J141" s="58"/>
      <c r="K141" s="58"/>
      <c r="L141" s="58"/>
      <c r="M141" s="1"/>
      <c r="N141" s="1"/>
      <c r="O141" s="1"/>
      <c r="P141" s="1"/>
      <c r="Q141" s="1"/>
      <c r="R141" s="1"/>
      <c r="S141" s="1"/>
      <c r="T141" s="1"/>
      <c r="U141" s="1"/>
      <c r="V141" s="1"/>
      <c r="W141" s="1"/>
      <c r="X141" s="1"/>
      <c r="Y141" s="1"/>
      <c r="Z141" s="1"/>
    </row>
    <row r="142" spans="1:26" ht="19.5" customHeight="1">
      <c r="A142" s="3" t="s">
        <v>1107</v>
      </c>
      <c r="B142" s="22" t="s">
        <v>1108</v>
      </c>
      <c r="C142" s="18" t="s">
        <v>1109</v>
      </c>
      <c r="D142" s="58"/>
      <c r="E142" s="58"/>
      <c r="F142" s="75"/>
      <c r="G142" s="75"/>
      <c r="H142" s="58"/>
      <c r="I142" s="56">
        <f t="array" ref="I142">G142+F142</f>
        <v>0</v>
      </c>
      <c r="J142" s="58"/>
      <c r="K142" s="58"/>
      <c r="L142" s="58"/>
      <c r="M142" s="1"/>
      <c r="N142" s="1"/>
      <c r="O142" s="1"/>
      <c r="P142" s="1"/>
      <c r="Q142" s="1"/>
      <c r="R142" s="1"/>
      <c r="S142" s="1"/>
      <c r="T142" s="1"/>
      <c r="U142" s="1"/>
      <c r="V142" s="1"/>
      <c r="W142" s="1"/>
      <c r="X142" s="1"/>
      <c r="Y142" s="1"/>
      <c r="Z142" s="1"/>
    </row>
    <row r="143" spans="1:26" ht="19.5" customHeight="1">
      <c r="A143" s="3" t="s">
        <v>1110</v>
      </c>
      <c r="B143" s="22" t="s">
        <v>1111</v>
      </c>
      <c r="C143" s="18" t="s">
        <v>1112</v>
      </c>
      <c r="D143" s="58"/>
      <c r="E143" s="58"/>
      <c r="F143" s="75"/>
      <c r="G143" s="75"/>
      <c r="H143" s="58"/>
      <c r="I143" s="56">
        <f t="array" ref="I143">G143+F143</f>
        <v>0</v>
      </c>
      <c r="J143" s="58"/>
      <c r="K143" s="58"/>
      <c r="L143" s="58"/>
      <c r="M143" s="1"/>
      <c r="N143" s="1"/>
      <c r="O143" s="1"/>
      <c r="P143" s="1"/>
      <c r="Q143" s="1"/>
      <c r="R143" s="1"/>
      <c r="S143" s="1"/>
      <c r="T143" s="1"/>
      <c r="U143" s="1"/>
      <c r="V143" s="1"/>
      <c r="W143" s="1"/>
      <c r="X143" s="1"/>
      <c r="Y143" s="1"/>
      <c r="Z143" s="1"/>
    </row>
    <row r="144" spans="1:26" ht="19.5" customHeight="1">
      <c r="A144" s="3" t="s">
        <v>1113</v>
      </c>
      <c r="B144" s="22" t="s">
        <v>1114</v>
      </c>
      <c r="C144" s="18" t="s">
        <v>1115</v>
      </c>
      <c r="D144" s="58"/>
      <c r="E144" s="58"/>
      <c r="F144" s="75"/>
      <c r="G144" s="75"/>
      <c r="H144" s="58"/>
      <c r="I144" s="56">
        <f t="array" ref="I144">G144+F144</f>
        <v>0</v>
      </c>
      <c r="J144" s="58"/>
      <c r="K144" s="58"/>
      <c r="L144" s="58"/>
      <c r="M144" s="1"/>
      <c r="N144" s="1"/>
      <c r="O144" s="1"/>
      <c r="P144" s="1"/>
      <c r="Q144" s="1"/>
      <c r="R144" s="1"/>
      <c r="S144" s="1"/>
      <c r="T144" s="1"/>
      <c r="U144" s="1"/>
      <c r="V144" s="1"/>
      <c r="W144" s="1"/>
      <c r="X144" s="1"/>
      <c r="Y144" s="1"/>
      <c r="Z144" s="1"/>
    </row>
    <row r="145" spans="1:26" ht="19.5" customHeight="1">
      <c r="A145" s="3" t="s">
        <v>1116</v>
      </c>
      <c r="B145" s="22" t="s">
        <v>1117</v>
      </c>
      <c r="C145" s="18" t="s">
        <v>1118</v>
      </c>
      <c r="D145" s="58"/>
      <c r="E145" s="58"/>
      <c r="F145" s="75"/>
      <c r="G145" s="75"/>
      <c r="H145" s="58"/>
      <c r="I145" s="56">
        <f t="array" ref="I145">G145+F145</f>
        <v>0</v>
      </c>
      <c r="J145" s="58"/>
      <c r="K145" s="58"/>
      <c r="L145" s="58"/>
      <c r="M145" s="1"/>
      <c r="N145" s="1"/>
      <c r="O145" s="1"/>
      <c r="P145" s="1"/>
      <c r="Q145" s="1"/>
      <c r="R145" s="1"/>
      <c r="S145" s="1"/>
      <c r="T145" s="1"/>
      <c r="U145" s="1"/>
      <c r="V145" s="1"/>
      <c r="W145" s="1"/>
      <c r="X145" s="1"/>
      <c r="Y145" s="1"/>
      <c r="Z145" s="1"/>
    </row>
    <row r="146" spans="1:26" ht="19.5" customHeight="1">
      <c r="A146" s="3" t="s">
        <v>1119</v>
      </c>
      <c r="B146" s="22" t="s">
        <v>1120</v>
      </c>
      <c r="C146" s="18" t="s">
        <v>1121</v>
      </c>
      <c r="D146" s="58"/>
      <c r="E146" s="58"/>
      <c r="F146" s="75"/>
      <c r="G146" s="75"/>
      <c r="H146" s="58"/>
      <c r="I146" s="56">
        <f t="array" ref="I146">G146+F146</f>
        <v>0</v>
      </c>
      <c r="J146" s="58"/>
      <c r="K146" s="58"/>
      <c r="L146" s="58"/>
      <c r="M146" s="1"/>
      <c r="N146" s="1"/>
      <c r="O146" s="1"/>
      <c r="P146" s="1"/>
      <c r="Q146" s="1"/>
      <c r="R146" s="1"/>
      <c r="S146" s="1"/>
      <c r="T146" s="1"/>
      <c r="U146" s="1"/>
      <c r="V146" s="1"/>
      <c r="W146" s="1"/>
      <c r="X146" s="1"/>
      <c r="Y146" s="1"/>
      <c r="Z146" s="1"/>
    </row>
    <row r="147" spans="1:26" ht="19.5" customHeight="1">
      <c r="A147" s="3" t="s">
        <v>1122</v>
      </c>
      <c r="B147" s="22" t="s">
        <v>1123</v>
      </c>
      <c r="C147" s="18" t="s">
        <v>1124</v>
      </c>
      <c r="D147" s="58"/>
      <c r="E147" s="58"/>
      <c r="F147" s="75"/>
      <c r="G147" s="75"/>
      <c r="H147" s="58"/>
      <c r="I147" s="56">
        <f t="array" ref="I147">G147+F147</f>
        <v>0</v>
      </c>
      <c r="J147" s="58"/>
      <c r="K147" s="58"/>
      <c r="L147" s="58"/>
      <c r="M147" s="1"/>
      <c r="N147" s="1"/>
      <c r="O147" s="1"/>
      <c r="P147" s="1"/>
      <c r="Q147" s="1"/>
      <c r="R147" s="1"/>
      <c r="S147" s="1"/>
      <c r="T147" s="1"/>
      <c r="U147" s="1"/>
      <c r="V147" s="1"/>
      <c r="W147" s="1"/>
      <c r="X147" s="1"/>
      <c r="Y147" s="1"/>
      <c r="Z147" s="1"/>
    </row>
    <row r="148" spans="1:26" ht="19.5" customHeight="1">
      <c r="A148" s="3" t="s">
        <v>1125</v>
      </c>
      <c r="B148" s="22" t="s">
        <v>1126</v>
      </c>
      <c r="C148" s="18" t="s">
        <v>1127</v>
      </c>
      <c r="D148" s="58"/>
      <c r="E148" s="58"/>
      <c r="F148" s="75"/>
      <c r="G148" s="75"/>
      <c r="H148" s="58"/>
      <c r="I148" s="56">
        <f t="array" ref="I148">G148+F148</f>
        <v>0</v>
      </c>
      <c r="J148" s="58"/>
      <c r="K148" s="58"/>
      <c r="L148" s="58"/>
      <c r="M148" s="1"/>
      <c r="N148" s="1"/>
      <c r="O148" s="1"/>
      <c r="P148" s="1"/>
      <c r="Q148" s="1"/>
      <c r="R148" s="1"/>
      <c r="S148" s="1"/>
      <c r="T148" s="1"/>
      <c r="U148" s="1"/>
      <c r="V148" s="1"/>
      <c r="W148" s="1"/>
      <c r="X148" s="1"/>
      <c r="Y148" s="1"/>
      <c r="Z148" s="1"/>
    </row>
    <row r="149" spans="1:26" ht="19.5" customHeight="1">
      <c r="A149" s="3" t="s">
        <v>1128</v>
      </c>
      <c r="B149" s="22" t="s">
        <v>1129</v>
      </c>
      <c r="C149" s="18" t="s">
        <v>1130</v>
      </c>
      <c r="D149" s="58"/>
      <c r="E149" s="58"/>
      <c r="F149" s="75"/>
      <c r="G149" s="75"/>
      <c r="H149" s="58"/>
      <c r="I149" s="56">
        <f t="array" ref="I149">G149+F149</f>
        <v>0</v>
      </c>
      <c r="J149" s="58"/>
      <c r="K149" s="58"/>
      <c r="L149" s="58"/>
      <c r="M149" s="1"/>
      <c r="N149" s="1"/>
      <c r="O149" s="1"/>
      <c r="P149" s="1"/>
      <c r="Q149" s="1"/>
      <c r="R149" s="1"/>
      <c r="S149" s="1"/>
      <c r="T149" s="1"/>
      <c r="U149" s="1"/>
      <c r="V149" s="1"/>
      <c r="W149" s="1"/>
      <c r="X149" s="1"/>
      <c r="Y149" s="1"/>
      <c r="Z149" s="1"/>
    </row>
    <row r="150" spans="1:26" ht="19.5" customHeight="1">
      <c r="A150" s="3" t="s">
        <v>1131</v>
      </c>
      <c r="B150" s="22" t="s">
        <v>1132</v>
      </c>
      <c r="C150" s="18" t="s">
        <v>1133</v>
      </c>
      <c r="D150" s="58"/>
      <c r="E150" s="58"/>
      <c r="F150" s="75"/>
      <c r="G150" s="75"/>
      <c r="H150" s="58"/>
      <c r="I150" s="56">
        <f t="array" ref="I150">G150+F150</f>
        <v>0</v>
      </c>
      <c r="J150" s="58"/>
      <c r="K150" s="58"/>
      <c r="L150" s="58"/>
      <c r="M150" s="1"/>
      <c r="N150" s="1"/>
      <c r="O150" s="1"/>
      <c r="P150" s="1"/>
      <c r="Q150" s="1"/>
      <c r="R150" s="1"/>
      <c r="S150" s="1"/>
      <c r="T150" s="1"/>
      <c r="U150" s="1"/>
      <c r="V150" s="1"/>
      <c r="W150" s="1"/>
      <c r="X150" s="1"/>
      <c r="Y150" s="1"/>
      <c r="Z150" s="1"/>
    </row>
    <row r="151" spans="1:26" ht="19.5" customHeight="1">
      <c r="A151" s="3" t="s">
        <v>1134</v>
      </c>
      <c r="B151" s="22" t="s">
        <v>1135</v>
      </c>
      <c r="C151" s="18" t="s">
        <v>1136</v>
      </c>
      <c r="D151" s="58"/>
      <c r="E151" s="58"/>
      <c r="F151" s="75"/>
      <c r="G151" s="75"/>
      <c r="H151" s="58"/>
      <c r="I151" s="56">
        <f t="array" ref="I151">G151+F151</f>
        <v>0</v>
      </c>
      <c r="J151" s="58"/>
      <c r="K151" s="58"/>
      <c r="L151" s="58"/>
      <c r="M151" s="1"/>
      <c r="N151" s="1"/>
      <c r="O151" s="1"/>
      <c r="P151" s="1"/>
      <c r="Q151" s="1"/>
      <c r="R151" s="1"/>
      <c r="S151" s="1"/>
      <c r="T151" s="1"/>
      <c r="U151" s="1"/>
      <c r="V151" s="1"/>
      <c r="W151" s="1"/>
      <c r="X151" s="1"/>
      <c r="Y151" s="1"/>
      <c r="Z151" s="1"/>
    </row>
    <row r="152" spans="1:26" ht="19.5" customHeight="1">
      <c r="A152" s="3" t="s">
        <v>1137</v>
      </c>
      <c r="B152" s="22" t="s">
        <v>1138</v>
      </c>
      <c r="C152" s="18" t="s">
        <v>1139</v>
      </c>
      <c r="D152" s="58"/>
      <c r="E152" s="58"/>
      <c r="F152" s="75"/>
      <c r="G152" s="75"/>
      <c r="H152" s="58"/>
      <c r="I152" s="56">
        <f t="array" ref="I152">G152+F152</f>
        <v>0</v>
      </c>
      <c r="J152" s="58"/>
      <c r="K152" s="58"/>
      <c r="L152" s="58"/>
      <c r="M152" s="1"/>
      <c r="N152" s="1"/>
      <c r="O152" s="1"/>
      <c r="P152" s="1"/>
      <c r="Q152" s="1"/>
      <c r="R152" s="1"/>
      <c r="S152" s="1"/>
      <c r="T152" s="1"/>
      <c r="U152" s="1"/>
      <c r="V152" s="1"/>
      <c r="W152" s="1"/>
      <c r="X152" s="1"/>
      <c r="Y152" s="1"/>
      <c r="Z152" s="1"/>
    </row>
    <row r="153" spans="1:26" ht="19.5" customHeight="1">
      <c r="A153" s="3" t="s">
        <v>1140</v>
      </c>
      <c r="B153" s="22" t="s">
        <v>1141</v>
      </c>
      <c r="C153" s="18" t="s">
        <v>1142</v>
      </c>
      <c r="D153" s="58"/>
      <c r="E153" s="58"/>
      <c r="F153" s="75"/>
      <c r="G153" s="75"/>
      <c r="H153" s="58"/>
      <c r="I153" s="56">
        <f t="array" ref="I153">G153+F153</f>
        <v>0</v>
      </c>
      <c r="J153" s="58"/>
      <c r="K153" s="58"/>
      <c r="L153" s="58"/>
      <c r="M153" s="1"/>
      <c r="N153" s="1"/>
      <c r="O153" s="1"/>
      <c r="P153" s="1"/>
      <c r="Q153" s="1"/>
      <c r="R153" s="1"/>
      <c r="S153" s="1"/>
      <c r="T153" s="1"/>
      <c r="U153" s="1"/>
      <c r="V153" s="1"/>
      <c r="W153" s="1"/>
      <c r="X153" s="1"/>
      <c r="Y153" s="1"/>
      <c r="Z153" s="1"/>
    </row>
    <row r="154" spans="1:26" ht="19.5" customHeight="1">
      <c r="A154" s="3" t="s">
        <v>1143</v>
      </c>
      <c r="B154" s="22" t="s">
        <v>1144</v>
      </c>
      <c r="C154" s="18" t="s">
        <v>1145</v>
      </c>
      <c r="D154" s="58"/>
      <c r="E154" s="58"/>
      <c r="F154" s="75"/>
      <c r="G154" s="75"/>
      <c r="H154" s="58"/>
      <c r="I154" s="56">
        <f t="array" ref="I154">G154+F154</f>
        <v>0</v>
      </c>
      <c r="J154" s="58"/>
      <c r="K154" s="58"/>
      <c r="L154" s="58"/>
      <c r="M154" s="1"/>
      <c r="N154" s="1"/>
      <c r="O154" s="1"/>
      <c r="P154" s="1"/>
      <c r="Q154" s="1"/>
      <c r="R154" s="1"/>
      <c r="S154" s="1"/>
      <c r="T154" s="1"/>
      <c r="U154" s="1"/>
      <c r="V154" s="1"/>
      <c r="W154" s="1"/>
      <c r="X154" s="1"/>
      <c r="Y154" s="1"/>
      <c r="Z154" s="1"/>
    </row>
    <row r="155" spans="1:26" ht="19.5" customHeight="1">
      <c r="A155" s="3" t="s">
        <v>1146</v>
      </c>
      <c r="B155" s="22" t="s">
        <v>1147</v>
      </c>
      <c r="C155" s="18" t="s">
        <v>1148</v>
      </c>
      <c r="D155" s="58"/>
      <c r="E155" s="58"/>
      <c r="F155" s="75"/>
      <c r="G155" s="75"/>
      <c r="H155" s="58"/>
      <c r="I155" s="56">
        <f t="array" ref="I155">G155+F155</f>
        <v>0</v>
      </c>
      <c r="J155" s="58"/>
      <c r="K155" s="58"/>
      <c r="L155" s="58"/>
      <c r="M155" s="1"/>
      <c r="N155" s="1"/>
      <c r="O155" s="1"/>
      <c r="P155" s="1"/>
      <c r="Q155" s="1"/>
      <c r="R155" s="1"/>
      <c r="S155" s="1"/>
      <c r="T155" s="1"/>
      <c r="U155" s="1"/>
      <c r="V155" s="1"/>
      <c r="W155" s="1"/>
      <c r="X155" s="1"/>
      <c r="Y155" s="1"/>
      <c r="Z155" s="1"/>
    </row>
    <row r="156" spans="1:26" ht="19.5" customHeight="1">
      <c r="A156" s="3" t="s">
        <v>1149</v>
      </c>
      <c r="B156" s="22" t="s">
        <v>1150</v>
      </c>
      <c r="C156" s="18" t="s">
        <v>1151</v>
      </c>
      <c r="D156" s="58"/>
      <c r="E156" s="58"/>
      <c r="F156" s="75"/>
      <c r="G156" s="75"/>
      <c r="H156" s="58"/>
      <c r="I156" s="56">
        <f t="array" ref="I156">G156+F156</f>
        <v>0</v>
      </c>
      <c r="J156" s="58"/>
      <c r="K156" s="58"/>
      <c r="L156" s="58"/>
      <c r="M156" s="1"/>
      <c r="N156" s="1"/>
      <c r="O156" s="1"/>
      <c r="P156" s="1"/>
      <c r="Q156" s="1"/>
      <c r="R156" s="1"/>
      <c r="S156" s="1"/>
      <c r="T156" s="1"/>
      <c r="U156" s="1"/>
      <c r="V156" s="1"/>
      <c r="W156" s="1"/>
      <c r="X156" s="1"/>
      <c r="Y156" s="1"/>
      <c r="Z156" s="1"/>
    </row>
    <row r="157" spans="1:26" ht="19.5" customHeight="1">
      <c r="A157" s="3" t="s">
        <v>1152</v>
      </c>
      <c r="B157" s="22" t="s">
        <v>1153</v>
      </c>
      <c r="C157" s="18" t="s">
        <v>1154</v>
      </c>
      <c r="D157" s="58"/>
      <c r="E157" s="58"/>
      <c r="F157" s="75"/>
      <c r="G157" s="75"/>
      <c r="H157" s="58"/>
      <c r="I157" s="56">
        <f t="array" ref="I157">G157+F157</f>
        <v>0</v>
      </c>
      <c r="J157" s="58"/>
      <c r="K157" s="58"/>
      <c r="L157" s="58"/>
      <c r="M157" s="1"/>
      <c r="N157" s="1"/>
      <c r="O157" s="1"/>
      <c r="P157" s="1"/>
      <c r="Q157" s="1"/>
      <c r="R157" s="1"/>
      <c r="S157" s="1"/>
      <c r="T157" s="1"/>
      <c r="U157" s="1"/>
      <c r="V157" s="1"/>
      <c r="W157" s="1"/>
      <c r="X157" s="1"/>
      <c r="Y157" s="1"/>
      <c r="Z157" s="1"/>
    </row>
    <row r="158" spans="1:26" ht="19.5" customHeight="1">
      <c r="A158" s="3" t="s">
        <v>1155</v>
      </c>
      <c r="B158" s="22" t="s">
        <v>1156</v>
      </c>
      <c r="C158" s="18" t="s">
        <v>1157</v>
      </c>
      <c r="D158" s="58"/>
      <c r="E158" s="58"/>
      <c r="F158" s="75"/>
      <c r="G158" s="75"/>
      <c r="H158" s="58"/>
      <c r="I158" s="56">
        <f t="array" ref="I158">G158+F158</f>
        <v>0</v>
      </c>
      <c r="J158" s="58"/>
      <c r="K158" s="58"/>
      <c r="L158" s="58"/>
      <c r="M158" s="1"/>
      <c r="N158" s="1"/>
      <c r="O158" s="1"/>
      <c r="P158" s="1"/>
      <c r="Q158" s="1"/>
      <c r="R158" s="1"/>
      <c r="S158" s="1"/>
      <c r="T158" s="1"/>
      <c r="U158" s="1"/>
      <c r="V158" s="1"/>
      <c r="W158" s="1"/>
      <c r="X158" s="1"/>
      <c r="Y158" s="1"/>
      <c r="Z158" s="1"/>
    </row>
    <row r="159" spans="1:26" ht="19.5" customHeight="1">
      <c r="A159" s="3" t="s">
        <v>1158</v>
      </c>
      <c r="B159" s="22" t="s">
        <v>1159</v>
      </c>
      <c r="C159" s="18" t="s">
        <v>1160</v>
      </c>
      <c r="D159" s="58"/>
      <c r="E159" s="58"/>
      <c r="F159" s="75"/>
      <c r="G159" s="75"/>
      <c r="H159" s="58"/>
      <c r="I159" s="56">
        <f t="array" ref="I159">G159+F159</f>
        <v>0</v>
      </c>
      <c r="J159" s="58"/>
      <c r="K159" s="58"/>
      <c r="L159" s="58"/>
      <c r="M159" s="1"/>
      <c r="N159" s="1"/>
      <c r="O159" s="1"/>
      <c r="P159" s="1"/>
      <c r="Q159" s="1"/>
      <c r="R159" s="1"/>
      <c r="S159" s="1"/>
      <c r="T159" s="1"/>
      <c r="U159" s="1"/>
      <c r="V159" s="1"/>
      <c r="W159" s="1"/>
      <c r="X159" s="1"/>
      <c r="Y159" s="1"/>
      <c r="Z159" s="1"/>
    </row>
    <row r="160" spans="1:26" ht="19.5" customHeight="1">
      <c r="A160" s="3" t="s">
        <v>1161</v>
      </c>
      <c r="B160" s="22" t="s">
        <v>1162</v>
      </c>
      <c r="C160" s="18" t="s">
        <v>1163</v>
      </c>
      <c r="D160" s="58"/>
      <c r="E160" s="58"/>
      <c r="F160" s="75"/>
      <c r="G160" s="75"/>
      <c r="H160" s="58"/>
      <c r="I160" s="56">
        <f t="array" ref="I160">G160+F160</f>
        <v>0</v>
      </c>
      <c r="J160" s="58"/>
      <c r="K160" s="58"/>
      <c r="L160" s="58"/>
      <c r="M160" s="1"/>
      <c r="N160" s="1"/>
      <c r="O160" s="1"/>
      <c r="P160" s="1"/>
      <c r="Q160" s="1"/>
      <c r="R160" s="1"/>
      <c r="S160" s="1"/>
      <c r="T160" s="1"/>
      <c r="U160" s="1"/>
      <c r="V160" s="1"/>
      <c r="W160" s="1"/>
      <c r="X160" s="1"/>
      <c r="Y160" s="1"/>
      <c r="Z160" s="1"/>
    </row>
    <row r="161" spans="1:26" ht="19.5" customHeight="1">
      <c r="A161" s="3" t="s">
        <v>1164</v>
      </c>
      <c r="B161" s="22" t="s">
        <v>1165</v>
      </c>
      <c r="C161" s="18" t="s">
        <v>1166</v>
      </c>
      <c r="D161" s="58"/>
      <c r="E161" s="58"/>
      <c r="F161" s="75"/>
      <c r="G161" s="75"/>
      <c r="H161" s="58"/>
      <c r="I161" s="56">
        <f t="array" ref="I161">G161+F161</f>
        <v>0</v>
      </c>
      <c r="J161" s="58"/>
      <c r="K161" s="58"/>
      <c r="L161" s="58"/>
      <c r="M161" s="1"/>
      <c r="N161" s="1"/>
      <c r="O161" s="1"/>
      <c r="P161" s="1"/>
      <c r="Q161" s="1"/>
      <c r="R161" s="1"/>
      <c r="S161" s="1"/>
      <c r="T161" s="1"/>
      <c r="U161" s="1"/>
      <c r="V161" s="1"/>
      <c r="W161" s="1"/>
      <c r="X161" s="1"/>
      <c r="Y161" s="1"/>
      <c r="Z161" s="1"/>
    </row>
    <row r="162" spans="1:26" ht="19.5" customHeight="1">
      <c r="A162" s="3" t="s">
        <v>1167</v>
      </c>
      <c r="B162" s="22" t="s">
        <v>1168</v>
      </c>
      <c r="C162" s="18" t="s">
        <v>1169</v>
      </c>
      <c r="D162" s="58"/>
      <c r="E162" s="58"/>
      <c r="F162" s="75"/>
      <c r="G162" s="75"/>
      <c r="H162" s="58"/>
      <c r="I162" s="56">
        <f t="array" ref="I162">G162+F162</f>
        <v>0</v>
      </c>
      <c r="J162" s="58"/>
      <c r="K162" s="58"/>
      <c r="L162" s="58"/>
      <c r="M162" s="1"/>
      <c r="N162" s="1"/>
      <c r="O162" s="1"/>
      <c r="P162" s="1"/>
      <c r="Q162" s="1"/>
      <c r="R162" s="1"/>
      <c r="S162" s="1"/>
      <c r="T162" s="1"/>
      <c r="U162" s="1"/>
      <c r="V162" s="1"/>
      <c r="W162" s="1"/>
      <c r="X162" s="1"/>
      <c r="Y162" s="1"/>
      <c r="Z162" s="1"/>
    </row>
    <row r="163" spans="1:26" ht="19.5" customHeight="1">
      <c r="A163" s="3" t="s">
        <v>1170</v>
      </c>
      <c r="B163" s="22" t="s">
        <v>1171</v>
      </c>
      <c r="C163" s="18" t="s">
        <v>1172</v>
      </c>
      <c r="D163" s="58"/>
      <c r="E163" s="58"/>
      <c r="F163" s="75"/>
      <c r="G163" s="75"/>
      <c r="H163" s="58"/>
      <c r="I163" s="56">
        <f t="array" ref="I163">G163+F163</f>
        <v>0</v>
      </c>
      <c r="J163" s="58"/>
      <c r="K163" s="58"/>
      <c r="L163" s="58"/>
      <c r="M163" s="1"/>
      <c r="N163" s="1"/>
      <c r="O163" s="1"/>
      <c r="P163" s="1"/>
      <c r="Q163" s="1"/>
      <c r="R163" s="1"/>
      <c r="S163" s="1"/>
      <c r="T163" s="1"/>
      <c r="U163" s="1"/>
      <c r="V163" s="1"/>
      <c r="W163" s="1"/>
      <c r="X163" s="1"/>
      <c r="Y163" s="1"/>
      <c r="Z163" s="1"/>
    </row>
    <row r="164" spans="1:26" ht="19.5" customHeight="1">
      <c r="A164" s="3" t="s">
        <v>1173</v>
      </c>
      <c r="B164" s="22" t="s">
        <v>1174</v>
      </c>
      <c r="C164" s="18" t="s">
        <v>1175</v>
      </c>
      <c r="D164" s="58"/>
      <c r="E164" s="58"/>
      <c r="F164" s="75"/>
      <c r="G164" s="75"/>
      <c r="H164" s="58"/>
      <c r="I164" s="56">
        <f t="array" ref="I164">G164+F164</f>
        <v>0</v>
      </c>
      <c r="J164" s="58"/>
      <c r="K164" s="58"/>
      <c r="L164" s="58"/>
      <c r="M164" s="1"/>
      <c r="N164" s="1"/>
      <c r="O164" s="1"/>
      <c r="P164" s="1"/>
      <c r="Q164" s="1"/>
      <c r="R164" s="1"/>
      <c r="S164" s="1"/>
      <c r="T164" s="1"/>
      <c r="U164" s="1"/>
      <c r="V164" s="1"/>
      <c r="W164" s="1"/>
      <c r="X164" s="1"/>
      <c r="Y164" s="1"/>
      <c r="Z164" s="1"/>
    </row>
    <row r="165" spans="1:26" ht="19.5" customHeight="1">
      <c r="A165" s="3" t="s">
        <v>1176</v>
      </c>
      <c r="B165" s="22" t="s">
        <v>1177</v>
      </c>
      <c r="C165" s="18" t="s">
        <v>1178</v>
      </c>
      <c r="D165" s="58"/>
      <c r="E165" s="58"/>
      <c r="F165" s="75"/>
      <c r="G165" s="75"/>
      <c r="H165" s="58"/>
      <c r="I165" s="56">
        <f t="array" ref="I165">G165+F165</f>
        <v>0</v>
      </c>
      <c r="J165" s="58"/>
      <c r="K165" s="58"/>
      <c r="L165" s="58"/>
      <c r="M165" s="1"/>
      <c r="N165" s="1"/>
      <c r="O165" s="1"/>
      <c r="P165" s="1"/>
      <c r="Q165" s="1"/>
      <c r="R165" s="1"/>
      <c r="S165" s="1"/>
      <c r="T165" s="1"/>
      <c r="U165" s="1"/>
      <c r="V165" s="1"/>
      <c r="W165" s="1"/>
      <c r="X165" s="1"/>
      <c r="Y165" s="1"/>
      <c r="Z165" s="1"/>
    </row>
    <row r="166" spans="1:26" ht="19.5" customHeight="1">
      <c r="A166" s="3" t="s">
        <v>1179</v>
      </c>
      <c r="B166" s="22" t="s">
        <v>1180</v>
      </c>
      <c r="C166" s="18" t="s">
        <v>1181</v>
      </c>
      <c r="D166" s="58"/>
      <c r="E166" s="58"/>
      <c r="F166" s="75"/>
      <c r="G166" s="75"/>
      <c r="H166" s="58"/>
      <c r="I166" s="56">
        <f t="array" ref="I166">G166+F166</f>
        <v>0</v>
      </c>
      <c r="J166" s="58"/>
      <c r="K166" s="58"/>
      <c r="L166" s="58"/>
      <c r="M166" s="1"/>
      <c r="N166" s="1"/>
      <c r="O166" s="1"/>
      <c r="P166" s="1"/>
      <c r="Q166" s="1"/>
      <c r="R166" s="1"/>
      <c r="S166" s="1"/>
      <c r="T166" s="1"/>
      <c r="U166" s="1"/>
      <c r="V166" s="1"/>
      <c r="W166" s="1"/>
      <c r="X166" s="1"/>
      <c r="Y166" s="1"/>
      <c r="Z166" s="1"/>
    </row>
    <row r="167" spans="1:26" ht="19.5" customHeight="1">
      <c r="A167" s="3" t="s">
        <v>1182</v>
      </c>
      <c r="B167" s="22" t="s">
        <v>1183</v>
      </c>
      <c r="C167" s="18" t="s">
        <v>1184</v>
      </c>
      <c r="D167" s="58"/>
      <c r="E167" s="58"/>
      <c r="F167" s="75"/>
      <c r="G167" s="75"/>
      <c r="H167" s="58"/>
      <c r="I167" s="56">
        <f t="array" ref="I167">G167+F167</f>
        <v>0</v>
      </c>
      <c r="J167" s="58"/>
      <c r="K167" s="58"/>
      <c r="L167" s="58"/>
      <c r="M167" s="1"/>
      <c r="N167" s="1"/>
      <c r="O167" s="1"/>
      <c r="P167" s="1"/>
      <c r="Q167" s="1"/>
      <c r="R167" s="1"/>
      <c r="S167" s="1"/>
      <c r="T167" s="1"/>
      <c r="U167" s="1"/>
      <c r="V167" s="1"/>
      <c r="W167" s="1"/>
      <c r="X167" s="1"/>
      <c r="Y167" s="1"/>
      <c r="Z167" s="1"/>
    </row>
    <row r="168" spans="1:26" ht="31.5" customHeight="1">
      <c r="A168" s="3" t="s">
        <v>1185</v>
      </c>
      <c r="B168" s="22" t="s">
        <v>1186</v>
      </c>
      <c r="C168" s="18" t="s">
        <v>1187</v>
      </c>
      <c r="D168" s="58"/>
      <c r="E168" s="58"/>
      <c r="F168" s="75"/>
      <c r="G168" s="75"/>
      <c r="H168" s="58"/>
      <c r="I168" s="56">
        <f t="array" ref="I168">G168+F168</f>
        <v>0</v>
      </c>
      <c r="J168" s="58"/>
      <c r="K168" s="58"/>
      <c r="L168" s="58"/>
      <c r="M168" s="1"/>
      <c r="N168" s="1"/>
      <c r="O168" s="1"/>
      <c r="P168" s="1"/>
      <c r="Q168" s="1"/>
      <c r="R168" s="1"/>
      <c r="S168" s="1"/>
      <c r="T168" s="1"/>
      <c r="U168" s="1"/>
      <c r="V168" s="1"/>
      <c r="W168" s="1"/>
      <c r="X168" s="1"/>
      <c r="Y168" s="1"/>
      <c r="Z168" s="1"/>
    </row>
    <row r="169" spans="1:26" ht="19.5" customHeight="1">
      <c r="A169" s="3" t="s">
        <v>1188</v>
      </c>
      <c r="B169" s="22" t="s">
        <v>1189</v>
      </c>
      <c r="C169" s="18" t="s">
        <v>1190</v>
      </c>
      <c r="D169" s="58"/>
      <c r="E169" s="58"/>
      <c r="F169" s="75"/>
      <c r="G169" s="75"/>
      <c r="H169" s="58"/>
      <c r="I169" s="56">
        <f t="array" ref="I169">G169+F169</f>
        <v>0</v>
      </c>
      <c r="J169" s="58"/>
      <c r="K169" s="58"/>
      <c r="L169" s="58"/>
      <c r="M169" s="1"/>
      <c r="N169" s="1"/>
      <c r="O169" s="1"/>
      <c r="P169" s="1"/>
      <c r="Q169" s="1"/>
      <c r="R169" s="1"/>
      <c r="S169" s="1"/>
      <c r="T169" s="1"/>
      <c r="U169" s="1"/>
      <c r="V169" s="1"/>
      <c r="W169" s="1"/>
      <c r="X169" s="1"/>
      <c r="Y169" s="1"/>
      <c r="Z169" s="1"/>
    </row>
    <row r="170" spans="1:26" ht="19.5" customHeight="1">
      <c r="A170" s="3" t="s">
        <v>1191</v>
      </c>
      <c r="B170" s="22" t="s">
        <v>1192</v>
      </c>
      <c r="C170" s="18" t="s">
        <v>1193</v>
      </c>
      <c r="D170" s="58"/>
      <c r="E170" s="58"/>
      <c r="F170" s="75"/>
      <c r="G170" s="75"/>
      <c r="H170" s="58"/>
      <c r="I170" s="56">
        <f t="array" ref="I170">G170+F170</f>
        <v>0</v>
      </c>
      <c r="J170" s="58"/>
      <c r="K170" s="58"/>
      <c r="L170" s="58"/>
      <c r="M170" s="1"/>
      <c r="N170" s="1"/>
      <c r="O170" s="1"/>
      <c r="P170" s="1"/>
      <c r="Q170" s="1"/>
      <c r="R170" s="1"/>
      <c r="S170" s="1"/>
      <c r="T170" s="1"/>
      <c r="U170" s="1"/>
      <c r="V170" s="1"/>
      <c r="W170" s="1"/>
      <c r="X170" s="1"/>
      <c r="Y170" s="1"/>
      <c r="Z170" s="1"/>
    </row>
    <row r="171" spans="1:26" ht="19.5" customHeight="1">
      <c r="A171" s="3" t="s">
        <v>1194</v>
      </c>
      <c r="B171" s="22" t="s">
        <v>1195</v>
      </c>
      <c r="C171" s="18" t="s">
        <v>1196</v>
      </c>
      <c r="D171" s="58"/>
      <c r="E171" s="58"/>
      <c r="F171" s="75"/>
      <c r="G171" s="75"/>
      <c r="H171" s="58"/>
      <c r="I171" s="56">
        <f t="array" ref="I171">G171+F171</f>
        <v>0</v>
      </c>
      <c r="J171" s="58"/>
      <c r="K171" s="58"/>
      <c r="L171" s="58"/>
      <c r="M171" s="1"/>
      <c r="N171" s="1"/>
      <c r="O171" s="1"/>
      <c r="P171" s="1"/>
      <c r="Q171" s="1"/>
      <c r="R171" s="1"/>
      <c r="S171" s="1"/>
      <c r="T171" s="1"/>
      <c r="U171" s="1"/>
      <c r="V171" s="1"/>
      <c r="W171" s="1"/>
      <c r="X171" s="1"/>
      <c r="Y171" s="1"/>
      <c r="Z171" s="1"/>
    </row>
    <row r="172" spans="1:26" ht="19.5" customHeight="1">
      <c r="A172" s="3" t="s">
        <v>1197</v>
      </c>
      <c r="B172" s="22" t="s">
        <v>1198</v>
      </c>
      <c r="C172" s="18" t="s">
        <v>1199</v>
      </c>
      <c r="D172" s="58"/>
      <c r="E172" s="58"/>
      <c r="F172" s="75"/>
      <c r="G172" s="75"/>
      <c r="H172" s="58"/>
      <c r="I172" s="56">
        <f t="array" ref="I172">G172+F172</f>
        <v>0</v>
      </c>
      <c r="J172" s="58"/>
      <c r="K172" s="58"/>
      <c r="L172" s="58"/>
      <c r="M172" s="1"/>
      <c r="N172" s="1"/>
      <c r="O172" s="1"/>
      <c r="P172" s="1"/>
      <c r="Q172" s="1"/>
      <c r="R172" s="1"/>
      <c r="S172" s="1"/>
      <c r="T172" s="1"/>
      <c r="U172" s="1"/>
      <c r="V172" s="1"/>
      <c r="W172" s="1"/>
      <c r="X172" s="1"/>
      <c r="Y172" s="1"/>
      <c r="Z172" s="1"/>
    </row>
    <row r="173" spans="1:26" ht="19.5" customHeight="1">
      <c r="A173" s="3" t="s">
        <v>1200</v>
      </c>
      <c r="B173" s="22" t="s">
        <v>1201</v>
      </c>
      <c r="C173" s="18" t="s">
        <v>1202</v>
      </c>
      <c r="D173" s="58"/>
      <c r="E173" s="58"/>
      <c r="F173" s="75"/>
      <c r="G173" s="75"/>
      <c r="H173" s="58"/>
      <c r="I173" s="56">
        <f t="array" ref="I173">G173+F173</f>
        <v>0</v>
      </c>
      <c r="J173" s="58"/>
      <c r="K173" s="58"/>
      <c r="L173" s="58"/>
      <c r="M173" s="1"/>
      <c r="N173" s="1"/>
      <c r="O173" s="1"/>
      <c r="P173" s="1"/>
      <c r="Q173" s="1"/>
      <c r="R173" s="1"/>
      <c r="S173" s="1"/>
      <c r="T173" s="1"/>
      <c r="U173" s="1"/>
      <c r="V173" s="1"/>
      <c r="W173" s="1"/>
      <c r="X173" s="1"/>
      <c r="Y173" s="1"/>
      <c r="Z173" s="1"/>
    </row>
    <row r="174" spans="1:26" ht="19.5" customHeight="1">
      <c r="A174" s="3" t="s">
        <v>1203</v>
      </c>
      <c r="B174" s="22" t="s">
        <v>1204</v>
      </c>
      <c r="C174" s="18" t="s">
        <v>1205</v>
      </c>
      <c r="D174" s="58"/>
      <c r="E174" s="58"/>
      <c r="F174" s="75"/>
      <c r="G174" s="75"/>
      <c r="H174" s="58"/>
      <c r="I174" s="56">
        <f t="array" ref="I174">G174+F174</f>
        <v>0</v>
      </c>
      <c r="J174" s="58"/>
      <c r="K174" s="58"/>
      <c r="L174" s="58"/>
      <c r="M174" s="1"/>
      <c r="N174" s="1"/>
      <c r="O174" s="1"/>
      <c r="P174" s="1"/>
      <c r="Q174" s="1"/>
      <c r="R174" s="1"/>
      <c r="S174" s="1"/>
      <c r="T174" s="1"/>
      <c r="U174" s="1"/>
      <c r="V174" s="1"/>
      <c r="W174" s="1"/>
      <c r="X174" s="1"/>
      <c r="Y174" s="1"/>
      <c r="Z174" s="1"/>
    </row>
    <row r="175" spans="1:26" ht="19.5" customHeight="1">
      <c r="A175" s="3" t="s">
        <v>1206</v>
      </c>
      <c r="B175" s="22" t="s">
        <v>1207</v>
      </c>
      <c r="C175" s="18" t="s">
        <v>1208</v>
      </c>
      <c r="D175" s="58"/>
      <c r="E175" s="58"/>
      <c r="F175" s="75"/>
      <c r="G175" s="75"/>
      <c r="H175" s="58"/>
      <c r="I175" s="56">
        <f t="array" ref="I175">G175+F175</f>
        <v>0</v>
      </c>
      <c r="J175" s="58"/>
      <c r="K175" s="58"/>
      <c r="L175" s="58"/>
      <c r="M175" s="1"/>
      <c r="N175" s="1"/>
      <c r="O175" s="1"/>
      <c r="P175" s="1"/>
      <c r="Q175" s="1"/>
      <c r="R175" s="1"/>
      <c r="S175" s="1"/>
      <c r="T175" s="1"/>
      <c r="U175" s="1"/>
      <c r="V175" s="1"/>
      <c r="W175" s="1"/>
      <c r="X175" s="1"/>
      <c r="Y175" s="1"/>
      <c r="Z175" s="1"/>
    </row>
    <row r="176" spans="1:26" ht="19.5" customHeight="1">
      <c r="A176" s="3" t="s">
        <v>1209</v>
      </c>
      <c r="B176" s="22" t="s">
        <v>1210</v>
      </c>
      <c r="C176" s="18" t="s">
        <v>1211</v>
      </c>
      <c r="D176" s="58"/>
      <c r="E176" s="58"/>
      <c r="F176" s="75"/>
      <c r="G176" s="75"/>
      <c r="H176" s="58"/>
      <c r="I176" s="56">
        <f t="array" ref="I176">G176+F176</f>
        <v>0</v>
      </c>
      <c r="J176" s="58"/>
      <c r="K176" s="58"/>
      <c r="L176" s="58"/>
      <c r="M176" s="1"/>
      <c r="N176" s="1"/>
      <c r="O176" s="1"/>
      <c r="P176" s="1"/>
      <c r="Q176" s="1"/>
      <c r="R176" s="1"/>
      <c r="S176" s="1"/>
      <c r="T176" s="1"/>
      <c r="U176" s="1"/>
      <c r="V176" s="1"/>
      <c r="W176" s="1"/>
      <c r="X176" s="1"/>
      <c r="Y176" s="1"/>
      <c r="Z176" s="1"/>
    </row>
    <row r="177" spans="1:26" ht="19.5" customHeight="1">
      <c r="A177" s="3" t="s">
        <v>1212</v>
      </c>
      <c r="B177" s="22" t="s">
        <v>1213</v>
      </c>
      <c r="C177" s="18" t="s">
        <v>1214</v>
      </c>
      <c r="D177" s="58"/>
      <c r="E177" s="58"/>
      <c r="F177" s="75"/>
      <c r="G177" s="75"/>
      <c r="H177" s="58"/>
      <c r="I177" s="56">
        <f t="array" ref="I177">G177+F177</f>
        <v>0</v>
      </c>
      <c r="J177" s="58"/>
      <c r="K177" s="58"/>
      <c r="L177" s="58"/>
      <c r="M177" s="1"/>
      <c r="N177" s="1"/>
      <c r="O177" s="1"/>
      <c r="P177" s="1"/>
      <c r="Q177" s="1"/>
      <c r="R177" s="1"/>
      <c r="S177" s="1"/>
      <c r="T177" s="1"/>
      <c r="U177" s="1"/>
      <c r="V177" s="1"/>
      <c r="W177" s="1"/>
      <c r="X177" s="1"/>
      <c r="Y177" s="1"/>
      <c r="Z177" s="1"/>
    </row>
    <row r="178" spans="1:26" ht="19.5" customHeight="1">
      <c r="A178" s="3" t="s">
        <v>1215</v>
      </c>
      <c r="B178" s="22" t="s">
        <v>1216</v>
      </c>
      <c r="C178" s="18" t="s">
        <v>1217</v>
      </c>
      <c r="D178" s="58"/>
      <c r="E178" s="58"/>
      <c r="F178" s="75"/>
      <c r="G178" s="75"/>
      <c r="H178" s="58"/>
      <c r="I178" s="56">
        <f t="array" ref="I178">G178+F178</f>
        <v>0</v>
      </c>
      <c r="J178" s="58"/>
      <c r="K178" s="58"/>
      <c r="L178" s="58"/>
      <c r="M178" s="1"/>
      <c r="N178" s="1"/>
      <c r="O178" s="1"/>
      <c r="P178" s="1"/>
      <c r="Q178" s="1"/>
      <c r="R178" s="1"/>
      <c r="S178" s="1"/>
      <c r="T178" s="1"/>
      <c r="U178" s="1"/>
      <c r="V178" s="1"/>
      <c r="W178" s="1"/>
      <c r="X178" s="1"/>
      <c r="Y178" s="1"/>
      <c r="Z178" s="1"/>
    </row>
    <row r="179" spans="1:26" ht="19.5" customHeight="1">
      <c r="A179" s="3" t="s">
        <v>1218</v>
      </c>
      <c r="B179" s="22" t="s">
        <v>1219</v>
      </c>
      <c r="C179" s="18" t="s">
        <v>1220</v>
      </c>
      <c r="D179" s="58"/>
      <c r="E179" s="58"/>
      <c r="F179" s="75"/>
      <c r="G179" s="75"/>
      <c r="H179" s="58"/>
      <c r="I179" s="56">
        <f t="array" ref="I179">G179+F179</f>
        <v>0</v>
      </c>
      <c r="J179" s="58"/>
      <c r="K179" s="58"/>
      <c r="L179" s="58"/>
      <c r="M179" s="1"/>
      <c r="N179" s="1"/>
      <c r="O179" s="1"/>
      <c r="P179" s="1"/>
      <c r="Q179" s="1"/>
      <c r="R179" s="1"/>
      <c r="S179" s="1"/>
      <c r="T179" s="1"/>
      <c r="U179" s="1"/>
      <c r="V179" s="1"/>
      <c r="W179" s="1"/>
      <c r="X179" s="1"/>
      <c r="Y179" s="1"/>
      <c r="Z179" s="1"/>
    </row>
    <row r="180" spans="1:26" ht="19.5" customHeight="1">
      <c r="A180" s="3" t="s">
        <v>1221</v>
      </c>
      <c r="B180" s="22" t="s">
        <v>1222</v>
      </c>
      <c r="C180" s="18" t="s">
        <v>1223</v>
      </c>
      <c r="D180" s="58"/>
      <c r="E180" s="58"/>
      <c r="F180" s="75"/>
      <c r="G180" s="75"/>
      <c r="H180" s="58"/>
      <c r="I180" s="56">
        <f t="array" ref="I180">G180+F180</f>
        <v>0</v>
      </c>
      <c r="J180" s="58"/>
      <c r="K180" s="58"/>
      <c r="L180" s="58"/>
      <c r="M180" s="1"/>
      <c r="N180" s="1"/>
      <c r="O180" s="1"/>
      <c r="P180" s="1"/>
      <c r="Q180" s="1"/>
      <c r="R180" s="1"/>
      <c r="S180" s="1"/>
      <c r="T180" s="1"/>
      <c r="U180" s="1"/>
      <c r="V180" s="1"/>
      <c r="W180" s="1"/>
      <c r="X180" s="1"/>
      <c r="Y180" s="1"/>
      <c r="Z180" s="1"/>
    </row>
    <row r="181" spans="1:26" ht="19.5" customHeight="1">
      <c r="A181" s="3" t="s">
        <v>1224</v>
      </c>
      <c r="B181" s="22" t="s">
        <v>1225</v>
      </c>
      <c r="C181" s="18" t="s">
        <v>1226</v>
      </c>
      <c r="D181" s="58"/>
      <c r="E181" s="58"/>
      <c r="F181" s="75"/>
      <c r="G181" s="75"/>
      <c r="H181" s="58"/>
      <c r="I181" s="56">
        <f t="array" ref="I181">G181+F181</f>
        <v>0</v>
      </c>
      <c r="J181" s="58"/>
      <c r="K181" s="58"/>
      <c r="L181" s="58"/>
      <c r="M181" s="1"/>
      <c r="N181" s="1"/>
      <c r="O181" s="1"/>
      <c r="P181" s="1"/>
      <c r="Q181" s="1"/>
      <c r="R181" s="1"/>
      <c r="S181" s="1"/>
      <c r="T181" s="1"/>
      <c r="U181" s="1"/>
      <c r="V181" s="1"/>
      <c r="W181" s="1"/>
      <c r="X181" s="1"/>
      <c r="Y181" s="1"/>
      <c r="Z181" s="1"/>
    </row>
    <row r="182" spans="1:26" ht="19.5" customHeight="1">
      <c r="A182" s="3" t="s">
        <v>1227</v>
      </c>
      <c r="B182" s="22" t="s">
        <v>1228</v>
      </c>
      <c r="C182" s="18" t="s">
        <v>1229</v>
      </c>
      <c r="D182" s="58"/>
      <c r="E182" s="58"/>
      <c r="F182" s="75"/>
      <c r="G182" s="75"/>
      <c r="H182" s="58"/>
      <c r="I182" s="56">
        <f t="array" ref="I182">G182+F182</f>
        <v>0</v>
      </c>
      <c r="J182" s="58"/>
      <c r="K182" s="58"/>
      <c r="L182" s="58"/>
      <c r="M182" s="1"/>
      <c r="N182" s="1"/>
      <c r="O182" s="1"/>
      <c r="P182" s="1"/>
      <c r="Q182" s="1"/>
      <c r="R182" s="1"/>
      <c r="S182" s="1"/>
      <c r="T182" s="1"/>
      <c r="U182" s="1"/>
      <c r="V182" s="1"/>
      <c r="W182" s="1"/>
      <c r="X182" s="1"/>
      <c r="Y182" s="1"/>
      <c r="Z182" s="1"/>
    </row>
    <row r="183" spans="1:26" ht="19.5" customHeight="1">
      <c r="A183" s="3" t="s">
        <v>1230</v>
      </c>
      <c r="B183" s="22" t="s">
        <v>1231</v>
      </c>
      <c r="C183" s="18" t="s">
        <v>1232</v>
      </c>
      <c r="D183" s="58"/>
      <c r="E183" s="58"/>
      <c r="F183" s="75"/>
      <c r="G183" s="75"/>
      <c r="H183" s="58"/>
      <c r="I183" s="56">
        <f t="array" ref="I183">G183+F183</f>
        <v>0</v>
      </c>
      <c r="J183" s="58"/>
      <c r="K183" s="58"/>
      <c r="L183" s="58"/>
      <c r="M183" s="1"/>
      <c r="N183" s="1"/>
      <c r="O183" s="1"/>
      <c r="P183" s="1"/>
      <c r="Q183" s="1"/>
      <c r="R183" s="1"/>
      <c r="S183" s="1"/>
      <c r="T183" s="1"/>
      <c r="U183" s="1"/>
      <c r="V183" s="1"/>
      <c r="W183" s="1"/>
      <c r="X183" s="1"/>
      <c r="Y183" s="1"/>
      <c r="Z183" s="1"/>
    </row>
    <row r="184" spans="1:26" ht="19.5" customHeight="1">
      <c r="A184" s="3" t="s">
        <v>1233</v>
      </c>
      <c r="B184" s="126" t="s">
        <v>1058</v>
      </c>
      <c r="C184" s="53"/>
      <c r="D184" s="58"/>
      <c r="E184" s="58"/>
      <c r="F184" s="56">
        <f t="array" ref="F184">SUM(F126:F183)</f>
        <v>0</v>
      </c>
      <c r="G184" s="56">
        <f t="array" ref="G184">SUM(G126:G183)</f>
        <v>0</v>
      </c>
      <c r="H184" s="58"/>
      <c r="I184" s="56">
        <f t="array" ref="I184">SUM(I126:I183)</f>
        <v>0</v>
      </c>
      <c r="J184" s="58"/>
      <c r="K184" s="58"/>
      <c r="L184" s="58"/>
      <c r="M184" s="1"/>
      <c r="N184" s="1"/>
      <c r="O184" s="1"/>
      <c r="P184" s="1"/>
      <c r="Q184" s="1"/>
      <c r="R184" s="1"/>
      <c r="S184" s="1"/>
      <c r="T184" s="1"/>
      <c r="U184" s="1"/>
      <c r="V184" s="1"/>
      <c r="W184" s="1"/>
      <c r="X184" s="1"/>
      <c r="Y184" s="1"/>
      <c r="Z184" s="1"/>
    </row>
    <row r="185" spans="1:26" ht="19.5" customHeight="1">
      <c r="A185" s="2"/>
      <c r="B185" s="17"/>
      <c r="C185" s="13"/>
      <c r="D185" s="58"/>
      <c r="E185" s="58"/>
      <c r="F185" s="58"/>
      <c r="G185" s="58"/>
      <c r="H185" s="58"/>
      <c r="I185" s="58"/>
      <c r="J185" s="58"/>
      <c r="K185" s="58"/>
      <c r="L185" s="58"/>
      <c r="M185" s="1"/>
      <c r="N185" s="1"/>
      <c r="O185" s="1"/>
      <c r="P185" s="1"/>
      <c r="Q185" s="1"/>
      <c r="R185" s="1"/>
      <c r="S185" s="1"/>
      <c r="T185" s="1"/>
      <c r="U185" s="1"/>
      <c r="V185" s="1"/>
      <c r="W185" s="1"/>
      <c r="X185" s="1"/>
      <c r="Y185" s="1"/>
      <c r="Z185" s="1"/>
    </row>
    <row r="186" spans="1:26" ht="19.5" customHeight="1">
      <c r="A186" s="2"/>
      <c r="B186" s="22" t="s">
        <v>1234</v>
      </c>
      <c r="C186" s="13"/>
      <c r="D186" s="58"/>
      <c r="E186" s="58"/>
      <c r="F186" s="58"/>
      <c r="G186" s="58"/>
      <c r="H186" s="58"/>
      <c r="I186" s="58"/>
      <c r="J186" s="58"/>
      <c r="K186" s="58"/>
      <c r="L186" s="58"/>
      <c r="M186" s="1"/>
      <c r="N186" s="1"/>
      <c r="O186" s="1"/>
      <c r="P186" s="1"/>
      <c r="Q186" s="1"/>
      <c r="R186" s="1"/>
      <c r="S186" s="1"/>
      <c r="T186" s="1"/>
      <c r="U186" s="1"/>
      <c r="V186" s="1"/>
      <c r="W186" s="1"/>
      <c r="X186" s="1"/>
      <c r="Y186" s="1"/>
      <c r="Z186" s="1"/>
    </row>
    <row r="187" spans="1:26" ht="19.5" customHeight="1">
      <c r="A187" s="3" t="s">
        <v>1235</v>
      </c>
      <c r="B187" s="22" t="s">
        <v>1236</v>
      </c>
      <c r="C187" s="18" t="s">
        <v>1237</v>
      </c>
      <c r="D187" s="58"/>
      <c r="E187" s="58"/>
      <c r="F187" s="75"/>
      <c r="G187" s="75"/>
      <c r="H187" s="58"/>
      <c r="I187" s="56">
        <f t="array" ref="I187">G187+F187</f>
        <v>0</v>
      </c>
      <c r="J187" s="58"/>
      <c r="K187" s="58"/>
      <c r="L187" s="58"/>
      <c r="M187" s="1"/>
      <c r="N187" s="1"/>
      <c r="O187" s="1"/>
      <c r="P187" s="1"/>
      <c r="Q187" s="1"/>
      <c r="R187" s="1"/>
      <c r="S187" s="1"/>
      <c r="T187" s="1"/>
      <c r="U187" s="1"/>
      <c r="V187" s="1"/>
      <c r="W187" s="1"/>
      <c r="X187" s="1"/>
      <c r="Y187" s="1"/>
      <c r="Z187" s="1"/>
    </row>
    <row r="188" spans="1:26" ht="19.5" customHeight="1">
      <c r="A188" s="3" t="s">
        <v>1238</v>
      </c>
      <c r="B188" s="22" t="s">
        <v>1239</v>
      </c>
      <c r="C188" s="18" t="s">
        <v>1240</v>
      </c>
      <c r="D188" s="58"/>
      <c r="E188" s="58"/>
      <c r="F188" s="75"/>
      <c r="G188" s="75"/>
      <c r="H188" s="58"/>
      <c r="I188" s="56">
        <f t="array" ref="I188">G188+F188</f>
        <v>0</v>
      </c>
      <c r="J188" s="58"/>
      <c r="K188" s="58"/>
      <c r="L188" s="58"/>
      <c r="M188" s="1"/>
      <c r="N188" s="1"/>
      <c r="O188" s="1"/>
      <c r="P188" s="1"/>
      <c r="Q188" s="1"/>
      <c r="R188" s="1"/>
      <c r="S188" s="1"/>
      <c r="T188" s="1"/>
      <c r="U188" s="1"/>
      <c r="V188" s="1"/>
      <c r="W188" s="1"/>
      <c r="X188" s="1"/>
      <c r="Y188" s="1"/>
      <c r="Z188" s="1"/>
    </row>
    <row r="189" spans="1:26" ht="19.5" customHeight="1">
      <c r="A189" s="3" t="s">
        <v>1241</v>
      </c>
      <c r="B189" s="22" t="s">
        <v>1242</v>
      </c>
      <c r="C189" s="18" t="s">
        <v>1243</v>
      </c>
      <c r="D189" s="58"/>
      <c r="E189" s="58"/>
      <c r="F189" s="75"/>
      <c r="G189" s="75"/>
      <c r="H189" s="58"/>
      <c r="I189" s="56">
        <f t="array" ref="I189">G189+F189</f>
        <v>0</v>
      </c>
      <c r="J189" s="58"/>
      <c r="K189" s="58"/>
      <c r="L189" s="58"/>
      <c r="M189" s="1"/>
      <c r="N189" s="1"/>
      <c r="O189" s="1"/>
      <c r="P189" s="1"/>
      <c r="Q189" s="1"/>
      <c r="R189" s="1"/>
      <c r="S189" s="1"/>
      <c r="T189" s="1"/>
      <c r="U189" s="1"/>
      <c r="V189" s="1"/>
      <c r="W189" s="1"/>
      <c r="X189" s="1"/>
      <c r="Y189" s="1"/>
      <c r="Z189" s="1"/>
    </row>
    <row r="190" spans="1:26" ht="19.5" customHeight="1">
      <c r="A190" s="3" t="s">
        <v>1244</v>
      </c>
      <c r="B190" s="22" t="s">
        <v>1245</v>
      </c>
      <c r="C190" s="18" t="s">
        <v>1246</v>
      </c>
      <c r="D190" s="58"/>
      <c r="E190" s="58"/>
      <c r="F190" s="75"/>
      <c r="G190" s="75"/>
      <c r="H190" s="58"/>
      <c r="I190" s="56">
        <f t="array" ref="I190">G190+F190</f>
        <v>0</v>
      </c>
      <c r="J190" s="58"/>
      <c r="K190" s="58"/>
      <c r="L190" s="58"/>
      <c r="M190" s="1"/>
      <c r="N190" s="1"/>
      <c r="O190" s="1"/>
      <c r="P190" s="1"/>
      <c r="Q190" s="1"/>
      <c r="R190" s="1"/>
      <c r="S190" s="1"/>
      <c r="T190" s="1"/>
      <c r="U190" s="1"/>
      <c r="V190" s="1"/>
      <c r="W190" s="1"/>
      <c r="X190" s="1"/>
      <c r="Y190" s="1"/>
      <c r="Z190" s="1"/>
    </row>
    <row r="191" spans="1:26" ht="19.5" customHeight="1">
      <c r="A191" s="3" t="s">
        <v>1247</v>
      </c>
      <c r="B191" s="22" t="s">
        <v>1248</v>
      </c>
      <c r="C191" s="18" t="s">
        <v>1249</v>
      </c>
      <c r="D191" s="58"/>
      <c r="E191" s="58"/>
      <c r="F191" s="75">
        <v>418</v>
      </c>
      <c r="G191" s="75">
        <v>405</v>
      </c>
      <c r="H191" s="58"/>
      <c r="I191" s="56">
        <f t="array" ref="I191">G191+F191</f>
        <v>823</v>
      </c>
      <c r="J191" s="58"/>
      <c r="K191" s="58"/>
      <c r="L191" s="58"/>
      <c r="M191" s="1"/>
      <c r="N191" s="1"/>
      <c r="O191" s="1"/>
      <c r="P191" s="1"/>
      <c r="Q191" s="1"/>
      <c r="R191" s="1"/>
      <c r="S191" s="1"/>
      <c r="T191" s="1"/>
      <c r="U191" s="1"/>
      <c r="V191" s="1"/>
      <c r="W191" s="1"/>
      <c r="X191" s="1"/>
      <c r="Y191" s="1"/>
      <c r="Z191" s="1"/>
    </row>
    <row r="192" spans="1:26" ht="19.5" customHeight="1">
      <c r="A192" s="3" t="s">
        <v>1250</v>
      </c>
      <c r="B192" s="22" t="s">
        <v>1251</v>
      </c>
      <c r="C192" s="18" t="s">
        <v>1252</v>
      </c>
      <c r="D192" s="58"/>
      <c r="E192" s="58"/>
      <c r="F192" s="75"/>
      <c r="G192" s="75"/>
      <c r="H192" s="58"/>
      <c r="I192" s="56">
        <f t="array" ref="I192">G192+F192</f>
        <v>0</v>
      </c>
      <c r="J192" s="58"/>
      <c r="K192" s="58"/>
      <c r="L192" s="58"/>
      <c r="M192" s="1"/>
      <c r="N192" s="1"/>
      <c r="O192" s="1"/>
      <c r="P192" s="1"/>
      <c r="Q192" s="1"/>
      <c r="R192" s="1"/>
      <c r="S192" s="1"/>
      <c r="T192" s="1"/>
      <c r="U192" s="1"/>
      <c r="V192" s="1"/>
      <c r="W192" s="1"/>
      <c r="X192" s="1"/>
      <c r="Y192" s="1"/>
      <c r="Z192" s="1"/>
    </row>
    <row r="193" spans="1:26" ht="19.5" customHeight="1">
      <c r="A193" s="3" t="s">
        <v>1253</v>
      </c>
      <c r="B193" s="22" t="s">
        <v>1254</v>
      </c>
      <c r="C193" s="18" t="s">
        <v>1255</v>
      </c>
      <c r="D193" s="58"/>
      <c r="E193" s="58"/>
      <c r="F193" s="75"/>
      <c r="G193" s="75"/>
      <c r="H193" s="58"/>
      <c r="I193" s="56">
        <f t="array" ref="I193">G193+F193</f>
        <v>0</v>
      </c>
      <c r="J193" s="58"/>
      <c r="K193" s="58"/>
      <c r="L193" s="58"/>
      <c r="M193" s="1"/>
      <c r="N193" s="1"/>
      <c r="O193" s="1"/>
      <c r="P193" s="1"/>
      <c r="Q193" s="1"/>
      <c r="R193" s="1"/>
      <c r="S193" s="1"/>
      <c r="T193" s="1"/>
      <c r="U193" s="1"/>
      <c r="V193" s="1"/>
      <c r="W193" s="1"/>
      <c r="X193" s="1"/>
      <c r="Y193" s="1"/>
      <c r="Z193" s="1"/>
    </row>
    <row r="194" spans="1:26" ht="19.5" customHeight="1">
      <c r="A194" s="3" t="s">
        <v>1256</v>
      </c>
      <c r="B194" s="22" t="s">
        <v>1257</v>
      </c>
      <c r="C194" s="18" t="s">
        <v>1258</v>
      </c>
      <c r="D194" s="58"/>
      <c r="E194" s="58"/>
      <c r="F194" s="75"/>
      <c r="G194" s="75"/>
      <c r="H194" s="58"/>
      <c r="I194" s="56">
        <f t="array" ref="I194">G194+F194</f>
        <v>0</v>
      </c>
      <c r="J194" s="58"/>
      <c r="K194" s="58"/>
      <c r="L194" s="58"/>
      <c r="M194" s="1"/>
      <c r="N194" s="1"/>
      <c r="O194" s="1"/>
      <c r="P194" s="1"/>
      <c r="Q194" s="1"/>
      <c r="R194" s="1"/>
      <c r="S194" s="1"/>
      <c r="T194" s="1"/>
      <c r="U194" s="1"/>
      <c r="V194" s="1"/>
      <c r="W194" s="1"/>
      <c r="X194" s="1"/>
      <c r="Y194" s="1"/>
      <c r="Z194" s="1"/>
    </row>
    <row r="195" spans="1:26" ht="19.5" customHeight="1">
      <c r="A195" s="3" t="s">
        <v>1259</v>
      </c>
      <c r="B195" s="22" t="s">
        <v>1260</v>
      </c>
      <c r="C195" s="18" t="s">
        <v>1261</v>
      </c>
      <c r="D195" s="58"/>
      <c r="E195" s="58"/>
      <c r="F195" s="75"/>
      <c r="G195" s="75"/>
      <c r="H195" s="58"/>
      <c r="I195" s="56">
        <f t="array" ref="I195">G195+F195</f>
        <v>0</v>
      </c>
      <c r="J195" s="58"/>
      <c r="K195" s="58"/>
      <c r="L195" s="58"/>
      <c r="M195" s="1"/>
      <c r="N195" s="1"/>
      <c r="O195" s="1"/>
      <c r="P195" s="1"/>
      <c r="Q195" s="1"/>
      <c r="R195" s="1"/>
      <c r="S195" s="1"/>
      <c r="T195" s="1"/>
      <c r="U195" s="1"/>
      <c r="V195" s="1"/>
      <c r="W195" s="1"/>
      <c r="X195" s="1"/>
      <c r="Y195" s="1"/>
      <c r="Z195" s="1"/>
    </row>
    <row r="196" spans="1:26" ht="19.5" customHeight="1">
      <c r="A196" s="3" t="s">
        <v>1262</v>
      </c>
      <c r="B196" s="22" t="s">
        <v>1263</v>
      </c>
      <c r="C196" s="18" t="s">
        <v>1264</v>
      </c>
      <c r="D196" s="58"/>
      <c r="E196" s="58"/>
      <c r="F196" s="75"/>
      <c r="G196" s="75"/>
      <c r="H196" s="58"/>
      <c r="I196" s="56">
        <f t="array" ref="I196">G196+F196</f>
        <v>0</v>
      </c>
      <c r="J196" s="58"/>
      <c r="K196" s="58"/>
      <c r="L196" s="58"/>
      <c r="M196" s="1"/>
      <c r="N196" s="1"/>
      <c r="O196" s="1"/>
      <c r="P196" s="1"/>
      <c r="Q196" s="1"/>
      <c r="R196" s="1"/>
      <c r="S196" s="1"/>
      <c r="T196" s="1"/>
      <c r="U196" s="1"/>
      <c r="V196" s="1"/>
      <c r="W196" s="1"/>
      <c r="X196" s="1"/>
      <c r="Y196" s="1"/>
      <c r="Z196" s="1"/>
    </row>
    <row r="197" spans="1:26" ht="19.5" customHeight="1">
      <c r="A197" s="3" t="s">
        <v>1265</v>
      </c>
      <c r="B197" s="22" t="s">
        <v>1266</v>
      </c>
      <c r="C197" s="18" t="s">
        <v>1267</v>
      </c>
      <c r="D197" s="58"/>
      <c r="E197" s="58"/>
      <c r="F197" s="75"/>
      <c r="G197" s="75"/>
      <c r="H197" s="58"/>
      <c r="I197" s="56">
        <f t="array" ref="I197">G197+F197</f>
        <v>0</v>
      </c>
      <c r="J197" s="58"/>
      <c r="K197" s="58"/>
      <c r="L197" s="58"/>
      <c r="M197" s="1"/>
      <c r="N197" s="1"/>
      <c r="O197" s="1"/>
      <c r="P197" s="1"/>
      <c r="Q197" s="1"/>
      <c r="R197" s="1"/>
      <c r="S197" s="1"/>
      <c r="T197" s="1"/>
      <c r="U197" s="1"/>
      <c r="V197" s="1"/>
      <c r="W197" s="1"/>
      <c r="X197" s="1"/>
      <c r="Y197" s="1"/>
      <c r="Z197" s="1"/>
    </row>
    <row r="198" spans="1:26" ht="19.5" customHeight="1">
      <c r="A198" s="3" t="s">
        <v>1268</v>
      </c>
      <c r="B198" s="22" t="s">
        <v>1269</v>
      </c>
      <c r="C198" s="18" t="s">
        <v>1270</v>
      </c>
      <c r="D198" s="58"/>
      <c r="E198" s="58"/>
      <c r="F198" s="75"/>
      <c r="G198" s="75"/>
      <c r="H198" s="58"/>
      <c r="I198" s="56">
        <f t="array" ref="I198">G198+F198</f>
        <v>0</v>
      </c>
      <c r="J198" s="58"/>
      <c r="K198" s="58"/>
      <c r="L198" s="58"/>
      <c r="M198" s="1"/>
      <c r="N198" s="1"/>
      <c r="O198" s="1"/>
      <c r="P198" s="1"/>
      <c r="Q198" s="1"/>
      <c r="R198" s="1"/>
      <c r="S198" s="1"/>
      <c r="T198" s="1"/>
      <c r="U198" s="1"/>
      <c r="V198" s="1"/>
      <c r="W198" s="1"/>
      <c r="X198" s="1"/>
      <c r="Y198" s="1"/>
      <c r="Z198" s="1"/>
    </row>
    <row r="199" spans="1:26" ht="19.5" customHeight="1">
      <c r="A199" s="3" t="s">
        <v>1271</v>
      </c>
      <c r="B199" s="22" t="s">
        <v>1272</v>
      </c>
      <c r="C199" s="18" t="s">
        <v>1273</v>
      </c>
      <c r="D199" s="58"/>
      <c r="E199" s="58"/>
      <c r="F199" s="75"/>
      <c r="G199" s="75"/>
      <c r="H199" s="58"/>
      <c r="I199" s="56">
        <f t="array" ref="I199">G199+F199</f>
        <v>0</v>
      </c>
      <c r="J199" s="58"/>
      <c r="K199" s="58"/>
      <c r="L199" s="58"/>
      <c r="M199" s="1"/>
      <c r="N199" s="1"/>
      <c r="O199" s="1"/>
      <c r="P199" s="1"/>
      <c r="Q199" s="1"/>
      <c r="R199" s="1"/>
      <c r="S199" s="1"/>
      <c r="T199" s="1"/>
      <c r="U199" s="1"/>
      <c r="V199" s="1"/>
      <c r="W199" s="1"/>
      <c r="X199" s="1"/>
      <c r="Y199" s="1"/>
      <c r="Z199" s="1"/>
    </row>
    <row r="200" spans="1:26" ht="19.5" customHeight="1">
      <c r="A200" s="3" t="s">
        <v>1274</v>
      </c>
      <c r="B200" s="22" t="s">
        <v>1275</v>
      </c>
      <c r="C200" s="18" t="s">
        <v>1276</v>
      </c>
      <c r="D200" s="58"/>
      <c r="E200" s="58"/>
      <c r="F200" s="75"/>
      <c r="G200" s="75"/>
      <c r="H200" s="58"/>
      <c r="I200" s="56">
        <f t="array" ref="I200">G200+F200</f>
        <v>0</v>
      </c>
      <c r="J200" s="58"/>
      <c r="K200" s="58"/>
      <c r="L200" s="58"/>
      <c r="M200" s="1"/>
      <c r="N200" s="1"/>
      <c r="O200" s="1"/>
      <c r="P200" s="1"/>
      <c r="Q200" s="1"/>
      <c r="R200" s="1"/>
      <c r="S200" s="1"/>
      <c r="T200" s="1"/>
      <c r="U200" s="1"/>
      <c r="V200" s="1"/>
      <c r="W200" s="1"/>
      <c r="X200" s="1"/>
      <c r="Y200" s="1"/>
      <c r="Z200" s="1"/>
    </row>
    <row r="201" spans="1:26" ht="19.5" customHeight="1">
      <c r="A201" s="3" t="s">
        <v>1277</v>
      </c>
      <c r="B201" s="22" t="s">
        <v>1278</v>
      </c>
      <c r="C201" s="18" t="s">
        <v>1279</v>
      </c>
      <c r="D201" s="58"/>
      <c r="E201" s="58"/>
      <c r="F201" s="75"/>
      <c r="G201" s="75"/>
      <c r="H201" s="58"/>
      <c r="I201" s="56">
        <f t="array" ref="I201">G201+F201</f>
        <v>0</v>
      </c>
      <c r="J201" s="58"/>
      <c r="K201" s="58"/>
      <c r="L201" s="58"/>
      <c r="M201" s="1"/>
      <c r="N201" s="1"/>
      <c r="O201" s="1"/>
      <c r="P201" s="1"/>
      <c r="Q201" s="1"/>
      <c r="R201" s="1"/>
      <c r="S201" s="1"/>
      <c r="T201" s="1"/>
      <c r="U201" s="1"/>
      <c r="V201" s="1"/>
      <c r="W201" s="1"/>
      <c r="X201" s="1"/>
      <c r="Y201" s="1"/>
      <c r="Z201" s="1"/>
    </row>
    <row r="202" spans="1:26" ht="19.5" customHeight="1">
      <c r="A202" s="3" t="s">
        <v>1280</v>
      </c>
      <c r="B202" s="22" t="s">
        <v>1281</v>
      </c>
      <c r="C202" s="18" t="s">
        <v>1282</v>
      </c>
      <c r="D202" s="58"/>
      <c r="E202" s="58"/>
      <c r="F202" s="75"/>
      <c r="G202" s="75"/>
      <c r="H202" s="58"/>
      <c r="I202" s="56">
        <f t="array" ref="I202">G202+F202</f>
        <v>0</v>
      </c>
      <c r="J202" s="58"/>
      <c r="K202" s="58"/>
      <c r="L202" s="58"/>
      <c r="M202" s="1"/>
      <c r="N202" s="1"/>
      <c r="O202" s="1"/>
      <c r="P202" s="1"/>
      <c r="Q202" s="1"/>
      <c r="R202" s="1"/>
      <c r="S202" s="1"/>
      <c r="T202" s="1"/>
      <c r="U202" s="1"/>
      <c r="V202" s="1"/>
      <c r="W202" s="1"/>
      <c r="X202" s="1"/>
      <c r="Y202" s="1"/>
      <c r="Z202" s="1"/>
    </row>
    <row r="203" spans="1:26" ht="19.5" customHeight="1">
      <c r="A203" s="3" t="s">
        <v>1283</v>
      </c>
      <c r="B203" s="22" t="s">
        <v>1284</v>
      </c>
      <c r="C203" s="18" t="s">
        <v>1285</v>
      </c>
      <c r="D203" s="58"/>
      <c r="E203" s="58"/>
      <c r="F203" s="75"/>
      <c r="G203" s="75"/>
      <c r="H203" s="58"/>
      <c r="I203" s="56">
        <f t="array" ref="I203">G203+F203</f>
        <v>0</v>
      </c>
      <c r="J203" s="58"/>
      <c r="K203" s="58"/>
      <c r="L203" s="58"/>
      <c r="M203" s="1"/>
      <c r="N203" s="1"/>
      <c r="O203" s="1"/>
      <c r="P203" s="1"/>
      <c r="Q203" s="1"/>
      <c r="R203" s="1"/>
      <c r="S203" s="1"/>
      <c r="T203" s="1"/>
      <c r="U203" s="1"/>
      <c r="V203" s="1"/>
      <c r="W203" s="1"/>
      <c r="X203" s="1"/>
      <c r="Y203" s="1"/>
      <c r="Z203" s="1"/>
    </row>
    <row r="204" spans="1:26" ht="19.5" customHeight="1">
      <c r="A204" s="3" t="s">
        <v>1286</v>
      </c>
      <c r="B204" s="22" t="s">
        <v>1287</v>
      </c>
      <c r="C204" s="18" t="s">
        <v>1288</v>
      </c>
      <c r="D204" s="58"/>
      <c r="E204" s="58"/>
      <c r="F204" s="75"/>
      <c r="G204" s="75"/>
      <c r="H204" s="58"/>
      <c r="I204" s="56">
        <f t="array" ref="I204">G204+F204</f>
        <v>0</v>
      </c>
      <c r="J204" s="58"/>
      <c r="K204" s="58"/>
      <c r="L204" s="58"/>
      <c r="M204" s="1"/>
      <c r="N204" s="1"/>
      <c r="O204" s="1"/>
      <c r="P204" s="1"/>
      <c r="Q204" s="1"/>
      <c r="R204" s="1"/>
      <c r="S204" s="1"/>
      <c r="T204" s="1"/>
      <c r="U204" s="1"/>
      <c r="V204" s="1"/>
      <c r="W204" s="1"/>
      <c r="X204" s="1"/>
      <c r="Y204" s="1"/>
      <c r="Z204" s="1"/>
    </row>
    <row r="205" spans="1:26" ht="19.5" customHeight="1">
      <c r="A205" s="3" t="s">
        <v>1289</v>
      </c>
      <c r="B205" s="22" t="s">
        <v>1290</v>
      </c>
      <c r="C205" s="18" t="s">
        <v>1291</v>
      </c>
      <c r="D205" s="58"/>
      <c r="E205" s="58"/>
      <c r="F205" s="75"/>
      <c r="G205" s="75"/>
      <c r="H205" s="58"/>
      <c r="I205" s="56">
        <f t="array" ref="I205">G205+F205</f>
        <v>0</v>
      </c>
      <c r="J205" s="58"/>
      <c r="K205" s="58"/>
      <c r="L205" s="58"/>
      <c r="M205" s="1"/>
      <c r="N205" s="1"/>
      <c r="O205" s="1"/>
      <c r="P205" s="1"/>
      <c r="Q205" s="1"/>
      <c r="R205" s="1"/>
      <c r="S205" s="1"/>
      <c r="T205" s="1"/>
      <c r="U205" s="1"/>
      <c r="V205" s="1"/>
      <c r="W205" s="1"/>
      <c r="X205" s="1"/>
      <c r="Y205" s="1"/>
      <c r="Z205" s="1"/>
    </row>
    <row r="206" spans="1:26" ht="19.5" customHeight="1">
      <c r="A206" s="3" t="s">
        <v>1292</v>
      </c>
      <c r="B206" s="22" t="s">
        <v>1293</v>
      </c>
      <c r="C206" s="18" t="s">
        <v>1294</v>
      </c>
      <c r="D206" s="58"/>
      <c r="E206" s="58"/>
      <c r="F206" s="75"/>
      <c r="G206" s="75"/>
      <c r="H206" s="58"/>
      <c r="I206" s="56">
        <f t="array" ref="I206">G206+F206</f>
        <v>0</v>
      </c>
      <c r="J206" s="58"/>
      <c r="K206" s="58"/>
      <c r="L206" s="58"/>
      <c r="M206" s="1"/>
      <c r="N206" s="1"/>
      <c r="O206" s="1"/>
      <c r="P206" s="1"/>
      <c r="Q206" s="1"/>
      <c r="R206" s="1"/>
      <c r="S206" s="1"/>
      <c r="T206" s="1"/>
      <c r="U206" s="1"/>
      <c r="V206" s="1"/>
      <c r="W206" s="1"/>
      <c r="X206" s="1"/>
      <c r="Y206" s="1"/>
      <c r="Z206" s="1"/>
    </row>
    <row r="207" spans="1:26" ht="19.5" customHeight="1">
      <c r="A207" s="3" t="s">
        <v>1295</v>
      </c>
      <c r="B207" s="22" t="s">
        <v>1296</v>
      </c>
      <c r="C207" s="18" t="s">
        <v>1297</v>
      </c>
      <c r="D207" s="58"/>
      <c r="E207" s="58"/>
      <c r="F207" s="75"/>
      <c r="G207" s="75"/>
      <c r="H207" s="58"/>
      <c r="I207" s="56">
        <f t="array" ref="I207">G207+F207</f>
        <v>0</v>
      </c>
      <c r="J207" s="58"/>
      <c r="K207" s="58"/>
      <c r="L207" s="58"/>
      <c r="M207" s="1"/>
      <c r="N207" s="1"/>
      <c r="O207" s="1"/>
      <c r="P207" s="1"/>
      <c r="Q207" s="1"/>
      <c r="R207" s="1"/>
      <c r="S207" s="1"/>
      <c r="T207" s="1"/>
      <c r="U207" s="1"/>
      <c r="V207" s="1"/>
      <c r="W207" s="1"/>
      <c r="X207" s="1"/>
      <c r="Y207" s="1"/>
      <c r="Z207" s="1"/>
    </row>
    <row r="208" spans="1:26" ht="19.5" customHeight="1">
      <c r="A208" s="3" t="s">
        <v>1298</v>
      </c>
      <c r="B208" s="126" t="s">
        <v>1234</v>
      </c>
      <c r="C208" s="53"/>
      <c r="D208" s="58"/>
      <c r="E208" s="58"/>
      <c r="F208" s="56">
        <f t="array" ref="F208">SUM(F187:F207)</f>
        <v>418</v>
      </c>
      <c r="G208" s="56">
        <f t="array" ref="G208">SUM(G187:G207)</f>
        <v>405</v>
      </c>
      <c r="H208" s="58"/>
      <c r="I208" s="56">
        <f t="array" ref="I208">SUM(I187:I207)</f>
        <v>823</v>
      </c>
      <c r="J208" s="58"/>
      <c r="K208" s="58"/>
      <c r="L208" s="58"/>
      <c r="M208" s="1"/>
      <c r="N208" s="1"/>
      <c r="O208" s="1"/>
      <c r="P208" s="1"/>
      <c r="Q208" s="1"/>
      <c r="R208" s="1"/>
      <c r="S208" s="1"/>
      <c r="T208" s="1"/>
      <c r="U208" s="1"/>
      <c r="V208" s="1"/>
      <c r="W208" s="1"/>
      <c r="X208" s="1"/>
      <c r="Y208" s="1"/>
      <c r="Z208" s="1"/>
    </row>
    <row r="209" spans="1:26" ht="19.5" customHeight="1">
      <c r="A209" s="2"/>
      <c r="B209" s="17"/>
      <c r="C209" s="13"/>
      <c r="D209" s="58"/>
      <c r="E209" s="58"/>
      <c r="F209" s="58"/>
      <c r="G209" s="58"/>
      <c r="H209" s="58"/>
      <c r="I209" s="58"/>
      <c r="J209" s="58"/>
      <c r="K209" s="58"/>
      <c r="L209" s="58"/>
      <c r="M209" s="1"/>
      <c r="N209" s="1"/>
      <c r="O209" s="1"/>
      <c r="P209" s="1"/>
      <c r="Q209" s="1"/>
      <c r="R209" s="1"/>
      <c r="S209" s="1"/>
      <c r="T209" s="1"/>
      <c r="U209" s="1"/>
      <c r="V209" s="1"/>
      <c r="W209" s="1"/>
      <c r="X209" s="1"/>
      <c r="Y209" s="1"/>
      <c r="Z209" s="1"/>
    </row>
    <row r="210" spans="1:26" ht="19.5" customHeight="1">
      <c r="A210" s="2"/>
      <c r="B210" s="22" t="s">
        <v>1299</v>
      </c>
      <c r="C210" s="13"/>
      <c r="D210" s="58"/>
      <c r="E210" s="58"/>
      <c r="F210" s="58"/>
      <c r="G210" s="58"/>
      <c r="H210" s="58"/>
      <c r="I210" s="58"/>
      <c r="J210" s="58"/>
      <c r="K210" s="58"/>
      <c r="L210" s="58"/>
      <c r="M210" s="1"/>
      <c r="N210" s="1"/>
      <c r="O210" s="1"/>
      <c r="P210" s="1"/>
      <c r="Q210" s="1"/>
      <c r="R210" s="1"/>
      <c r="S210" s="1"/>
      <c r="T210" s="1"/>
      <c r="U210" s="1"/>
      <c r="V210" s="1"/>
      <c r="W210" s="1"/>
      <c r="X210" s="1"/>
      <c r="Y210" s="1"/>
      <c r="Z210" s="1"/>
    </row>
    <row r="211" spans="1:26" ht="19.5" customHeight="1">
      <c r="A211" s="3" t="s">
        <v>1300</v>
      </c>
      <c r="B211" s="22" t="s">
        <v>1301</v>
      </c>
      <c r="C211" s="18" t="s">
        <v>1302</v>
      </c>
      <c r="D211" s="58"/>
      <c r="E211" s="58"/>
      <c r="F211" s="75"/>
      <c r="G211" s="75"/>
      <c r="H211" s="58"/>
      <c r="I211" s="56">
        <f t="array" ref="I211">G211+F211</f>
        <v>0</v>
      </c>
      <c r="J211" s="58"/>
      <c r="K211" s="58"/>
      <c r="L211" s="58"/>
      <c r="M211" s="1"/>
      <c r="N211" s="1"/>
      <c r="O211" s="1"/>
      <c r="P211" s="1"/>
      <c r="Q211" s="1"/>
      <c r="R211" s="1"/>
      <c r="S211" s="1"/>
      <c r="T211" s="1"/>
      <c r="U211" s="1"/>
      <c r="V211" s="1"/>
      <c r="W211" s="1"/>
      <c r="X211" s="1"/>
      <c r="Y211" s="1"/>
      <c r="Z211" s="1"/>
    </row>
    <row r="212" spans="1:26" ht="19.5" customHeight="1">
      <c r="A212" s="3" t="s">
        <v>1303</v>
      </c>
      <c r="B212" s="22" t="s">
        <v>1304</v>
      </c>
      <c r="C212" s="18" t="s">
        <v>1305</v>
      </c>
      <c r="D212" s="58"/>
      <c r="E212" s="58"/>
      <c r="F212" s="75"/>
      <c r="G212" s="75"/>
      <c r="H212" s="58"/>
      <c r="I212" s="56">
        <f t="array" ref="I212">G212+F212</f>
        <v>0</v>
      </c>
      <c r="J212" s="58"/>
      <c r="K212" s="58"/>
      <c r="L212" s="58"/>
      <c r="M212" s="1"/>
      <c r="N212" s="1"/>
      <c r="O212" s="1"/>
      <c r="P212" s="1"/>
      <c r="Q212" s="1"/>
      <c r="R212" s="1"/>
      <c r="S212" s="1"/>
      <c r="T212" s="1"/>
      <c r="U212" s="1"/>
      <c r="V212" s="1"/>
      <c r="W212" s="1"/>
      <c r="X212" s="1"/>
      <c r="Y212" s="1"/>
      <c r="Z212" s="1"/>
    </row>
    <row r="213" spans="1:26" ht="19.5" customHeight="1">
      <c r="A213" s="3" t="s">
        <v>1306</v>
      </c>
      <c r="B213" s="22" t="s">
        <v>1307</v>
      </c>
      <c r="C213" s="18" t="s">
        <v>1308</v>
      </c>
      <c r="D213" s="58"/>
      <c r="E213" s="58"/>
      <c r="F213" s="75"/>
      <c r="G213" s="75"/>
      <c r="H213" s="58"/>
      <c r="I213" s="56">
        <f t="array" ref="I213">G213+F213</f>
        <v>0</v>
      </c>
      <c r="J213" s="58"/>
      <c r="K213" s="58"/>
      <c r="L213" s="58"/>
      <c r="M213" s="1"/>
      <c r="N213" s="1"/>
      <c r="O213" s="1"/>
      <c r="P213" s="1"/>
      <c r="Q213" s="1"/>
      <c r="R213" s="1"/>
      <c r="S213" s="1"/>
      <c r="T213" s="1"/>
      <c r="U213" s="1"/>
      <c r="V213" s="1"/>
      <c r="W213" s="1"/>
      <c r="X213" s="1"/>
      <c r="Y213" s="1"/>
      <c r="Z213" s="1"/>
    </row>
    <row r="214" spans="1:26" ht="19.5" customHeight="1">
      <c r="A214" s="3" t="s">
        <v>1309</v>
      </c>
      <c r="B214" s="22" t="s">
        <v>1310</v>
      </c>
      <c r="C214" s="18" t="s">
        <v>1311</v>
      </c>
      <c r="D214" s="58"/>
      <c r="E214" s="58"/>
      <c r="F214" s="75"/>
      <c r="G214" s="75"/>
      <c r="H214" s="58"/>
      <c r="I214" s="56">
        <f t="array" ref="I214">G214+F214</f>
        <v>0</v>
      </c>
      <c r="J214" s="58"/>
      <c r="K214" s="58"/>
      <c r="L214" s="58"/>
      <c r="M214" s="1"/>
      <c r="N214" s="1"/>
      <c r="O214" s="1"/>
      <c r="P214" s="1"/>
      <c r="Q214" s="1"/>
      <c r="R214" s="1"/>
      <c r="S214" s="1"/>
      <c r="T214" s="1"/>
      <c r="U214" s="1"/>
      <c r="V214" s="1"/>
      <c r="W214" s="1"/>
      <c r="X214" s="1"/>
      <c r="Y214" s="1"/>
      <c r="Z214" s="1"/>
    </row>
    <row r="215" spans="1:26" ht="19.5" customHeight="1">
      <c r="A215" s="3" t="s">
        <v>1312</v>
      </c>
      <c r="B215" s="22" t="s">
        <v>1313</v>
      </c>
      <c r="C215" s="18" t="s">
        <v>1314</v>
      </c>
      <c r="D215" s="58"/>
      <c r="E215" s="58"/>
      <c r="F215" s="75"/>
      <c r="G215" s="75"/>
      <c r="H215" s="58"/>
      <c r="I215" s="56">
        <f t="array" ref="I215">G215+F215</f>
        <v>0</v>
      </c>
      <c r="J215" s="58"/>
      <c r="K215" s="58"/>
      <c r="L215" s="58"/>
      <c r="M215" s="1"/>
      <c r="N215" s="1"/>
      <c r="O215" s="1"/>
      <c r="P215" s="1"/>
      <c r="Q215" s="1"/>
      <c r="R215" s="1"/>
      <c r="S215" s="1"/>
      <c r="T215" s="1"/>
      <c r="U215" s="1"/>
      <c r="V215" s="1"/>
      <c r="W215" s="1"/>
      <c r="X215" s="1"/>
      <c r="Y215" s="1"/>
      <c r="Z215" s="1"/>
    </row>
    <row r="216" spans="1:26" ht="19.5" customHeight="1">
      <c r="A216" s="3" t="s">
        <v>1315</v>
      </c>
      <c r="B216" s="22" t="s">
        <v>1316</v>
      </c>
      <c r="C216" s="18" t="s">
        <v>1317</v>
      </c>
      <c r="D216" s="58"/>
      <c r="E216" s="58"/>
      <c r="F216" s="75"/>
      <c r="G216" s="75"/>
      <c r="H216" s="58"/>
      <c r="I216" s="56">
        <f t="array" ref="I216">G216+F216</f>
        <v>0</v>
      </c>
      <c r="J216" s="58"/>
      <c r="K216" s="58"/>
      <c r="L216" s="58"/>
      <c r="M216" s="1"/>
      <c r="N216" s="1"/>
      <c r="O216" s="1"/>
      <c r="P216" s="1"/>
      <c r="Q216" s="1"/>
      <c r="R216" s="1"/>
      <c r="S216" s="1"/>
      <c r="T216" s="1"/>
      <c r="U216" s="1"/>
      <c r="V216" s="1"/>
      <c r="W216" s="1"/>
      <c r="X216" s="1"/>
      <c r="Y216" s="1"/>
      <c r="Z216" s="1"/>
    </row>
    <row r="217" spans="1:26" ht="19.5" customHeight="1">
      <c r="A217" s="3" t="s">
        <v>1318</v>
      </c>
      <c r="B217" s="22" t="s">
        <v>1319</v>
      </c>
      <c r="C217" s="18" t="s">
        <v>1320</v>
      </c>
      <c r="D217" s="58"/>
      <c r="E217" s="58"/>
      <c r="F217" s="75"/>
      <c r="G217" s="75"/>
      <c r="H217" s="58"/>
      <c r="I217" s="56">
        <f t="array" ref="I217">G217+F217</f>
        <v>0</v>
      </c>
      <c r="J217" s="58"/>
      <c r="K217" s="58"/>
      <c r="L217" s="58"/>
      <c r="M217" s="1"/>
      <c r="N217" s="1"/>
      <c r="O217" s="1"/>
      <c r="P217" s="1"/>
      <c r="Q217" s="1"/>
      <c r="R217" s="1"/>
      <c r="S217" s="1"/>
      <c r="T217" s="1"/>
      <c r="U217" s="1"/>
      <c r="V217" s="1"/>
      <c r="W217" s="1"/>
      <c r="X217" s="1"/>
      <c r="Y217" s="1"/>
      <c r="Z217" s="1"/>
    </row>
    <row r="218" spans="1:26" ht="19.5" customHeight="1">
      <c r="A218" s="3" t="s">
        <v>1321</v>
      </c>
      <c r="B218" s="22" t="s">
        <v>1322</v>
      </c>
      <c r="C218" s="18" t="s">
        <v>1323</v>
      </c>
      <c r="D218" s="58"/>
      <c r="E218" s="58"/>
      <c r="F218" s="75"/>
      <c r="G218" s="75"/>
      <c r="H218" s="58"/>
      <c r="I218" s="56">
        <f t="array" ref="I218">G218+F218</f>
        <v>0</v>
      </c>
      <c r="J218" s="58"/>
      <c r="K218" s="58"/>
      <c r="L218" s="58"/>
      <c r="M218" s="1"/>
      <c r="N218" s="1"/>
      <c r="O218" s="1"/>
      <c r="P218" s="1"/>
      <c r="Q218" s="1"/>
      <c r="R218" s="1"/>
      <c r="S218" s="1"/>
      <c r="T218" s="1"/>
      <c r="U218" s="1"/>
      <c r="V218" s="1"/>
      <c r="W218" s="1"/>
      <c r="X218" s="1"/>
      <c r="Y218" s="1"/>
      <c r="Z218" s="1"/>
    </row>
    <row r="219" spans="1:26" ht="19.5" customHeight="1">
      <c r="A219" s="3" t="s">
        <v>1324</v>
      </c>
      <c r="B219" s="22" t="s">
        <v>1325</v>
      </c>
      <c r="C219" s="18" t="s">
        <v>1326</v>
      </c>
      <c r="D219" s="58"/>
      <c r="E219" s="58"/>
      <c r="F219" s="75"/>
      <c r="G219" s="75"/>
      <c r="H219" s="58"/>
      <c r="I219" s="56">
        <f t="array" ref="I219">G219+F219</f>
        <v>0</v>
      </c>
      <c r="J219" s="58"/>
      <c r="K219" s="58"/>
      <c r="L219" s="58"/>
      <c r="M219" s="1"/>
      <c r="N219" s="1"/>
      <c r="O219" s="1"/>
      <c r="P219" s="1"/>
      <c r="Q219" s="1"/>
      <c r="R219" s="1"/>
      <c r="S219" s="1"/>
      <c r="T219" s="1"/>
      <c r="U219" s="1"/>
      <c r="V219" s="1"/>
      <c r="W219" s="1"/>
      <c r="X219" s="1"/>
      <c r="Y219" s="1"/>
      <c r="Z219" s="1"/>
    </row>
    <row r="220" spans="1:26" ht="19.5" customHeight="1">
      <c r="A220" s="3" t="s">
        <v>1327</v>
      </c>
      <c r="B220" s="22" t="s">
        <v>1328</v>
      </c>
      <c r="C220" s="18" t="s">
        <v>1329</v>
      </c>
      <c r="D220" s="58"/>
      <c r="E220" s="58"/>
      <c r="F220" s="75"/>
      <c r="G220" s="75"/>
      <c r="H220" s="58"/>
      <c r="I220" s="56">
        <f t="array" ref="I220">G220+F220</f>
        <v>0</v>
      </c>
      <c r="J220" s="58"/>
      <c r="K220" s="58"/>
      <c r="L220" s="58"/>
      <c r="M220" s="1"/>
      <c r="N220" s="1"/>
      <c r="O220" s="1"/>
      <c r="P220" s="1"/>
      <c r="Q220" s="1"/>
      <c r="R220" s="1"/>
      <c r="S220" s="1"/>
      <c r="T220" s="1"/>
      <c r="U220" s="1"/>
      <c r="V220" s="1"/>
      <c r="W220" s="1"/>
      <c r="X220" s="1"/>
      <c r="Y220" s="1"/>
      <c r="Z220" s="1"/>
    </row>
    <row r="221" spans="1:26" ht="19.5" customHeight="1">
      <c r="A221" s="3" t="s">
        <v>1330</v>
      </c>
      <c r="B221" s="22" t="s">
        <v>1331</v>
      </c>
      <c r="C221" s="18" t="s">
        <v>1332</v>
      </c>
      <c r="D221" s="58"/>
      <c r="E221" s="58"/>
      <c r="F221" s="75"/>
      <c r="G221" s="75"/>
      <c r="H221" s="58"/>
      <c r="I221" s="56">
        <f t="array" ref="I221">G221+F221</f>
        <v>0</v>
      </c>
      <c r="J221" s="58"/>
      <c r="K221" s="58"/>
      <c r="L221" s="58"/>
      <c r="M221" s="1"/>
      <c r="N221" s="1"/>
      <c r="O221" s="1"/>
      <c r="P221" s="1"/>
      <c r="Q221" s="1"/>
      <c r="R221" s="1"/>
      <c r="S221" s="1"/>
      <c r="T221" s="1"/>
      <c r="U221" s="1"/>
      <c r="V221" s="1"/>
      <c r="W221" s="1"/>
      <c r="X221" s="1"/>
      <c r="Y221" s="1"/>
      <c r="Z221" s="1"/>
    </row>
    <row r="222" spans="1:26" ht="19.5" customHeight="1">
      <c r="A222" s="3" t="s">
        <v>1333</v>
      </c>
      <c r="B222" s="22" t="s">
        <v>1334</v>
      </c>
      <c r="C222" s="18" t="s">
        <v>1335</v>
      </c>
      <c r="D222" s="58"/>
      <c r="E222" s="58"/>
      <c r="F222" s="75"/>
      <c r="G222" s="75"/>
      <c r="H222" s="58"/>
      <c r="I222" s="56">
        <f t="array" ref="I222">G222+F222</f>
        <v>0</v>
      </c>
      <c r="J222" s="58"/>
      <c r="K222" s="58"/>
      <c r="L222" s="58"/>
      <c r="M222" s="1"/>
      <c r="N222" s="1"/>
      <c r="O222" s="1"/>
      <c r="P222" s="1"/>
      <c r="Q222" s="1"/>
      <c r="R222" s="1"/>
      <c r="S222" s="1"/>
      <c r="T222" s="1"/>
      <c r="U222" s="1"/>
      <c r="V222" s="1"/>
      <c r="W222" s="1"/>
      <c r="X222" s="1"/>
      <c r="Y222" s="1"/>
      <c r="Z222" s="1"/>
    </row>
    <row r="223" spans="1:26" ht="31.5" customHeight="1">
      <c r="A223" s="3" t="s">
        <v>1336</v>
      </c>
      <c r="B223" s="22" t="s">
        <v>1337</v>
      </c>
      <c r="C223" s="18" t="s">
        <v>1338</v>
      </c>
      <c r="D223" s="58"/>
      <c r="E223" s="58"/>
      <c r="F223" s="75"/>
      <c r="G223" s="75"/>
      <c r="H223" s="58"/>
      <c r="I223" s="56">
        <f t="array" ref="I223">G223+F223</f>
        <v>0</v>
      </c>
      <c r="J223" s="58"/>
      <c r="K223" s="58"/>
      <c r="L223" s="58"/>
      <c r="M223" s="1"/>
      <c r="N223" s="1"/>
      <c r="O223" s="1"/>
      <c r="P223" s="1"/>
      <c r="Q223" s="1"/>
      <c r="R223" s="1"/>
      <c r="S223" s="1"/>
      <c r="T223" s="1"/>
      <c r="U223" s="1"/>
      <c r="V223" s="1"/>
      <c r="W223" s="1"/>
      <c r="X223" s="1"/>
      <c r="Y223" s="1"/>
      <c r="Z223" s="1"/>
    </row>
    <row r="224" spans="1:26" ht="19.5" customHeight="1">
      <c r="A224" s="3" t="s">
        <v>1339</v>
      </c>
      <c r="B224" s="22" t="s">
        <v>1340</v>
      </c>
      <c r="C224" s="18" t="s">
        <v>1341</v>
      </c>
      <c r="D224" s="58"/>
      <c r="E224" s="58"/>
      <c r="F224" s="75"/>
      <c r="G224" s="75"/>
      <c r="H224" s="58"/>
      <c r="I224" s="56">
        <f t="array" ref="I224">G224+F224</f>
        <v>0</v>
      </c>
      <c r="J224" s="58"/>
      <c r="K224" s="58"/>
      <c r="L224" s="58"/>
      <c r="M224" s="1"/>
      <c r="N224" s="1"/>
      <c r="O224" s="1"/>
      <c r="P224" s="1"/>
      <c r="Q224" s="1"/>
      <c r="R224" s="1"/>
      <c r="S224" s="1"/>
      <c r="T224" s="1"/>
      <c r="U224" s="1"/>
      <c r="V224" s="1"/>
      <c r="W224" s="1"/>
      <c r="X224" s="1"/>
      <c r="Y224" s="1"/>
      <c r="Z224" s="1"/>
    </row>
    <row r="225" spans="1:26" ht="19.5" customHeight="1">
      <c r="A225" s="3" t="s">
        <v>1342</v>
      </c>
      <c r="B225" s="22" t="s">
        <v>1343</v>
      </c>
      <c r="C225" s="18" t="s">
        <v>1344</v>
      </c>
      <c r="D225" s="58"/>
      <c r="E225" s="58"/>
      <c r="F225" s="75"/>
      <c r="G225" s="75"/>
      <c r="H225" s="58"/>
      <c r="I225" s="56">
        <f t="array" ref="I225">G225+F225</f>
        <v>0</v>
      </c>
      <c r="J225" s="58"/>
      <c r="K225" s="58"/>
      <c r="L225" s="58"/>
      <c r="M225" s="1"/>
      <c r="N225" s="1"/>
      <c r="O225" s="1"/>
      <c r="P225" s="1"/>
      <c r="Q225" s="1"/>
      <c r="R225" s="1"/>
      <c r="S225" s="1"/>
      <c r="T225" s="1"/>
      <c r="U225" s="1"/>
      <c r="V225" s="1"/>
      <c r="W225" s="1"/>
      <c r="X225" s="1"/>
      <c r="Y225" s="1"/>
      <c r="Z225" s="1"/>
    </row>
    <row r="226" spans="1:26" ht="19.5" customHeight="1">
      <c r="A226" s="3" t="s">
        <v>1345</v>
      </c>
      <c r="B226" s="22" t="s">
        <v>1346</v>
      </c>
      <c r="C226" s="18" t="s">
        <v>1347</v>
      </c>
      <c r="D226" s="58"/>
      <c r="E226" s="58"/>
      <c r="F226" s="75"/>
      <c r="G226" s="75"/>
      <c r="H226" s="58"/>
      <c r="I226" s="56">
        <f t="array" ref="I226">G226+F226</f>
        <v>0</v>
      </c>
      <c r="J226" s="58"/>
      <c r="K226" s="58"/>
      <c r="L226" s="58"/>
      <c r="M226" s="1"/>
      <c r="N226" s="1"/>
      <c r="O226" s="1"/>
      <c r="P226" s="1"/>
      <c r="Q226" s="1"/>
      <c r="R226" s="1"/>
      <c r="S226" s="1"/>
      <c r="T226" s="1"/>
      <c r="U226" s="1"/>
      <c r="V226" s="1"/>
      <c r="W226" s="1"/>
      <c r="X226" s="1"/>
      <c r="Y226" s="1"/>
      <c r="Z226" s="1"/>
    </row>
    <row r="227" spans="1:26" ht="19.5" customHeight="1">
      <c r="A227" s="3" t="s">
        <v>1348</v>
      </c>
      <c r="B227" s="22" t="s">
        <v>1349</v>
      </c>
      <c r="C227" s="18" t="s">
        <v>1350</v>
      </c>
      <c r="D227" s="58"/>
      <c r="E227" s="58"/>
      <c r="F227" s="75"/>
      <c r="G227" s="75"/>
      <c r="H227" s="58"/>
      <c r="I227" s="56">
        <f t="array" ref="I227">G227+F227</f>
        <v>0</v>
      </c>
      <c r="J227" s="58"/>
      <c r="K227" s="58"/>
      <c r="L227" s="58"/>
      <c r="M227" s="1"/>
      <c r="N227" s="1"/>
      <c r="O227" s="1"/>
      <c r="P227" s="1"/>
      <c r="Q227" s="1"/>
      <c r="R227" s="1"/>
      <c r="S227" s="1"/>
      <c r="T227" s="1"/>
      <c r="U227" s="1"/>
      <c r="V227" s="1"/>
      <c r="W227" s="1"/>
      <c r="X227" s="1"/>
      <c r="Y227" s="1"/>
      <c r="Z227" s="1"/>
    </row>
    <row r="228" spans="1:26" ht="19.5" customHeight="1">
      <c r="A228" s="3" t="s">
        <v>1351</v>
      </c>
      <c r="B228" s="22" t="s">
        <v>1352</v>
      </c>
      <c r="C228" s="18" t="s">
        <v>1353</v>
      </c>
      <c r="D228" s="58"/>
      <c r="E228" s="58"/>
      <c r="F228" s="75"/>
      <c r="G228" s="75"/>
      <c r="H228" s="58"/>
      <c r="I228" s="56">
        <f t="array" ref="I228">G228+F228</f>
        <v>0</v>
      </c>
      <c r="J228" s="58"/>
      <c r="K228" s="58"/>
      <c r="L228" s="58"/>
      <c r="M228" s="1"/>
      <c r="N228" s="1"/>
      <c r="O228" s="1"/>
      <c r="P228" s="1"/>
      <c r="Q228" s="1"/>
      <c r="R228" s="1"/>
      <c r="S228" s="1"/>
      <c r="T228" s="1"/>
      <c r="U228" s="1"/>
      <c r="V228" s="1"/>
      <c r="W228" s="1"/>
      <c r="X228" s="1"/>
      <c r="Y228" s="1"/>
      <c r="Z228" s="1"/>
    </row>
    <row r="229" spans="1:26" ht="19.5" customHeight="1">
      <c r="A229" s="3" t="s">
        <v>1354</v>
      </c>
      <c r="B229" s="22" t="s">
        <v>1355</v>
      </c>
      <c r="C229" s="18" t="s">
        <v>1356</v>
      </c>
      <c r="D229" s="58"/>
      <c r="E229" s="58"/>
      <c r="F229" s="75"/>
      <c r="G229" s="75"/>
      <c r="H229" s="58"/>
      <c r="I229" s="56">
        <f t="array" ref="I229">G229+F229</f>
        <v>0</v>
      </c>
      <c r="J229" s="58"/>
      <c r="K229" s="58"/>
      <c r="L229" s="58"/>
      <c r="M229" s="1"/>
      <c r="N229" s="1"/>
      <c r="O229" s="1"/>
      <c r="P229" s="1"/>
      <c r="Q229" s="1"/>
      <c r="R229" s="1"/>
      <c r="S229" s="1"/>
      <c r="T229" s="1"/>
      <c r="U229" s="1"/>
      <c r="V229" s="1"/>
      <c r="W229" s="1"/>
      <c r="X229" s="1"/>
      <c r="Y229" s="1"/>
      <c r="Z229" s="1"/>
    </row>
    <row r="230" spans="1:26" ht="19.5" customHeight="1">
      <c r="A230" s="3" t="s">
        <v>1357</v>
      </c>
      <c r="B230" s="22" t="s">
        <v>1358</v>
      </c>
      <c r="C230" s="18" t="s">
        <v>1359</v>
      </c>
      <c r="D230" s="58"/>
      <c r="E230" s="58"/>
      <c r="F230" s="75"/>
      <c r="G230" s="75"/>
      <c r="H230" s="58"/>
      <c r="I230" s="56">
        <f t="array" ref="I230">G230+F230</f>
        <v>0</v>
      </c>
      <c r="J230" s="58"/>
      <c r="K230" s="58"/>
      <c r="L230" s="58"/>
      <c r="M230" s="1"/>
      <c r="N230" s="1"/>
      <c r="O230" s="1"/>
      <c r="P230" s="1"/>
      <c r="Q230" s="1"/>
      <c r="R230" s="1"/>
      <c r="S230" s="1"/>
      <c r="T230" s="1"/>
      <c r="U230" s="1"/>
      <c r="V230" s="1"/>
      <c r="W230" s="1"/>
      <c r="X230" s="1"/>
      <c r="Y230" s="1"/>
      <c r="Z230" s="1"/>
    </row>
    <row r="231" spans="1:26" ht="19.5" customHeight="1">
      <c r="A231" s="3" t="s">
        <v>1360</v>
      </c>
      <c r="B231" s="22" t="s">
        <v>1361</v>
      </c>
      <c r="C231" s="18" t="s">
        <v>1362</v>
      </c>
      <c r="D231" s="58"/>
      <c r="E231" s="58"/>
      <c r="F231" s="75"/>
      <c r="G231" s="75"/>
      <c r="H231" s="58"/>
      <c r="I231" s="56">
        <f t="array" ref="I231">G231+F231</f>
        <v>0</v>
      </c>
      <c r="J231" s="58"/>
      <c r="K231" s="58"/>
      <c r="L231" s="58"/>
      <c r="M231" s="1"/>
      <c r="N231" s="1"/>
      <c r="O231" s="1"/>
      <c r="P231" s="1"/>
      <c r="Q231" s="1"/>
      <c r="R231" s="1"/>
      <c r="S231" s="1"/>
      <c r="T231" s="1"/>
      <c r="U231" s="1"/>
      <c r="V231" s="1"/>
      <c r="W231" s="1"/>
      <c r="X231" s="1"/>
      <c r="Y231" s="1"/>
      <c r="Z231" s="1"/>
    </row>
    <row r="232" spans="1:26" ht="19.5" customHeight="1">
      <c r="A232" s="3" t="s">
        <v>1363</v>
      </c>
      <c r="B232" s="22" t="s">
        <v>1364</v>
      </c>
      <c r="C232" s="18" t="s">
        <v>1365</v>
      </c>
      <c r="D232" s="58"/>
      <c r="E232" s="58"/>
      <c r="F232" s="75"/>
      <c r="G232" s="75"/>
      <c r="H232" s="58"/>
      <c r="I232" s="56">
        <f t="array" ref="I232">G232+F232</f>
        <v>0</v>
      </c>
      <c r="J232" s="58"/>
      <c r="K232" s="58"/>
      <c r="L232" s="58"/>
      <c r="M232" s="1"/>
      <c r="N232" s="1"/>
      <c r="O232" s="1"/>
      <c r="P232" s="1"/>
      <c r="Q232" s="1"/>
      <c r="R232" s="1"/>
      <c r="S232" s="1"/>
      <c r="T232" s="1"/>
      <c r="U232" s="1"/>
      <c r="V232" s="1"/>
      <c r="W232" s="1"/>
      <c r="X232" s="1"/>
      <c r="Y232" s="1"/>
      <c r="Z232" s="1"/>
    </row>
    <row r="233" spans="1:26" ht="19.5" customHeight="1">
      <c r="A233" s="3" t="s">
        <v>1366</v>
      </c>
      <c r="B233" s="22" t="s">
        <v>1367</v>
      </c>
      <c r="C233" s="18" t="s">
        <v>1368</v>
      </c>
      <c r="D233" s="58"/>
      <c r="E233" s="58"/>
      <c r="F233" s="75"/>
      <c r="G233" s="75"/>
      <c r="H233" s="58"/>
      <c r="I233" s="56">
        <f t="array" ref="I233">G233+F233</f>
        <v>0</v>
      </c>
      <c r="J233" s="58"/>
      <c r="K233" s="58"/>
      <c r="L233" s="58"/>
      <c r="M233" s="1"/>
      <c r="N233" s="1"/>
      <c r="O233" s="1"/>
      <c r="P233" s="1"/>
      <c r="Q233" s="1"/>
      <c r="R233" s="1"/>
      <c r="S233" s="1"/>
      <c r="T233" s="1"/>
      <c r="U233" s="1"/>
      <c r="V233" s="1"/>
      <c r="W233" s="1"/>
      <c r="X233" s="1"/>
      <c r="Y233" s="1"/>
      <c r="Z233" s="1"/>
    </row>
    <row r="234" spans="1:26" ht="19.5" customHeight="1">
      <c r="A234" s="3" t="s">
        <v>1369</v>
      </c>
      <c r="B234" s="22" t="s">
        <v>1370</v>
      </c>
      <c r="C234" s="18" t="s">
        <v>1371</v>
      </c>
      <c r="D234" s="58"/>
      <c r="E234" s="58"/>
      <c r="F234" s="75"/>
      <c r="G234" s="75"/>
      <c r="H234" s="58"/>
      <c r="I234" s="56">
        <f t="array" ref="I234">G234+F234</f>
        <v>0</v>
      </c>
      <c r="J234" s="58"/>
      <c r="K234" s="58"/>
      <c r="L234" s="58"/>
      <c r="M234" s="1"/>
      <c r="N234" s="1"/>
      <c r="O234" s="1"/>
      <c r="P234" s="1"/>
      <c r="Q234" s="1"/>
      <c r="R234" s="1"/>
      <c r="S234" s="1"/>
      <c r="T234" s="1"/>
      <c r="U234" s="1"/>
      <c r="V234" s="1"/>
      <c r="W234" s="1"/>
      <c r="X234" s="1"/>
      <c r="Y234" s="1"/>
      <c r="Z234" s="1"/>
    </row>
    <row r="235" spans="1:26" ht="19.5" customHeight="1">
      <c r="A235" s="3" t="s">
        <v>1372</v>
      </c>
      <c r="B235" s="22" t="s">
        <v>1373</v>
      </c>
      <c r="C235" s="18" t="s">
        <v>1374</v>
      </c>
      <c r="D235" s="58"/>
      <c r="E235" s="58"/>
      <c r="F235" s="75"/>
      <c r="G235" s="75"/>
      <c r="H235" s="58"/>
      <c r="I235" s="56">
        <f t="array" ref="I235">G235+F235</f>
        <v>0</v>
      </c>
      <c r="J235" s="58"/>
      <c r="K235" s="58"/>
      <c r="L235" s="58"/>
      <c r="M235" s="1"/>
      <c r="N235" s="1"/>
      <c r="O235" s="1"/>
      <c r="P235" s="1"/>
      <c r="Q235" s="1"/>
      <c r="R235" s="1"/>
      <c r="S235" s="1"/>
      <c r="T235" s="1"/>
      <c r="U235" s="1"/>
      <c r="V235" s="1"/>
      <c r="W235" s="1"/>
      <c r="X235" s="1"/>
      <c r="Y235" s="1"/>
      <c r="Z235" s="1"/>
    </row>
    <row r="236" spans="1:26" ht="19.5" customHeight="1">
      <c r="A236" s="3" t="s">
        <v>1375</v>
      </c>
      <c r="B236" s="22" t="s">
        <v>1376</v>
      </c>
      <c r="C236" s="18" t="s">
        <v>1377</v>
      </c>
      <c r="D236" s="58"/>
      <c r="E236" s="58"/>
      <c r="F236" s="75"/>
      <c r="G236" s="75"/>
      <c r="H236" s="58"/>
      <c r="I236" s="56">
        <f t="array" ref="I236">G236+F236</f>
        <v>0</v>
      </c>
      <c r="J236" s="58"/>
      <c r="K236" s="58"/>
      <c r="L236" s="58"/>
      <c r="M236" s="1"/>
      <c r="N236" s="1"/>
      <c r="O236" s="1"/>
      <c r="P236" s="1"/>
      <c r="Q236" s="1"/>
      <c r="R236" s="1"/>
      <c r="S236" s="1"/>
      <c r="T236" s="1"/>
      <c r="U236" s="1"/>
      <c r="V236" s="1"/>
      <c r="W236" s="1"/>
      <c r="X236" s="1"/>
      <c r="Y236" s="1"/>
      <c r="Z236" s="1"/>
    </row>
    <row r="237" spans="1:26" ht="19.5" customHeight="1">
      <c r="A237" s="3" t="s">
        <v>1378</v>
      </c>
      <c r="B237" s="22" t="s">
        <v>1379</v>
      </c>
      <c r="C237" s="18" t="s">
        <v>1380</v>
      </c>
      <c r="D237" s="58"/>
      <c r="E237" s="58"/>
      <c r="F237" s="75"/>
      <c r="G237" s="75"/>
      <c r="H237" s="58"/>
      <c r="I237" s="56">
        <f t="array" ref="I237">G237+F237</f>
        <v>0</v>
      </c>
      <c r="J237" s="58"/>
      <c r="K237" s="58"/>
      <c r="L237" s="58"/>
      <c r="M237" s="1"/>
      <c r="N237" s="1"/>
      <c r="O237" s="1"/>
      <c r="P237" s="1"/>
      <c r="Q237" s="1"/>
      <c r="R237" s="1"/>
      <c r="S237" s="1"/>
      <c r="T237" s="1"/>
      <c r="U237" s="1"/>
      <c r="V237" s="1"/>
      <c r="W237" s="1"/>
      <c r="X237" s="1"/>
      <c r="Y237" s="1"/>
      <c r="Z237" s="1"/>
    </row>
    <row r="238" spans="1:26" ht="19.5" customHeight="1">
      <c r="A238" s="3" t="s">
        <v>1381</v>
      </c>
      <c r="B238" s="22" t="s">
        <v>1382</v>
      </c>
      <c r="C238" s="18" t="s">
        <v>1383</v>
      </c>
      <c r="D238" s="58"/>
      <c r="E238" s="58"/>
      <c r="F238" s="75"/>
      <c r="G238" s="75"/>
      <c r="H238" s="58"/>
      <c r="I238" s="56">
        <f t="array" ref="I238">G238+F238</f>
        <v>0</v>
      </c>
      <c r="J238" s="58"/>
      <c r="K238" s="58"/>
      <c r="L238" s="58"/>
      <c r="M238" s="1"/>
      <c r="N238" s="1"/>
      <c r="O238" s="1"/>
      <c r="P238" s="1"/>
      <c r="Q238" s="1"/>
      <c r="R238" s="1"/>
      <c r="S238" s="1"/>
      <c r="T238" s="1"/>
      <c r="U238" s="1"/>
      <c r="V238" s="1"/>
      <c r="W238" s="1"/>
      <c r="X238" s="1"/>
      <c r="Y238" s="1"/>
      <c r="Z238" s="1"/>
    </row>
    <row r="239" spans="1:26" ht="19.5" customHeight="1">
      <c r="A239" s="3" t="s">
        <v>1384</v>
      </c>
      <c r="B239" s="22" t="s">
        <v>1385</v>
      </c>
      <c r="C239" s="18" t="s">
        <v>1386</v>
      </c>
      <c r="D239" s="58"/>
      <c r="E239" s="58"/>
      <c r="F239" s="75"/>
      <c r="G239" s="75"/>
      <c r="H239" s="58"/>
      <c r="I239" s="56">
        <f t="array" ref="I239">G239+F239</f>
        <v>0</v>
      </c>
      <c r="J239" s="58"/>
      <c r="K239" s="58"/>
      <c r="L239" s="58"/>
      <c r="M239" s="1"/>
      <c r="N239" s="1"/>
      <c r="O239" s="1"/>
      <c r="P239" s="1"/>
      <c r="Q239" s="1"/>
      <c r="R239" s="1"/>
      <c r="S239" s="1"/>
      <c r="T239" s="1"/>
      <c r="U239" s="1"/>
      <c r="V239" s="1"/>
      <c r="W239" s="1"/>
      <c r="X239" s="1"/>
      <c r="Y239" s="1"/>
      <c r="Z239" s="1"/>
    </row>
    <row r="240" spans="1:26" ht="19.5" customHeight="1">
      <c r="A240" s="3" t="s">
        <v>1387</v>
      </c>
      <c r="B240" s="22" t="s">
        <v>1388</v>
      </c>
      <c r="C240" s="18" t="s">
        <v>1389</v>
      </c>
      <c r="D240" s="58"/>
      <c r="E240" s="58"/>
      <c r="F240" s="75"/>
      <c r="G240" s="75"/>
      <c r="H240" s="58"/>
      <c r="I240" s="56">
        <f t="array" ref="I240">G240+F240</f>
        <v>0</v>
      </c>
      <c r="J240" s="58"/>
      <c r="K240" s="58"/>
      <c r="L240" s="58"/>
      <c r="M240" s="1"/>
      <c r="N240" s="1"/>
      <c r="O240" s="1"/>
      <c r="P240" s="1"/>
      <c r="Q240" s="1"/>
      <c r="R240" s="1"/>
      <c r="S240" s="1"/>
      <c r="T240" s="1"/>
      <c r="U240" s="1"/>
      <c r="V240" s="1"/>
      <c r="W240" s="1"/>
      <c r="X240" s="1"/>
      <c r="Y240" s="1"/>
      <c r="Z240" s="1"/>
    </row>
    <row r="241" spans="1:26" ht="19.5" customHeight="1">
      <c r="A241" s="3" t="s">
        <v>1390</v>
      </c>
      <c r="B241" s="22" t="s">
        <v>1391</v>
      </c>
      <c r="C241" s="18" t="s">
        <v>1392</v>
      </c>
      <c r="D241" s="58"/>
      <c r="E241" s="58"/>
      <c r="F241" s="75"/>
      <c r="G241" s="75"/>
      <c r="H241" s="58"/>
      <c r="I241" s="56">
        <f t="array" ref="I241">G241+F241</f>
        <v>0</v>
      </c>
      <c r="J241" s="58"/>
      <c r="K241" s="58"/>
      <c r="L241" s="58"/>
      <c r="M241" s="1"/>
      <c r="N241" s="1"/>
      <c r="O241" s="1"/>
      <c r="P241" s="1"/>
      <c r="Q241" s="1"/>
      <c r="R241" s="1"/>
      <c r="S241" s="1"/>
      <c r="T241" s="1"/>
      <c r="U241" s="1"/>
      <c r="V241" s="1"/>
      <c r="W241" s="1"/>
      <c r="X241" s="1"/>
      <c r="Y241" s="1"/>
      <c r="Z241" s="1"/>
    </row>
    <row r="242" spans="1:26" ht="19.5" customHeight="1">
      <c r="A242" s="3" t="s">
        <v>1393</v>
      </c>
      <c r="B242" s="22" t="s">
        <v>1394</v>
      </c>
      <c r="C242" s="18" t="s">
        <v>1395</v>
      </c>
      <c r="D242" s="58"/>
      <c r="E242" s="58"/>
      <c r="F242" s="75"/>
      <c r="G242" s="75"/>
      <c r="H242" s="58"/>
      <c r="I242" s="56">
        <f t="array" ref="I242">G242+F242</f>
        <v>0</v>
      </c>
      <c r="J242" s="58"/>
      <c r="K242" s="58"/>
      <c r="L242" s="58"/>
      <c r="M242" s="1"/>
      <c r="N242" s="1"/>
      <c r="O242" s="1"/>
      <c r="P242" s="1"/>
      <c r="Q242" s="1"/>
      <c r="R242" s="1"/>
      <c r="S242" s="1"/>
      <c r="T242" s="1"/>
      <c r="U242" s="1"/>
      <c r="V242" s="1"/>
      <c r="W242" s="1"/>
      <c r="X242" s="1"/>
      <c r="Y242" s="1"/>
      <c r="Z242" s="1"/>
    </row>
    <row r="243" spans="1:26" ht="19.5" customHeight="1">
      <c r="A243" s="3" t="s">
        <v>1396</v>
      </c>
      <c r="B243" s="126" t="s">
        <v>1299</v>
      </c>
      <c r="C243" s="53"/>
      <c r="D243" s="58"/>
      <c r="E243" s="58"/>
      <c r="F243" s="56">
        <f t="array" ref="F243">SUM(F211:F242)</f>
        <v>0</v>
      </c>
      <c r="G243" s="56">
        <f t="array" ref="G243">SUM(G211:G242)</f>
        <v>0</v>
      </c>
      <c r="H243" s="58"/>
      <c r="I243" s="56">
        <f t="array" ref="I243">SUM(I211:I242)</f>
        <v>0</v>
      </c>
      <c r="J243" s="58"/>
      <c r="K243" s="58"/>
      <c r="L243" s="58"/>
      <c r="M243" s="1"/>
      <c r="N243" s="1"/>
      <c r="O243" s="1"/>
      <c r="P243" s="1"/>
      <c r="Q243" s="1"/>
      <c r="R243" s="1"/>
      <c r="S243" s="1"/>
      <c r="T243" s="1"/>
      <c r="U243" s="1"/>
      <c r="V243" s="1"/>
      <c r="W243" s="1"/>
      <c r="X243" s="1"/>
      <c r="Y243" s="1"/>
      <c r="Z243" s="1"/>
    </row>
    <row r="244" spans="1:26" ht="19.5" customHeight="1">
      <c r="A244" s="2"/>
      <c r="B244" s="17"/>
      <c r="C244" s="13"/>
      <c r="D244" s="58"/>
      <c r="E244" s="58"/>
      <c r="F244" s="58"/>
      <c r="G244" s="58"/>
      <c r="H244" s="58"/>
      <c r="I244" s="58"/>
      <c r="J244" s="58"/>
      <c r="K244" s="58"/>
      <c r="L244" s="58"/>
      <c r="M244" s="1"/>
      <c r="N244" s="1"/>
      <c r="O244" s="1"/>
      <c r="P244" s="1"/>
      <c r="Q244" s="1"/>
      <c r="R244" s="1"/>
      <c r="S244" s="1"/>
      <c r="T244" s="1"/>
      <c r="U244" s="1"/>
      <c r="V244" s="1"/>
      <c r="W244" s="1"/>
      <c r="X244" s="1"/>
      <c r="Y244" s="1"/>
      <c r="Z244" s="1"/>
    </row>
    <row r="245" spans="1:26" ht="19.5" customHeight="1">
      <c r="A245" s="2"/>
      <c r="B245" s="127" t="s">
        <v>1397</v>
      </c>
      <c r="C245" s="13"/>
      <c r="D245" s="58"/>
      <c r="E245" s="58"/>
      <c r="F245" s="58"/>
      <c r="G245" s="58"/>
      <c r="H245" s="58"/>
      <c r="I245" s="58"/>
      <c r="J245" s="58"/>
      <c r="K245" s="58"/>
      <c r="L245" s="58"/>
      <c r="M245" s="1"/>
      <c r="N245" s="1"/>
      <c r="O245" s="1"/>
      <c r="P245" s="1"/>
      <c r="Q245" s="1"/>
      <c r="R245" s="1"/>
      <c r="S245" s="1"/>
      <c r="T245" s="1"/>
      <c r="U245" s="1"/>
      <c r="V245" s="1"/>
      <c r="W245" s="1"/>
      <c r="X245" s="1"/>
      <c r="Y245" s="1"/>
      <c r="Z245" s="1"/>
    </row>
    <row r="246" spans="1:26" ht="19.5" customHeight="1">
      <c r="A246" s="3" t="s">
        <v>1398</v>
      </c>
      <c r="B246" s="22" t="s">
        <v>1399</v>
      </c>
      <c r="C246" s="18" t="s">
        <v>1400</v>
      </c>
      <c r="D246" s="58"/>
      <c r="E246" s="58"/>
      <c r="F246" s="75"/>
      <c r="G246" s="75"/>
      <c r="H246" s="58"/>
      <c r="I246" s="56">
        <f t="array" ref="I246">G246+F246</f>
        <v>0</v>
      </c>
      <c r="J246" s="58"/>
      <c r="K246" s="58"/>
      <c r="L246" s="58"/>
      <c r="M246" s="1"/>
      <c r="N246" s="1"/>
      <c r="O246" s="1"/>
      <c r="P246" s="1"/>
      <c r="Q246" s="1"/>
      <c r="R246" s="1"/>
      <c r="S246" s="1"/>
      <c r="T246" s="1"/>
      <c r="U246" s="1"/>
      <c r="V246" s="1"/>
      <c r="W246" s="1"/>
      <c r="X246" s="1"/>
      <c r="Y246" s="1"/>
      <c r="Z246" s="1"/>
    </row>
    <row r="247" spans="1:26" ht="19.5" customHeight="1">
      <c r="A247" s="3" t="s">
        <v>1401</v>
      </c>
      <c r="B247" s="22" t="s">
        <v>1402</v>
      </c>
      <c r="C247" s="18" t="s">
        <v>1403</v>
      </c>
      <c r="D247" s="58"/>
      <c r="E247" s="58"/>
      <c r="F247" s="75"/>
      <c r="G247" s="75"/>
      <c r="H247" s="58"/>
      <c r="I247" s="56">
        <f t="array" ref="I247">G247+F247</f>
        <v>0</v>
      </c>
      <c r="J247" s="58"/>
      <c r="K247" s="58"/>
      <c r="L247" s="58"/>
      <c r="M247" s="1"/>
      <c r="N247" s="1"/>
      <c r="O247" s="1"/>
      <c r="P247" s="1"/>
      <c r="Q247" s="1"/>
      <c r="R247" s="1"/>
      <c r="S247" s="1"/>
      <c r="T247" s="1"/>
      <c r="U247" s="1"/>
      <c r="V247" s="1"/>
      <c r="W247" s="1"/>
      <c r="X247" s="1"/>
      <c r="Y247" s="1"/>
      <c r="Z247" s="1"/>
    </row>
    <row r="248" spans="1:26" ht="19.5" customHeight="1">
      <c r="A248" s="3" t="s">
        <v>1404</v>
      </c>
      <c r="B248" s="22" t="s">
        <v>1405</v>
      </c>
      <c r="C248" s="18" t="s">
        <v>1406</v>
      </c>
      <c r="D248" s="58"/>
      <c r="E248" s="58"/>
      <c r="F248" s="75"/>
      <c r="G248" s="75"/>
      <c r="H248" s="58"/>
      <c r="I248" s="56">
        <f t="array" ref="I248">G248+F248</f>
        <v>0</v>
      </c>
      <c r="J248" s="58"/>
      <c r="K248" s="58"/>
      <c r="L248" s="58"/>
      <c r="M248" s="1"/>
      <c r="N248" s="1"/>
      <c r="O248" s="1"/>
      <c r="P248" s="1"/>
      <c r="Q248" s="1"/>
      <c r="R248" s="1"/>
      <c r="S248" s="1"/>
      <c r="T248" s="1"/>
      <c r="U248" s="1"/>
      <c r="V248" s="1"/>
      <c r="W248" s="1"/>
      <c r="X248" s="1"/>
      <c r="Y248" s="1"/>
      <c r="Z248" s="1"/>
    </row>
    <row r="249" spans="1:26" ht="19.5" customHeight="1">
      <c r="A249" s="3" t="s">
        <v>1407</v>
      </c>
      <c r="B249" s="22" t="s">
        <v>1408</v>
      </c>
      <c r="C249" s="18" t="s">
        <v>1409</v>
      </c>
      <c r="D249" s="58"/>
      <c r="E249" s="58"/>
      <c r="F249" s="75"/>
      <c r="G249" s="75"/>
      <c r="H249" s="58"/>
      <c r="I249" s="56">
        <f t="array" ref="I249">G249+F249</f>
        <v>0</v>
      </c>
      <c r="J249" s="58"/>
      <c r="K249" s="58"/>
      <c r="L249" s="58"/>
      <c r="M249" s="1"/>
      <c r="N249" s="1"/>
      <c r="O249" s="1"/>
      <c r="P249" s="1"/>
      <c r="Q249" s="1"/>
      <c r="R249" s="1"/>
      <c r="S249" s="1"/>
      <c r="T249" s="1"/>
      <c r="U249" s="1"/>
      <c r="V249" s="1"/>
      <c r="W249" s="1"/>
      <c r="X249" s="1"/>
      <c r="Y249" s="1"/>
      <c r="Z249" s="1"/>
    </row>
    <row r="250" spans="1:26" ht="19.5" customHeight="1">
      <c r="A250" s="3" t="s">
        <v>1410</v>
      </c>
      <c r="B250" s="22" t="s">
        <v>1411</v>
      </c>
      <c r="C250" s="18" t="s">
        <v>1412</v>
      </c>
      <c r="D250" s="58"/>
      <c r="E250" s="58"/>
      <c r="F250" s="75"/>
      <c r="G250" s="75"/>
      <c r="H250" s="58"/>
      <c r="I250" s="56">
        <f t="array" ref="I250">G250+F250</f>
        <v>0</v>
      </c>
      <c r="J250" s="58"/>
      <c r="K250" s="58"/>
      <c r="L250" s="58"/>
      <c r="M250" s="1"/>
      <c r="N250" s="1"/>
      <c r="O250" s="1"/>
      <c r="P250" s="1"/>
      <c r="Q250" s="1"/>
      <c r="R250" s="1"/>
      <c r="S250" s="1"/>
      <c r="T250" s="1"/>
      <c r="U250" s="1"/>
      <c r="V250" s="1"/>
      <c r="W250" s="1"/>
      <c r="X250" s="1"/>
      <c r="Y250" s="1"/>
      <c r="Z250" s="1"/>
    </row>
    <row r="251" spans="1:26" ht="19.5" customHeight="1">
      <c r="A251" s="3" t="s">
        <v>1413</v>
      </c>
      <c r="B251" s="22" t="s">
        <v>1414</v>
      </c>
      <c r="C251" s="18" t="s">
        <v>1415</v>
      </c>
      <c r="D251" s="58"/>
      <c r="E251" s="58"/>
      <c r="F251" s="75"/>
      <c r="G251" s="75"/>
      <c r="H251" s="58"/>
      <c r="I251" s="56">
        <f t="array" ref="I251">G251+F251</f>
        <v>0</v>
      </c>
      <c r="J251" s="58"/>
      <c r="K251" s="58"/>
      <c r="L251" s="58"/>
      <c r="M251" s="1"/>
      <c r="N251" s="1"/>
      <c r="O251" s="1"/>
      <c r="P251" s="1"/>
      <c r="Q251" s="1"/>
      <c r="R251" s="1"/>
      <c r="S251" s="1"/>
      <c r="T251" s="1"/>
      <c r="U251" s="1"/>
      <c r="V251" s="1"/>
      <c r="W251" s="1"/>
      <c r="X251" s="1"/>
      <c r="Y251" s="1"/>
      <c r="Z251" s="1"/>
    </row>
    <row r="252" spans="1:26" ht="19.5" customHeight="1">
      <c r="A252" s="3" t="s">
        <v>1416</v>
      </c>
      <c r="B252" s="22" t="s">
        <v>1417</v>
      </c>
      <c r="C252" s="18" t="s">
        <v>1418</v>
      </c>
      <c r="D252" s="58"/>
      <c r="E252" s="58"/>
      <c r="F252" s="75"/>
      <c r="G252" s="75"/>
      <c r="H252" s="58"/>
      <c r="I252" s="56">
        <f t="array" ref="I252">G252+F252</f>
        <v>0</v>
      </c>
      <c r="J252" s="58"/>
      <c r="K252" s="58"/>
      <c r="L252" s="58"/>
      <c r="M252" s="1"/>
      <c r="N252" s="1"/>
      <c r="O252" s="1"/>
      <c r="P252" s="1"/>
      <c r="Q252" s="1"/>
      <c r="R252" s="1"/>
      <c r="S252" s="1"/>
      <c r="T252" s="1"/>
      <c r="U252" s="1"/>
      <c r="V252" s="1"/>
      <c r="W252" s="1"/>
      <c r="X252" s="1"/>
      <c r="Y252" s="1"/>
      <c r="Z252" s="1"/>
    </row>
    <row r="253" spans="1:26" ht="19.5" customHeight="1">
      <c r="A253" s="3" t="s">
        <v>1419</v>
      </c>
      <c r="B253" s="22" t="s">
        <v>1420</v>
      </c>
      <c r="C253" s="18" t="s">
        <v>1421</v>
      </c>
      <c r="D253" s="58"/>
      <c r="E253" s="58"/>
      <c r="F253" s="75"/>
      <c r="G253" s="75"/>
      <c r="H253" s="58"/>
      <c r="I253" s="56">
        <f t="array" ref="I253">G253+F253</f>
        <v>0</v>
      </c>
      <c r="J253" s="58"/>
      <c r="K253" s="58"/>
      <c r="L253" s="58"/>
      <c r="M253" s="1"/>
      <c r="N253" s="1"/>
      <c r="O253" s="1"/>
      <c r="P253" s="1"/>
      <c r="Q253" s="1"/>
      <c r="R253" s="1"/>
      <c r="S253" s="1"/>
      <c r="T253" s="1"/>
      <c r="U253" s="1"/>
      <c r="V253" s="1"/>
      <c r="W253" s="1"/>
      <c r="X253" s="1"/>
      <c r="Y253" s="1"/>
      <c r="Z253" s="1"/>
    </row>
    <row r="254" spans="1:26" ht="19.5" customHeight="1">
      <c r="A254" s="3" t="s">
        <v>1422</v>
      </c>
      <c r="B254" s="22" t="s">
        <v>1423</v>
      </c>
      <c r="C254" s="18" t="s">
        <v>1424</v>
      </c>
      <c r="D254" s="58"/>
      <c r="E254" s="58"/>
      <c r="F254" s="75"/>
      <c r="G254" s="75"/>
      <c r="H254" s="58"/>
      <c r="I254" s="56">
        <f t="array" ref="I254">G254+F254</f>
        <v>0</v>
      </c>
      <c r="J254" s="58"/>
      <c r="K254" s="58"/>
      <c r="L254" s="58"/>
      <c r="M254" s="1"/>
      <c r="N254" s="1"/>
      <c r="O254" s="1"/>
      <c r="P254" s="1"/>
      <c r="Q254" s="1"/>
      <c r="R254" s="1"/>
      <c r="S254" s="1"/>
      <c r="T254" s="1"/>
      <c r="U254" s="1"/>
      <c r="V254" s="1"/>
      <c r="W254" s="1"/>
      <c r="X254" s="1"/>
      <c r="Y254" s="1"/>
      <c r="Z254" s="1"/>
    </row>
    <row r="255" spans="1:26" ht="19.5" customHeight="1">
      <c r="A255" s="3" t="s">
        <v>1425</v>
      </c>
      <c r="B255" s="22" t="s">
        <v>1426</v>
      </c>
      <c r="C255" s="18" t="s">
        <v>1427</v>
      </c>
      <c r="D255" s="58"/>
      <c r="E255" s="58"/>
      <c r="F255" s="75"/>
      <c r="G255" s="75"/>
      <c r="H255" s="58"/>
      <c r="I255" s="56">
        <f t="array" ref="I255">G255+F255</f>
        <v>0</v>
      </c>
      <c r="J255" s="58"/>
      <c r="K255" s="58"/>
      <c r="L255" s="58"/>
      <c r="M255" s="1"/>
      <c r="N255" s="1"/>
      <c r="O255" s="1"/>
      <c r="P255" s="1"/>
      <c r="Q255" s="1"/>
      <c r="R255" s="1"/>
      <c r="S255" s="1"/>
      <c r="T255" s="1"/>
      <c r="U255" s="1"/>
      <c r="V255" s="1"/>
      <c r="W255" s="1"/>
      <c r="X255" s="1"/>
      <c r="Y255" s="1"/>
      <c r="Z255" s="1"/>
    </row>
    <row r="256" spans="1:26" ht="19.5" customHeight="1">
      <c r="A256" s="3" t="s">
        <v>1428</v>
      </c>
      <c r="B256" s="22" t="s">
        <v>1429</v>
      </c>
      <c r="C256" s="18" t="s">
        <v>1430</v>
      </c>
      <c r="D256" s="58"/>
      <c r="E256" s="58"/>
      <c r="F256" s="75"/>
      <c r="G256" s="75"/>
      <c r="H256" s="58"/>
      <c r="I256" s="56">
        <f t="array" ref="I256">G256+F256</f>
        <v>0</v>
      </c>
      <c r="J256" s="58"/>
      <c r="K256" s="58"/>
      <c r="L256" s="58"/>
      <c r="M256" s="1"/>
      <c r="N256" s="1"/>
      <c r="O256" s="1"/>
      <c r="P256" s="1"/>
      <c r="Q256" s="1"/>
      <c r="R256" s="1"/>
      <c r="S256" s="1"/>
      <c r="T256" s="1"/>
      <c r="U256" s="1"/>
      <c r="V256" s="1"/>
      <c r="W256" s="1"/>
      <c r="X256" s="1"/>
      <c r="Y256" s="1"/>
      <c r="Z256" s="1"/>
    </row>
    <row r="257" spans="1:26" ht="19.5" customHeight="1">
      <c r="A257" s="3" t="s">
        <v>1431</v>
      </c>
      <c r="B257" s="22" t="s">
        <v>1432</v>
      </c>
      <c r="C257" s="18" t="s">
        <v>1433</v>
      </c>
      <c r="D257" s="58"/>
      <c r="E257" s="58"/>
      <c r="F257" s="75"/>
      <c r="G257" s="75"/>
      <c r="H257" s="58"/>
      <c r="I257" s="56">
        <f t="array" ref="I257">G257+F257</f>
        <v>0</v>
      </c>
      <c r="J257" s="58"/>
      <c r="K257" s="58"/>
      <c r="L257" s="58"/>
      <c r="M257" s="1"/>
      <c r="N257" s="1"/>
      <c r="O257" s="1"/>
      <c r="P257" s="1"/>
      <c r="Q257" s="1"/>
      <c r="R257" s="1"/>
      <c r="S257" s="1"/>
      <c r="T257" s="1"/>
      <c r="U257" s="1"/>
      <c r="V257" s="1"/>
      <c r="W257" s="1"/>
      <c r="X257" s="1"/>
      <c r="Y257" s="1"/>
      <c r="Z257" s="1"/>
    </row>
    <row r="258" spans="1:26" ht="19.5" customHeight="1">
      <c r="A258" s="3" t="s">
        <v>1434</v>
      </c>
      <c r="B258" s="22" t="s">
        <v>1435</v>
      </c>
      <c r="C258" s="18" t="s">
        <v>1436</v>
      </c>
      <c r="D258" s="58"/>
      <c r="E258" s="58"/>
      <c r="F258" s="75"/>
      <c r="G258" s="75"/>
      <c r="H258" s="58"/>
      <c r="I258" s="56">
        <f t="array" ref="I258">G258+F258</f>
        <v>0</v>
      </c>
      <c r="J258" s="58"/>
      <c r="K258" s="58"/>
      <c r="L258" s="58"/>
      <c r="M258" s="1"/>
      <c r="N258" s="1"/>
      <c r="O258" s="1"/>
      <c r="P258" s="1"/>
      <c r="Q258" s="1"/>
      <c r="R258" s="1"/>
      <c r="S258" s="1"/>
      <c r="T258" s="1"/>
      <c r="U258" s="1"/>
      <c r="V258" s="1"/>
      <c r="W258" s="1"/>
      <c r="X258" s="1"/>
      <c r="Y258" s="1"/>
      <c r="Z258" s="1"/>
    </row>
    <row r="259" spans="1:26" ht="19.5" customHeight="1">
      <c r="A259" s="3" t="s">
        <v>1437</v>
      </c>
      <c r="B259" s="22" t="s">
        <v>1438</v>
      </c>
      <c r="C259" s="18" t="s">
        <v>1439</v>
      </c>
      <c r="D259" s="58"/>
      <c r="E259" s="58"/>
      <c r="F259" s="75"/>
      <c r="G259" s="75"/>
      <c r="H259" s="58"/>
      <c r="I259" s="56">
        <f t="array" ref="I259">G259+F259</f>
        <v>0</v>
      </c>
      <c r="J259" s="58"/>
      <c r="K259" s="58"/>
      <c r="L259" s="58"/>
      <c r="M259" s="1"/>
      <c r="N259" s="1"/>
      <c r="O259" s="1"/>
      <c r="P259" s="1"/>
      <c r="Q259" s="1"/>
      <c r="R259" s="1"/>
      <c r="S259" s="1"/>
      <c r="T259" s="1"/>
      <c r="U259" s="1"/>
      <c r="V259" s="1"/>
      <c r="W259" s="1"/>
      <c r="X259" s="1"/>
      <c r="Y259" s="1"/>
      <c r="Z259" s="1"/>
    </row>
    <row r="260" spans="1:26" ht="19.5" customHeight="1">
      <c r="A260" s="3" t="s">
        <v>1440</v>
      </c>
      <c r="B260" s="22" t="s">
        <v>1441</v>
      </c>
      <c r="C260" s="18" t="s">
        <v>1442</v>
      </c>
      <c r="D260" s="58"/>
      <c r="E260" s="58"/>
      <c r="F260" s="75"/>
      <c r="G260" s="75"/>
      <c r="H260" s="58"/>
      <c r="I260" s="56">
        <f t="array" ref="I260">G260+F260</f>
        <v>0</v>
      </c>
      <c r="J260" s="58"/>
      <c r="K260" s="58"/>
      <c r="L260" s="58"/>
      <c r="M260" s="1"/>
      <c r="N260" s="1"/>
      <c r="O260" s="1"/>
      <c r="P260" s="1"/>
      <c r="Q260" s="1"/>
      <c r="R260" s="1"/>
      <c r="S260" s="1"/>
      <c r="T260" s="1"/>
      <c r="U260" s="1"/>
      <c r="V260" s="1"/>
      <c r="W260" s="1"/>
      <c r="X260" s="1"/>
      <c r="Y260" s="1"/>
      <c r="Z260" s="1"/>
    </row>
    <row r="261" spans="1:26" ht="19.5" customHeight="1">
      <c r="A261" s="3" t="s">
        <v>1443</v>
      </c>
      <c r="B261" s="22" t="s">
        <v>1444</v>
      </c>
      <c r="C261" s="18" t="s">
        <v>1445</v>
      </c>
      <c r="D261" s="58"/>
      <c r="E261" s="58"/>
      <c r="F261" s="75"/>
      <c r="G261" s="75"/>
      <c r="H261" s="58"/>
      <c r="I261" s="56">
        <f t="array" ref="I261">G261+F261</f>
        <v>0</v>
      </c>
      <c r="J261" s="58"/>
      <c r="K261" s="58"/>
      <c r="L261" s="58"/>
      <c r="M261" s="1"/>
      <c r="N261" s="1"/>
      <c r="O261" s="1"/>
      <c r="P261" s="1"/>
      <c r="Q261" s="1"/>
      <c r="R261" s="1"/>
      <c r="S261" s="1"/>
      <c r="T261" s="1"/>
      <c r="U261" s="1"/>
      <c r="V261" s="1"/>
      <c r="W261" s="1"/>
      <c r="X261" s="1"/>
      <c r="Y261" s="1"/>
      <c r="Z261" s="1"/>
    </row>
    <row r="262" spans="1:26" ht="19.5" customHeight="1">
      <c r="A262" s="3" t="s">
        <v>1446</v>
      </c>
      <c r="B262" s="22" t="s">
        <v>1447</v>
      </c>
      <c r="C262" s="18" t="s">
        <v>1448</v>
      </c>
      <c r="D262" s="58"/>
      <c r="E262" s="58"/>
      <c r="F262" s="75"/>
      <c r="G262" s="75"/>
      <c r="H262" s="58"/>
      <c r="I262" s="56">
        <f t="array" ref="I262">G262+F262</f>
        <v>0</v>
      </c>
      <c r="J262" s="58"/>
      <c r="K262" s="58"/>
      <c r="L262" s="58"/>
      <c r="M262" s="1"/>
      <c r="N262" s="1"/>
      <c r="O262" s="1"/>
      <c r="P262" s="1"/>
      <c r="Q262" s="1"/>
      <c r="R262" s="1"/>
      <c r="S262" s="1"/>
      <c r="T262" s="1"/>
      <c r="U262" s="1"/>
      <c r="V262" s="1"/>
      <c r="W262" s="1"/>
      <c r="X262" s="1"/>
      <c r="Y262" s="1"/>
      <c r="Z262" s="1"/>
    </row>
    <row r="263" spans="1:26" ht="19.5" customHeight="1">
      <c r="A263" s="3" t="s">
        <v>1449</v>
      </c>
      <c r="B263" s="22" t="s">
        <v>1450</v>
      </c>
      <c r="C263" s="18" t="s">
        <v>1451</v>
      </c>
      <c r="D263" s="58"/>
      <c r="E263" s="58"/>
      <c r="F263" s="75"/>
      <c r="G263" s="75"/>
      <c r="H263" s="58"/>
      <c r="I263" s="56">
        <f t="array" ref="I263">G263+F263</f>
        <v>0</v>
      </c>
      <c r="J263" s="58"/>
      <c r="K263" s="58"/>
      <c r="L263" s="58"/>
      <c r="M263" s="1"/>
      <c r="N263" s="1"/>
      <c r="O263" s="1"/>
      <c r="P263" s="1"/>
      <c r="Q263" s="1"/>
      <c r="R263" s="1"/>
      <c r="S263" s="1"/>
      <c r="T263" s="1"/>
      <c r="U263" s="1"/>
      <c r="V263" s="1"/>
      <c r="W263" s="1"/>
      <c r="X263" s="1"/>
      <c r="Y263" s="1"/>
      <c r="Z263" s="1"/>
    </row>
    <row r="264" spans="1:26" ht="19.5" customHeight="1">
      <c r="A264" s="3" t="s">
        <v>1452</v>
      </c>
      <c r="B264" s="22" t="s">
        <v>1453</v>
      </c>
      <c r="C264" s="18" t="s">
        <v>1454</v>
      </c>
      <c r="D264" s="58"/>
      <c r="E264" s="58"/>
      <c r="F264" s="75"/>
      <c r="G264" s="75"/>
      <c r="H264" s="58"/>
      <c r="I264" s="56">
        <f t="array" ref="I264">G264+F264</f>
        <v>0</v>
      </c>
      <c r="J264" s="58"/>
      <c r="K264" s="58"/>
      <c r="L264" s="58"/>
      <c r="M264" s="1"/>
      <c r="N264" s="1"/>
      <c r="O264" s="1"/>
      <c r="P264" s="1"/>
      <c r="Q264" s="1"/>
      <c r="R264" s="1"/>
      <c r="S264" s="1"/>
      <c r="T264" s="1"/>
      <c r="U264" s="1"/>
      <c r="V264" s="1"/>
      <c r="W264" s="1"/>
      <c r="X264" s="1"/>
      <c r="Y264" s="1"/>
      <c r="Z264" s="1"/>
    </row>
    <row r="265" spans="1:26" ht="19.5" customHeight="1">
      <c r="A265" s="3" t="s">
        <v>1455</v>
      </c>
      <c r="B265" s="22" t="s">
        <v>1456</v>
      </c>
      <c r="C265" s="18" t="s">
        <v>1457</v>
      </c>
      <c r="D265" s="58"/>
      <c r="E265" s="58"/>
      <c r="F265" s="75"/>
      <c r="G265" s="75"/>
      <c r="H265" s="58"/>
      <c r="I265" s="56">
        <f t="array" ref="I265">G265+F265</f>
        <v>0</v>
      </c>
      <c r="J265" s="58"/>
      <c r="K265" s="58"/>
      <c r="L265" s="58"/>
      <c r="M265" s="1"/>
      <c r="N265" s="1"/>
      <c r="O265" s="1"/>
      <c r="P265" s="1"/>
      <c r="Q265" s="1"/>
      <c r="R265" s="1"/>
      <c r="S265" s="1"/>
      <c r="T265" s="1"/>
      <c r="U265" s="1"/>
      <c r="V265" s="1"/>
      <c r="W265" s="1"/>
      <c r="X265" s="1"/>
      <c r="Y265" s="1"/>
      <c r="Z265" s="1"/>
    </row>
    <row r="266" spans="1:26" ht="19.5" customHeight="1">
      <c r="A266" s="3" t="s">
        <v>1458</v>
      </c>
      <c r="B266" s="22" t="s">
        <v>1459</v>
      </c>
      <c r="C266" s="18" t="s">
        <v>1460</v>
      </c>
      <c r="D266" s="58"/>
      <c r="E266" s="58"/>
      <c r="F266" s="75"/>
      <c r="G266" s="75"/>
      <c r="H266" s="58"/>
      <c r="I266" s="56">
        <f t="array" ref="I266">G266+F266</f>
        <v>0</v>
      </c>
      <c r="J266" s="58"/>
      <c r="K266" s="58"/>
      <c r="L266" s="58"/>
      <c r="M266" s="1"/>
      <c r="N266" s="1"/>
      <c r="O266" s="1"/>
      <c r="P266" s="1"/>
      <c r="Q266" s="1"/>
      <c r="R266" s="1"/>
      <c r="S266" s="1"/>
      <c r="T266" s="1"/>
      <c r="U266" s="1"/>
      <c r="V266" s="1"/>
      <c r="W266" s="1"/>
      <c r="X266" s="1"/>
      <c r="Y266" s="1"/>
      <c r="Z266" s="1"/>
    </row>
    <row r="267" spans="1:26" ht="19.5" customHeight="1">
      <c r="A267" s="3" t="s">
        <v>1461</v>
      </c>
      <c r="B267" s="22" t="s">
        <v>1462</v>
      </c>
      <c r="C267" s="18" t="s">
        <v>1463</v>
      </c>
      <c r="D267" s="58"/>
      <c r="E267" s="58"/>
      <c r="F267" s="75"/>
      <c r="G267" s="75"/>
      <c r="H267" s="58"/>
      <c r="I267" s="56">
        <f t="array" ref="I267">G267+F267</f>
        <v>0</v>
      </c>
      <c r="J267" s="58"/>
      <c r="K267" s="58"/>
      <c r="L267" s="58"/>
      <c r="M267" s="1"/>
      <c r="N267" s="1"/>
      <c r="O267" s="1"/>
      <c r="P267" s="1"/>
      <c r="Q267" s="1"/>
      <c r="R267" s="1"/>
      <c r="S267" s="1"/>
      <c r="T267" s="1"/>
      <c r="U267" s="1"/>
      <c r="V267" s="1"/>
      <c r="W267" s="1"/>
      <c r="X267" s="1"/>
      <c r="Y267" s="1"/>
      <c r="Z267" s="1"/>
    </row>
    <row r="268" spans="1:26" ht="19.5" customHeight="1">
      <c r="A268" s="3" t="s">
        <v>1464</v>
      </c>
      <c r="B268" s="22" t="s">
        <v>1465</v>
      </c>
      <c r="C268" s="18" t="s">
        <v>1466</v>
      </c>
      <c r="D268" s="58"/>
      <c r="E268" s="58"/>
      <c r="F268" s="75"/>
      <c r="G268" s="75"/>
      <c r="H268" s="58"/>
      <c r="I268" s="56">
        <f t="array" ref="I268">G268+F268</f>
        <v>0</v>
      </c>
      <c r="J268" s="58"/>
      <c r="K268" s="58"/>
      <c r="L268" s="58"/>
      <c r="M268" s="1"/>
      <c r="N268" s="1"/>
      <c r="O268" s="1"/>
      <c r="P268" s="1"/>
      <c r="Q268" s="1"/>
      <c r="R268" s="1"/>
      <c r="S268" s="1"/>
      <c r="T268" s="1"/>
      <c r="U268" s="1"/>
      <c r="V268" s="1"/>
      <c r="W268" s="1"/>
      <c r="X268" s="1"/>
      <c r="Y268" s="1"/>
      <c r="Z268" s="1"/>
    </row>
    <row r="269" spans="1:26" ht="31.5" customHeight="1">
      <c r="A269" s="3" t="s">
        <v>1467</v>
      </c>
      <c r="B269" s="22" t="s">
        <v>1468</v>
      </c>
      <c r="C269" s="18" t="s">
        <v>1469</v>
      </c>
      <c r="D269" s="58"/>
      <c r="E269" s="58"/>
      <c r="F269" s="75"/>
      <c r="G269" s="75"/>
      <c r="H269" s="58"/>
      <c r="I269" s="56">
        <f t="array" ref="I269">G269+F269</f>
        <v>0</v>
      </c>
      <c r="J269" s="58"/>
      <c r="K269" s="58"/>
      <c r="L269" s="58"/>
      <c r="M269" s="1"/>
      <c r="N269" s="1"/>
      <c r="O269" s="1"/>
      <c r="P269" s="1"/>
      <c r="Q269" s="1"/>
      <c r="R269" s="1"/>
      <c r="S269" s="1"/>
      <c r="T269" s="1"/>
      <c r="U269" s="1"/>
      <c r="V269" s="1"/>
      <c r="W269" s="1"/>
      <c r="X269" s="1"/>
      <c r="Y269" s="1"/>
      <c r="Z269" s="1"/>
    </row>
    <row r="270" spans="1:26" ht="19.5" customHeight="1">
      <c r="A270" s="3" t="s">
        <v>1470</v>
      </c>
      <c r="B270" s="22" t="s">
        <v>1471</v>
      </c>
      <c r="C270" s="18" t="s">
        <v>1472</v>
      </c>
      <c r="D270" s="58"/>
      <c r="E270" s="58"/>
      <c r="F270" s="75"/>
      <c r="G270" s="75"/>
      <c r="H270" s="58"/>
      <c r="I270" s="56">
        <f t="array" ref="I270">G270+F270</f>
        <v>0</v>
      </c>
      <c r="J270" s="58"/>
      <c r="K270" s="58"/>
      <c r="L270" s="58"/>
      <c r="M270" s="1"/>
      <c r="N270" s="1"/>
      <c r="O270" s="1"/>
      <c r="P270" s="1"/>
      <c r="Q270" s="1"/>
      <c r="R270" s="1"/>
      <c r="S270" s="1"/>
      <c r="T270" s="1"/>
      <c r="U270" s="1"/>
      <c r="V270" s="1"/>
      <c r="W270" s="1"/>
      <c r="X270" s="1"/>
      <c r="Y270" s="1"/>
      <c r="Z270" s="1"/>
    </row>
    <row r="271" spans="1:26" ht="19.5" customHeight="1">
      <c r="A271" s="3" t="s">
        <v>1473</v>
      </c>
      <c r="B271" s="22" t="s">
        <v>1474</v>
      </c>
      <c r="C271" s="18" t="s">
        <v>1475</v>
      </c>
      <c r="D271" s="58"/>
      <c r="E271" s="58"/>
      <c r="F271" s="75"/>
      <c r="G271" s="75"/>
      <c r="H271" s="58"/>
      <c r="I271" s="56">
        <f t="array" ref="I271">G271+F271</f>
        <v>0</v>
      </c>
      <c r="J271" s="58"/>
      <c r="K271" s="58"/>
      <c r="L271" s="58"/>
      <c r="M271" s="1"/>
      <c r="N271" s="1"/>
      <c r="O271" s="1"/>
      <c r="P271" s="1"/>
      <c r="Q271" s="1"/>
      <c r="R271" s="1"/>
      <c r="S271" s="1"/>
      <c r="T271" s="1"/>
      <c r="U271" s="1"/>
      <c r="V271" s="1"/>
      <c r="W271" s="1"/>
      <c r="X271" s="1"/>
      <c r="Y271" s="1"/>
      <c r="Z271" s="1"/>
    </row>
    <row r="272" spans="1:26" ht="19.5" customHeight="1">
      <c r="A272" s="3" t="s">
        <v>1476</v>
      </c>
      <c r="B272" s="22" t="s">
        <v>1477</v>
      </c>
      <c r="C272" s="18" t="s">
        <v>1478</v>
      </c>
      <c r="D272" s="58"/>
      <c r="E272" s="58"/>
      <c r="F272" s="75"/>
      <c r="G272" s="75"/>
      <c r="H272" s="58"/>
      <c r="I272" s="56">
        <f t="array" ref="I272">G272+F272</f>
        <v>0</v>
      </c>
      <c r="J272" s="58"/>
      <c r="K272" s="58"/>
      <c r="L272" s="58"/>
      <c r="M272" s="1"/>
      <c r="N272" s="1"/>
      <c r="O272" s="1"/>
      <c r="P272" s="1"/>
      <c r="Q272" s="1"/>
      <c r="R272" s="1"/>
      <c r="S272" s="1"/>
      <c r="T272" s="1"/>
      <c r="U272" s="1"/>
      <c r="V272" s="1"/>
      <c r="W272" s="1"/>
      <c r="X272" s="1"/>
      <c r="Y272" s="1"/>
      <c r="Z272" s="1"/>
    </row>
    <row r="273" spans="1:26" ht="19.5" customHeight="1">
      <c r="A273" s="3" t="s">
        <v>1479</v>
      </c>
      <c r="B273" s="126" t="s">
        <v>1397</v>
      </c>
      <c r="C273" s="53"/>
      <c r="D273" s="58"/>
      <c r="E273" s="58"/>
      <c r="F273" s="56">
        <f t="array" ref="F273">SUM(F246:F272)</f>
        <v>0</v>
      </c>
      <c r="G273" s="56">
        <f t="array" ref="G273">SUM(G246:G272)</f>
        <v>0</v>
      </c>
      <c r="H273" s="58"/>
      <c r="I273" s="56">
        <f t="array" ref="I273">SUM(I246:I272)</f>
        <v>0</v>
      </c>
      <c r="J273" s="58"/>
      <c r="K273" s="58"/>
      <c r="L273" s="58"/>
      <c r="M273" s="1"/>
      <c r="N273" s="1"/>
      <c r="O273" s="1"/>
      <c r="P273" s="1"/>
      <c r="Q273" s="1"/>
      <c r="R273" s="1"/>
      <c r="S273" s="1"/>
      <c r="T273" s="1"/>
      <c r="U273" s="1"/>
      <c r="V273" s="1"/>
      <c r="W273" s="1"/>
      <c r="X273" s="1"/>
      <c r="Y273" s="1"/>
      <c r="Z273" s="1"/>
    </row>
    <row r="274" spans="1:26" ht="19.5" customHeight="1">
      <c r="A274" s="2"/>
      <c r="B274" s="17"/>
      <c r="C274" s="13"/>
      <c r="D274" s="58"/>
      <c r="E274" s="58"/>
      <c r="F274" s="58"/>
      <c r="G274" s="58"/>
      <c r="H274" s="58"/>
      <c r="I274" s="58"/>
      <c r="J274" s="58"/>
      <c r="K274" s="58"/>
      <c r="L274" s="58"/>
      <c r="M274" s="1"/>
      <c r="N274" s="1"/>
      <c r="O274" s="1"/>
      <c r="P274" s="1"/>
      <c r="Q274" s="1"/>
      <c r="R274" s="1"/>
      <c r="S274" s="1"/>
      <c r="T274" s="1"/>
      <c r="U274" s="1"/>
      <c r="V274" s="1"/>
      <c r="W274" s="1"/>
      <c r="X274" s="1"/>
      <c r="Y274" s="1"/>
      <c r="Z274" s="1"/>
    </row>
    <row r="275" spans="1:26" ht="19.5" customHeight="1">
      <c r="A275" s="2"/>
      <c r="B275" s="22" t="s">
        <v>1480</v>
      </c>
      <c r="C275" s="13"/>
      <c r="D275" s="58"/>
      <c r="E275" s="58"/>
      <c r="F275" s="58"/>
      <c r="G275" s="58"/>
      <c r="H275" s="58"/>
      <c r="I275" s="58"/>
      <c r="J275" s="58"/>
      <c r="K275" s="58"/>
      <c r="L275" s="58"/>
      <c r="M275" s="1"/>
      <c r="N275" s="1"/>
      <c r="O275" s="1"/>
      <c r="P275" s="1"/>
      <c r="Q275" s="1"/>
      <c r="R275" s="1"/>
      <c r="S275" s="1"/>
      <c r="T275" s="1"/>
      <c r="U275" s="1"/>
      <c r="V275" s="1"/>
      <c r="W275" s="1"/>
      <c r="X275" s="1"/>
      <c r="Y275" s="1"/>
      <c r="Z275" s="1"/>
    </row>
    <row r="276" spans="1:26" ht="19.5" customHeight="1">
      <c r="A276" s="3" t="s">
        <v>1481</v>
      </c>
      <c r="B276" s="22" t="s">
        <v>1480</v>
      </c>
      <c r="C276" s="18" t="s">
        <v>1482</v>
      </c>
      <c r="D276" s="58"/>
      <c r="E276" s="58"/>
      <c r="F276" s="75"/>
      <c r="G276" s="75"/>
      <c r="H276" s="58"/>
      <c r="I276" s="56">
        <f t="array" ref="I276">G276+F276</f>
        <v>0</v>
      </c>
      <c r="J276" s="58"/>
      <c r="K276" s="58"/>
      <c r="L276" s="58"/>
      <c r="M276" s="1"/>
      <c r="N276" s="1"/>
      <c r="O276" s="1"/>
      <c r="P276" s="1"/>
      <c r="Q276" s="1"/>
      <c r="R276" s="1"/>
      <c r="S276" s="1"/>
      <c r="T276" s="1"/>
      <c r="U276" s="1"/>
      <c r="V276" s="1"/>
      <c r="W276" s="1"/>
      <c r="X276" s="1"/>
      <c r="Y276" s="1"/>
      <c r="Z276" s="1"/>
    </row>
    <row r="277" spans="1:26" ht="19.5" customHeight="1">
      <c r="A277" s="3" t="s">
        <v>1483</v>
      </c>
      <c r="B277" s="22" t="s">
        <v>1484</v>
      </c>
      <c r="C277" s="18" t="s">
        <v>1485</v>
      </c>
      <c r="D277" s="58"/>
      <c r="E277" s="58"/>
      <c r="F277" s="75"/>
      <c r="G277" s="75"/>
      <c r="H277" s="58"/>
      <c r="I277" s="56">
        <f t="array" ref="I277">G277+F277</f>
        <v>0</v>
      </c>
      <c r="J277" s="58"/>
      <c r="K277" s="58"/>
      <c r="L277" s="58"/>
      <c r="M277" s="1"/>
      <c r="N277" s="1"/>
      <c r="O277" s="1"/>
      <c r="P277" s="1"/>
      <c r="Q277" s="1"/>
      <c r="R277" s="1"/>
      <c r="S277" s="1"/>
      <c r="T277" s="1"/>
      <c r="U277" s="1"/>
      <c r="V277" s="1"/>
      <c r="W277" s="1"/>
      <c r="X277" s="1"/>
      <c r="Y277" s="1"/>
      <c r="Z277" s="1"/>
    </row>
    <row r="278" spans="1:26" ht="31.5" customHeight="1">
      <c r="A278" s="3" t="s">
        <v>1486</v>
      </c>
      <c r="B278" s="22" t="s">
        <v>1487</v>
      </c>
      <c r="C278" s="18" t="s">
        <v>1488</v>
      </c>
      <c r="D278" s="58"/>
      <c r="E278" s="58"/>
      <c r="F278" s="75"/>
      <c r="G278" s="75"/>
      <c r="H278" s="58"/>
      <c r="I278" s="56">
        <f t="array" ref="I278">G278+F278</f>
        <v>0</v>
      </c>
      <c r="J278" s="58"/>
      <c r="K278" s="58"/>
      <c r="L278" s="58"/>
      <c r="M278" s="1"/>
      <c r="N278" s="1"/>
      <c r="O278" s="1"/>
      <c r="P278" s="1"/>
      <c r="Q278" s="1"/>
      <c r="R278" s="1"/>
      <c r="S278" s="1"/>
      <c r="T278" s="1"/>
      <c r="U278" s="1"/>
      <c r="V278" s="1"/>
      <c r="W278" s="1"/>
      <c r="X278" s="1"/>
      <c r="Y278" s="1"/>
      <c r="Z278" s="1"/>
    </row>
    <row r="279" spans="1:26" ht="19.5" customHeight="1">
      <c r="A279" s="3" t="s">
        <v>1489</v>
      </c>
      <c r="B279" s="22" t="s">
        <v>1490</v>
      </c>
      <c r="C279" s="18" t="s">
        <v>1491</v>
      </c>
      <c r="D279" s="58"/>
      <c r="E279" s="58"/>
      <c r="F279" s="75"/>
      <c r="G279" s="75"/>
      <c r="H279" s="58"/>
      <c r="I279" s="56">
        <f t="array" ref="I279">G279+F279</f>
        <v>0</v>
      </c>
      <c r="J279" s="58"/>
      <c r="K279" s="58"/>
      <c r="L279" s="58"/>
      <c r="M279" s="1"/>
      <c r="N279" s="1"/>
      <c r="O279" s="1"/>
      <c r="P279" s="1"/>
      <c r="Q279" s="1"/>
      <c r="R279" s="1"/>
      <c r="S279" s="1"/>
      <c r="T279" s="1"/>
      <c r="U279" s="1"/>
      <c r="V279" s="1"/>
      <c r="W279" s="1"/>
      <c r="X279" s="1"/>
      <c r="Y279" s="1"/>
      <c r="Z279" s="1"/>
    </row>
    <row r="280" spans="1:26" ht="19.5" customHeight="1">
      <c r="A280" s="3" t="s">
        <v>1492</v>
      </c>
      <c r="B280" s="22" t="s">
        <v>1493</v>
      </c>
      <c r="C280" s="18" t="s">
        <v>1494</v>
      </c>
      <c r="D280" s="58"/>
      <c r="E280" s="58"/>
      <c r="F280" s="75"/>
      <c r="G280" s="75"/>
      <c r="H280" s="58"/>
      <c r="I280" s="56">
        <f t="array" ref="I280">G280+F280</f>
        <v>0</v>
      </c>
      <c r="J280" s="58"/>
      <c r="K280" s="58"/>
      <c r="L280" s="58"/>
      <c r="M280" s="1"/>
      <c r="N280" s="1"/>
      <c r="O280" s="1"/>
      <c r="P280" s="1"/>
      <c r="Q280" s="1"/>
      <c r="R280" s="1"/>
      <c r="S280" s="1"/>
      <c r="T280" s="1"/>
      <c r="U280" s="1"/>
      <c r="V280" s="1"/>
      <c r="W280" s="1"/>
      <c r="X280" s="1"/>
      <c r="Y280" s="1"/>
      <c r="Z280" s="1"/>
    </row>
    <row r="281" spans="1:26" ht="19.5" customHeight="1">
      <c r="A281" s="3" t="s">
        <v>1495</v>
      </c>
      <c r="B281" s="126" t="s">
        <v>1480</v>
      </c>
      <c r="C281" s="53"/>
      <c r="D281" s="58"/>
      <c r="E281" s="58"/>
      <c r="F281" s="56">
        <f t="array" ref="F281">SUM(F276:F280)</f>
        <v>0</v>
      </c>
      <c r="G281" s="56">
        <f t="array" ref="G281">SUM(G276:G280)</f>
        <v>0</v>
      </c>
      <c r="H281" s="58"/>
      <c r="I281" s="56">
        <f t="array" ref="I281">SUM(I276:I280)</f>
        <v>0</v>
      </c>
      <c r="J281" s="58"/>
      <c r="K281" s="58"/>
      <c r="L281" s="58"/>
      <c r="M281" s="1"/>
      <c r="N281" s="1"/>
      <c r="O281" s="1"/>
      <c r="P281" s="1"/>
      <c r="Q281" s="1"/>
      <c r="R281" s="1"/>
      <c r="S281" s="1"/>
      <c r="T281" s="1"/>
      <c r="U281" s="1"/>
      <c r="V281" s="1"/>
      <c r="W281" s="1"/>
      <c r="X281" s="1"/>
      <c r="Y281" s="1"/>
      <c r="Z281" s="1"/>
    </row>
    <row r="282" spans="1:26" ht="19.5" customHeight="1">
      <c r="A282" s="2"/>
      <c r="B282" s="17"/>
      <c r="C282" s="53"/>
      <c r="D282" s="58"/>
      <c r="E282" s="58"/>
      <c r="F282" s="58"/>
      <c r="G282" s="58"/>
      <c r="H282" s="58"/>
      <c r="I282" s="58"/>
      <c r="J282" s="58"/>
      <c r="K282" s="58"/>
      <c r="L282" s="58"/>
      <c r="M282" s="1"/>
      <c r="N282" s="1"/>
      <c r="O282" s="1"/>
      <c r="P282" s="1"/>
      <c r="Q282" s="1"/>
      <c r="R282" s="1"/>
      <c r="S282" s="1"/>
      <c r="T282" s="1"/>
      <c r="U282" s="1"/>
      <c r="V282" s="1"/>
      <c r="W282" s="1"/>
      <c r="X282" s="1"/>
      <c r="Y282" s="1"/>
      <c r="Z282" s="1"/>
    </row>
    <row r="283" spans="1:26" ht="19.5" customHeight="1">
      <c r="A283" s="3" t="s">
        <v>1496</v>
      </c>
      <c r="B283" s="22" t="s">
        <v>1497</v>
      </c>
      <c r="C283" s="13"/>
      <c r="D283" s="58"/>
      <c r="E283" s="58"/>
      <c r="F283" s="75">
        <v>2861929</v>
      </c>
      <c r="G283" s="75">
        <v>2697177</v>
      </c>
      <c r="H283" s="58"/>
      <c r="I283" s="56">
        <f t="array" ref="I283">G283+F283</f>
        <v>5559106</v>
      </c>
      <c r="J283" s="58"/>
      <c r="K283" s="58"/>
      <c r="L283" s="58"/>
      <c r="M283" s="1"/>
      <c r="N283" s="1"/>
      <c r="O283" s="1"/>
      <c r="P283" s="1"/>
      <c r="Q283" s="1"/>
      <c r="R283" s="1"/>
      <c r="S283" s="1"/>
      <c r="T283" s="1"/>
      <c r="U283" s="1"/>
      <c r="V283" s="1"/>
      <c r="W283" s="1"/>
      <c r="X283" s="1"/>
      <c r="Y283" s="1"/>
      <c r="Z283" s="1"/>
    </row>
    <row r="284" spans="1:26" ht="19.5" customHeight="1">
      <c r="A284" s="2"/>
      <c r="B284" s="17"/>
      <c r="C284" s="53"/>
      <c r="D284" s="58"/>
      <c r="E284" s="58"/>
      <c r="F284" s="58"/>
      <c r="G284" s="58"/>
      <c r="H284" s="58"/>
      <c r="I284" s="58"/>
      <c r="J284" s="58"/>
      <c r="K284" s="58"/>
      <c r="L284" s="58"/>
      <c r="M284" s="1"/>
      <c r="N284" s="1"/>
      <c r="O284" s="1"/>
      <c r="P284" s="1"/>
      <c r="Q284" s="1"/>
      <c r="R284" s="1"/>
      <c r="S284" s="1"/>
      <c r="T284" s="1"/>
      <c r="U284" s="1"/>
      <c r="V284" s="1"/>
      <c r="W284" s="1"/>
      <c r="X284" s="1"/>
      <c r="Y284" s="1"/>
      <c r="Z284" s="1"/>
    </row>
    <row r="285" spans="1:26" ht="19.5" customHeight="1">
      <c r="A285" s="86" t="s">
        <v>1498</v>
      </c>
      <c r="B285" s="128" t="s">
        <v>300</v>
      </c>
      <c r="C285" s="107"/>
      <c r="D285" s="77"/>
      <c r="E285" s="77"/>
      <c r="F285" s="78">
        <f t="array" ref="F285">F62+F107+F123+F184+F208+F243+F273+F281+F283</f>
        <v>3640825</v>
      </c>
      <c r="G285" s="78">
        <f t="array" ref="G285">G62+G107+G123+G184+G208+G243+G273+G281+G283</f>
        <v>3382770</v>
      </c>
      <c r="H285" s="77"/>
      <c r="I285" s="78">
        <f t="array" ref="I285">I62+I107+I123+I184+I208+I243+I273+I281+I283</f>
        <v>7023595</v>
      </c>
      <c r="J285" s="58"/>
      <c r="K285" s="58"/>
      <c r="L285" s="58"/>
      <c r="M285" s="1"/>
      <c r="N285" s="1"/>
      <c r="O285" s="1"/>
      <c r="P285" s="1"/>
      <c r="Q285" s="1"/>
      <c r="R285" s="1"/>
      <c r="S285" s="1"/>
      <c r="T285" s="1"/>
      <c r="U285" s="1"/>
      <c r="V285" s="1"/>
      <c r="W285" s="1"/>
      <c r="X285" s="1"/>
      <c r="Y285" s="1"/>
      <c r="Z285" s="1"/>
    </row>
    <row r="286" spans="1:26" ht="19.5" customHeight="1">
      <c r="A286" s="11"/>
      <c r="B286" s="129" t="s">
        <v>1499</v>
      </c>
      <c r="C286" s="130"/>
      <c r="D286" s="80"/>
      <c r="E286" s="80"/>
      <c r="F286" s="81">
        <f t="array" ref="F286">population!F109</f>
        <v>7604375</v>
      </c>
      <c r="G286" s="81">
        <f t="array" ref="G286">population!G109</f>
        <v>7406215</v>
      </c>
      <c r="H286" s="80"/>
      <c r="I286" s="81">
        <f t="array" ref="I286">population!I109</f>
        <v>15010590</v>
      </c>
      <c r="J286" s="58"/>
      <c r="K286" s="58"/>
      <c r="L286" s="58"/>
      <c r="M286" s="1"/>
      <c r="N286" s="1"/>
      <c r="O286" s="1"/>
      <c r="P286" s="1"/>
      <c r="Q286" s="1"/>
      <c r="R286" s="1"/>
      <c r="S286" s="1"/>
      <c r="T286" s="1"/>
      <c r="U286" s="1"/>
      <c r="V286" s="1"/>
      <c r="W286" s="1"/>
      <c r="X286" s="1"/>
      <c r="Y286" s="1"/>
      <c r="Z286" s="1"/>
    </row>
    <row r="287" spans="1:26" ht="19.5" customHeight="1">
      <c r="A287" s="11"/>
      <c r="B287" s="129" t="s">
        <v>1500</v>
      </c>
      <c r="C287" s="130"/>
      <c r="D287" s="80"/>
      <c r="E287" s="80"/>
      <c r="F287" s="81">
        <f t="array" ref="F287">migration!F111</f>
        <v>99975.400000000009</v>
      </c>
      <c r="G287" s="81">
        <f t="array" ref="G287">migration!G111</f>
        <v>96559.499999999985</v>
      </c>
      <c r="H287" s="80"/>
      <c r="I287" s="81">
        <f t="array" ref="I287">migration!I111</f>
        <v>196534.89999999994</v>
      </c>
      <c r="J287" s="58"/>
      <c r="K287" s="58"/>
      <c r="L287" s="58"/>
      <c r="M287" s="1"/>
      <c r="N287" s="1"/>
      <c r="O287" s="1"/>
      <c r="P287" s="1"/>
      <c r="Q287" s="1"/>
      <c r="R287" s="1"/>
      <c r="S287" s="1"/>
      <c r="T287" s="1"/>
      <c r="U287" s="1"/>
      <c r="V287" s="1"/>
      <c r="W287" s="1"/>
      <c r="X287" s="1"/>
      <c r="Y287" s="1"/>
      <c r="Z287" s="1"/>
    </row>
    <row r="288" spans="1:26" ht="19.5" customHeight="1">
      <c r="A288" s="42"/>
      <c r="B288" s="43"/>
      <c r="C288" s="105"/>
      <c r="D288" s="131"/>
      <c r="E288" s="131"/>
      <c r="F288" s="131"/>
      <c r="G288" s="131"/>
      <c r="H288" s="131"/>
      <c r="I288" s="131"/>
      <c r="J288" s="63"/>
      <c r="K288" s="63"/>
      <c r="L288" s="63"/>
      <c r="M288" s="1"/>
      <c r="N288" s="1"/>
      <c r="O288" s="1"/>
      <c r="P288" s="1"/>
      <c r="Q288" s="1"/>
      <c r="R288" s="1"/>
      <c r="S288" s="1"/>
      <c r="T288" s="1"/>
      <c r="U288" s="1"/>
      <c r="V288" s="1"/>
      <c r="W288" s="1"/>
      <c r="X288" s="1"/>
      <c r="Y288" s="1"/>
      <c r="Z288" s="1"/>
    </row>
    <row r="289" spans="1:26" ht="19.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9.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9.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9.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9.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9.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9.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9.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9.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9.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9.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9.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9.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9.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9.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9.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9.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9.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9.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9.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9.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9.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9.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9.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9.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9.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9.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9.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9.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9.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9.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9.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9.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9.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9.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9.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9.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9.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9.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9.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9.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9.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9.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9.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9.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9.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9.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9.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9.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9.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9.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9.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9.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9.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9.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9.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9.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9.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9.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9.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9.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9.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9.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9.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9.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9.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9.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9.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9.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9.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9.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9.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9.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9.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9.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9.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9.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9.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9.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9.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9.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9.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9.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9.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9.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9.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9.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9.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9.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9.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9.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9.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9.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9.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9.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9.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9.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9.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9.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9.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9.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9.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9.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9.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9.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9.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9.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9.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9.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9.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9.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9.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9.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9.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9.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9.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9.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9.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9.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9.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9.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9.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9.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9.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9.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9.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9.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9.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9.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9.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9.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9.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9.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9.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9.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9.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9.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9.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9.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9.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9.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9.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9.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9.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9.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9.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9.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9.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9.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9.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9.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9.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9.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9.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9.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9.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9.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9.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9.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9.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9.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9.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9.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9.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9.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9.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9.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9.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9.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9.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9.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9.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9.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9.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9.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9.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9.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9.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9.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9.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9.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9.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9.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9.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9.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9.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9.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9.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9.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9.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9.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9.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9.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9.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9.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9.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9.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9.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9.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9.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9.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9.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9.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9.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9.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9.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9.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9.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9.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9.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9.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9.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9.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9.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9.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9.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9.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9.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9.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9.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9.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9.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9.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9.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9.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9.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9.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9.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9.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9.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9.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9.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9.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9.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9.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9.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9.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9.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9.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9.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9.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9.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9.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9.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9.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9.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9.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9.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9.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9.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9.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9.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9.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9.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9.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9.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9.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9.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9.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9.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9.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9.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9.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9.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9.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9.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9.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9.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9.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9.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9.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9.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9.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9.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9.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9.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9.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9.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9.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9.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9.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9.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9.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9.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9.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9.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9.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9.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9.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9.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9.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9.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9.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9.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9.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9.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9.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9.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9.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9.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9.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9.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9.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9.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9.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9.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9.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9.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9.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9.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9.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9.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9.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9.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9.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9.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9.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9.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9.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9.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9.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9.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9.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9.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9.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9.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9.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9.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9.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9.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9.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9.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9.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9.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9.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9.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9.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9.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9.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9.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9.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9.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9.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9.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9.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9.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9.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9.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9.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9.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9.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9.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9.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9.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9.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9.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9.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9.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9.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9.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9.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9.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9.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9.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9.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9.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9.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9.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9.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9.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9.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9.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9.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9.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9.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9.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9.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9.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9.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9.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9.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9.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9.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9.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9.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9.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9.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9.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9.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9.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9.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9.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9.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9.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9.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9.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9.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9.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9.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9.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9.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9.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9.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9.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9.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9.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9.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9.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9.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9.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9.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9.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9.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9.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9.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9.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9.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9.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9.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9.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9.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9.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9.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9.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9.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9.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9.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9.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9.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9.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9.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9.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9.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9.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9.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9.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9.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9.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9.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9.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9.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9.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9.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9.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9.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9.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9.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9.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9.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9.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9.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9.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9.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9.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9.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9.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9.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9.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9.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9.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9.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9.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9.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9.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9.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9.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9.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9.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9.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9.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9.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9.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9.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9.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9.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9.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9.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9.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9.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9.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9.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9.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9.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9.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9.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9.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9.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9.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9.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9.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9.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9.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9.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9.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9.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9.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9.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9.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9.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9.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9.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9.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9.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9.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9.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9.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9.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9.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9.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9.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9.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9.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9.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9.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9.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9.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9.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9.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9.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9.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9.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9.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9.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9.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9.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9.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9.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9.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9.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9.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9.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9.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9.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9.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9.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9.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9.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9.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9.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9.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9.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9.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9.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9.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9.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9.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9.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9.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9.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9.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9.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9.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9.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9.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9.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9.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9.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9.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9.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9.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9.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9.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9.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9.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9.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9.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9.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9.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9.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9.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9.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9.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9.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9.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9.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9.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9.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9.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9.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9.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9.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9.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9.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9.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9.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9.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9.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9.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9.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9.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9.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9.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9.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9.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9.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9.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9.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9.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9.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9.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9.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9.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9.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9.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9.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9.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9.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9.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9.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9.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9.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9.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9.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9.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9.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9.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9.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9.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9.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9.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9.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9.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9.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9.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9.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9.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9.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9.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9.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9.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9.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9.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9.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9.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9.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9.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9.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9.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9.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9.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9.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9.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9.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9.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9.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9.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9.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9.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9.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9.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9.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9.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9.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9.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9.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9.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9.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9.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9.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9.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9.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9.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9.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9.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9.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9.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9.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9.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9.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9.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9.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9.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9.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9.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9.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9.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9.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9.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9.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9.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9.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9.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9.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9.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9.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9.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9.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9.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9.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9.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9.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9.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9.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9.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9.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9.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9.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9.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9.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9.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9.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9.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9.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9.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9.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9.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9.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9.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9.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9.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9.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9.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3">
    <mergeCell ref="A1:L1"/>
    <mergeCell ref="C4:K4"/>
    <mergeCell ref="C5:K5"/>
  </mergeCells>
  <pageMargins left="1" right="1" top="1" bottom="1" header="0" footer="0"/>
  <pageSetup orientation="portrait"/>
  <headerFooter>
    <oddFooter>&amp;C 000000&amp;P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Z1000"/>
  <sheetViews>
    <sheetView showGridLines="0" tabSelected="1" workbookViewId="0">
      <pane xSplit="2" ySplit="3" topLeftCell="C4" activePane="bottomRight" state="frozen"/>
      <selection pane="topRight" activeCell="C1" sqref="C1"/>
      <selection pane="bottomLeft" activeCell="A4" sqref="A4"/>
      <selection pane="bottomRight" activeCell="C4" sqref="C4:K4"/>
    </sheetView>
  </sheetViews>
  <sheetFormatPr baseColWidth="10" defaultColWidth="14.42578125" defaultRowHeight="15" customHeight="1"/>
  <cols>
    <col min="1" max="1" width="6.7109375" customWidth="1"/>
    <col min="2" max="2" width="33.28515625" customWidth="1"/>
    <col min="3" max="12" width="13.28515625" customWidth="1"/>
    <col min="13" max="26" width="16.28515625" customWidth="1"/>
  </cols>
  <sheetData>
    <row r="1" spans="1:26" ht="27" customHeight="1">
      <c r="A1" s="155" t="s">
        <v>1501</v>
      </c>
      <c r="B1" s="156"/>
      <c r="C1" s="156"/>
      <c r="D1" s="156"/>
      <c r="E1" s="156"/>
      <c r="F1" s="156"/>
      <c r="G1" s="156"/>
      <c r="H1" s="156"/>
      <c r="I1" s="156"/>
      <c r="J1" s="156"/>
      <c r="K1" s="156"/>
      <c r="L1" s="156"/>
      <c r="M1" s="1"/>
      <c r="N1" s="1"/>
      <c r="O1" s="1"/>
      <c r="P1" s="1"/>
      <c r="Q1" s="1"/>
      <c r="R1" s="1"/>
      <c r="S1" s="1"/>
      <c r="T1" s="1"/>
      <c r="U1" s="1"/>
      <c r="V1" s="1"/>
      <c r="W1" s="1"/>
      <c r="X1" s="1"/>
      <c r="Y1" s="1"/>
      <c r="Z1" s="1"/>
    </row>
    <row r="2" spans="1:26" ht="19.5" customHeight="1">
      <c r="A2" s="2"/>
      <c r="B2" s="2"/>
      <c r="C2" s="3" t="s">
        <v>1</v>
      </c>
      <c r="D2" s="3" t="s">
        <v>2</v>
      </c>
      <c r="E2" s="3" t="s">
        <v>3</v>
      </c>
      <c r="F2" s="3" t="s">
        <v>4</v>
      </c>
      <c r="G2" s="3" t="s">
        <v>5</v>
      </c>
      <c r="H2" s="3" t="s">
        <v>6</v>
      </c>
      <c r="I2" s="3" t="s">
        <v>7</v>
      </c>
      <c r="J2" s="3" t="s">
        <v>8</v>
      </c>
      <c r="K2" s="3" t="s">
        <v>9</v>
      </c>
      <c r="L2" s="2"/>
      <c r="M2" s="1"/>
      <c r="N2" s="1"/>
      <c r="O2" s="1"/>
      <c r="P2" s="1"/>
      <c r="Q2" s="1"/>
      <c r="R2" s="1"/>
      <c r="S2" s="1"/>
      <c r="T2" s="1"/>
      <c r="U2" s="1"/>
      <c r="V2" s="1"/>
      <c r="W2" s="1"/>
      <c r="X2" s="1"/>
      <c r="Y2" s="1"/>
      <c r="Z2" s="1"/>
    </row>
    <row r="3" spans="1:26" ht="32.25" customHeight="1">
      <c r="A3" s="23"/>
      <c r="B3" s="46" t="str">
        <f t="array" ref="B3">overview!C11&amp;" / "&amp;overview!C12</f>
        <v>FR / France</v>
      </c>
      <c r="C3" s="47" t="s">
        <v>10</v>
      </c>
      <c r="D3" s="47" t="s">
        <v>11</v>
      </c>
      <c r="E3" s="47" t="s">
        <v>12</v>
      </c>
      <c r="F3" s="47" t="s">
        <v>13</v>
      </c>
      <c r="G3" s="47" t="s">
        <v>14</v>
      </c>
      <c r="H3" s="47" t="s">
        <v>15</v>
      </c>
      <c r="I3" s="47" t="s">
        <v>16</v>
      </c>
      <c r="J3" s="47" t="s">
        <v>17</v>
      </c>
      <c r="K3" s="47" t="s">
        <v>18</v>
      </c>
      <c r="L3" s="6" t="s">
        <v>19</v>
      </c>
      <c r="M3" s="1"/>
      <c r="N3" s="1"/>
      <c r="O3" s="1"/>
      <c r="P3" s="1"/>
      <c r="Q3" s="1"/>
      <c r="R3" s="1"/>
      <c r="S3" s="1"/>
      <c r="T3" s="1"/>
      <c r="U3" s="1"/>
      <c r="V3" s="1"/>
      <c r="W3" s="1"/>
      <c r="X3" s="1"/>
      <c r="Y3" s="1"/>
      <c r="Z3" s="1"/>
    </row>
    <row r="4" spans="1:26" ht="33" customHeight="1">
      <c r="A4" s="48"/>
      <c r="B4" s="49" t="s">
        <v>304</v>
      </c>
      <c r="C4" s="157" t="s">
        <v>305</v>
      </c>
      <c r="D4" s="158"/>
      <c r="E4" s="158"/>
      <c r="F4" s="158"/>
      <c r="G4" s="158"/>
      <c r="H4" s="158"/>
      <c r="I4" s="158"/>
      <c r="J4" s="158"/>
      <c r="K4" s="159"/>
      <c r="L4" s="50"/>
      <c r="M4" s="1"/>
      <c r="N4" s="1"/>
      <c r="O4" s="1"/>
      <c r="P4" s="1"/>
      <c r="Q4" s="1"/>
      <c r="R4" s="1"/>
      <c r="S4" s="1"/>
      <c r="T4" s="1"/>
      <c r="U4" s="1"/>
      <c r="V4" s="1"/>
      <c r="W4" s="1"/>
      <c r="X4" s="1"/>
      <c r="Y4" s="1"/>
      <c r="Z4" s="1"/>
    </row>
    <row r="5" spans="1:26" ht="26.25" customHeight="1">
      <c r="A5" s="51"/>
      <c r="B5" s="52" t="s">
        <v>1502</v>
      </c>
      <c r="C5" s="160" t="s">
        <v>1503</v>
      </c>
      <c r="D5" s="161"/>
      <c r="E5" s="161"/>
      <c r="F5" s="161"/>
      <c r="G5" s="161"/>
      <c r="H5" s="161"/>
      <c r="I5" s="161"/>
      <c r="J5" s="161"/>
      <c r="K5" s="162"/>
      <c r="L5" s="21"/>
      <c r="M5" s="1"/>
      <c r="N5" s="1"/>
      <c r="O5" s="1"/>
      <c r="P5" s="1"/>
      <c r="Q5" s="1"/>
      <c r="R5" s="1"/>
      <c r="S5" s="1"/>
      <c r="T5" s="1"/>
      <c r="U5" s="1"/>
      <c r="V5" s="1"/>
      <c r="W5" s="1"/>
      <c r="X5" s="1"/>
      <c r="Y5" s="1"/>
      <c r="Z5" s="1"/>
    </row>
    <row r="6" spans="1:26" ht="19.5" customHeight="1">
      <c r="A6" s="2"/>
      <c r="B6" s="17"/>
      <c r="C6" s="53"/>
      <c r="D6" s="53"/>
      <c r="E6" s="53"/>
      <c r="F6" s="53"/>
      <c r="G6" s="53"/>
      <c r="H6" s="53"/>
      <c r="I6" s="53"/>
      <c r="J6" s="53"/>
      <c r="K6" s="53"/>
      <c r="L6" s="53"/>
      <c r="M6" s="1"/>
      <c r="N6" s="1"/>
      <c r="O6" s="1"/>
      <c r="P6" s="1"/>
      <c r="Q6" s="1"/>
      <c r="R6" s="1"/>
      <c r="S6" s="1"/>
      <c r="T6" s="1"/>
      <c r="U6" s="1"/>
      <c r="V6" s="1"/>
      <c r="W6" s="1"/>
      <c r="X6" s="1"/>
      <c r="Y6" s="1"/>
      <c r="Z6" s="1"/>
    </row>
    <row r="7" spans="1:26" ht="19.5" customHeight="1">
      <c r="A7" s="2"/>
      <c r="B7" s="22" t="s">
        <v>613</v>
      </c>
      <c r="C7" s="54">
        <v>2025</v>
      </c>
      <c r="D7" s="53"/>
      <c r="E7" s="53"/>
      <c r="F7" s="53"/>
      <c r="G7" s="53"/>
      <c r="H7" s="53"/>
      <c r="I7" s="53"/>
      <c r="J7" s="53"/>
      <c r="K7" s="53"/>
      <c r="L7" s="53"/>
      <c r="M7" s="1"/>
      <c r="N7" s="1"/>
      <c r="O7" s="1"/>
      <c r="P7" s="1"/>
      <c r="Q7" s="1"/>
      <c r="R7" s="1"/>
      <c r="S7" s="1"/>
      <c r="T7" s="1"/>
      <c r="U7" s="1"/>
      <c r="V7" s="1"/>
      <c r="W7" s="1"/>
      <c r="X7" s="1"/>
      <c r="Y7" s="1"/>
      <c r="Z7" s="1"/>
    </row>
    <row r="8" spans="1:26" ht="19.5" customHeight="1">
      <c r="A8" s="23"/>
      <c r="B8" s="24"/>
      <c r="C8" s="106"/>
      <c r="D8" s="107"/>
      <c r="E8" s="107"/>
      <c r="F8" s="107"/>
      <c r="G8" s="107"/>
      <c r="H8" s="107"/>
      <c r="I8" s="107"/>
      <c r="J8" s="53"/>
      <c r="K8" s="53"/>
      <c r="L8" s="53"/>
      <c r="M8" s="1"/>
      <c r="N8" s="1"/>
      <c r="O8" s="1"/>
      <c r="P8" s="1"/>
      <c r="Q8" s="1"/>
      <c r="R8" s="1"/>
      <c r="S8" s="1"/>
      <c r="T8" s="1"/>
      <c r="U8" s="1"/>
      <c r="V8" s="1"/>
      <c r="W8" s="1"/>
      <c r="X8" s="1"/>
      <c r="Y8" s="1"/>
      <c r="Z8" s="1"/>
    </row>
    <row r="9" spans="1:26" ht="19.5" customHeight="1">
      <c r="A9" s="11"/>
      <c r="B9" s="116">
        <f t="array" ref="B9">$B10-1</f>
        <v>1950</v>
      </c>
      <c r="C9" s="81">
        <f t="array" ref="C9">I9</f>
        <v>43790</v>
      </c>
      <c r="D9" s="80"/>
      <c r="E9" s="80"/>
      <c r="F9" s="132"/>
      <c r="G9" s="132"/>
      <c r="H9" s="80"/>
      <c r="I9" s="132">
        <v>43790</v>
      </c>
      <c r="J9" s="58"/>
      <c r="K9" s="58"/>
      <c r="L9" s="58"/>
      <c r="M9" s="1"/>
      <c r="N9" s="1"/>
      <c r="O9" s="1"/>
      <c r="P9" s="1"/>
      <c r="Q9" s="1"/>
      <c r="R9" s="1"/>
      <c r="S9" s="1"/>
      <c r="T9" s="1"/>
      <c r="U9" s="1"/>
      <c r="V9" s="1"/>
      <c r="W9" s="1"/>
      <c r="X9" s="1"/>
      <c r="Y9" s="1"/>
      <c r="Z9" s="1"/>
    </row>
    <row r="10" spans="1:26" ht="19.5" customHeight="1">
      <c r="A10" s="11"/>
      <c r="B10" s="116">
        <f t="array" ref="B10">$B11-1</f>
        <v>1951</v>
      </c>
      <c r="C10" s="81">
        <f t="array" ref="C10">I10</f>
        <v>25257</v>
      </c>
      <c r="D10" s="80"/>
      <c r="E10" s="80"/>
      <c r="F10" s="132"/>
      <c r="G10" s="132"/>
      <c r="H10" s="80"/>
      <c r="I10" s="132">
        <v>25257</v>
      </c>
      <c r="J10" s="58"/>
      <c r="K10" s="58"/>
      <c r="L10" s="58"/>
      <c r="M10" s="1"/>
      <c r="N10" s="1"/>
      <c r="O10" s="1"/>
      <c r="P10" s="1"/>
      <c r="Q10" s="1"/>
      <c r="R10" s="1"/>
      <c r="S10" s="1"/>
      <c r="T10" s="1"/>
      <c r="U10" s="1"/>
      <c r="V10" s="1"/>
      <c r="W10" s="1"/>
      <c r="X10" s="1"/>
      <c r="Y10" s="1"/>
      <c r="Z10" s="1"/>
    </row>
    <row r="11" spans="1:26" ht="19.5" customHeight="1">
      <c r="A11" s="11"/>
      <c r="B11" s="116">
        <f t="array" ref="B11">$B12-1</f>
        <v>1952</v>
      </c>
      <c r="C11" s="81">
        <f t="array" ref="C11">I11</f>
        <v>28139</v>
      </c>
      <c r="D11" s="80"/>
      <c r="E11" s="80"/>
      <c r="F11" s="132"/>
      <c r="G11" s="132"/>
      <c r="H11" s="80"/>
      <c r="I11" s="132">
        <v>28139</v>
      </c>
      <c r="J11" s="58"/>
      <c r="K11" s="58"/>
      <c r="L11" s="58"/>
      <c r="M11" s="1"/>
      <c r="N11" s="1"/>
      <c r="O11" s="1"/>
      <c r="P11" s="1"/>
      <c r="Q11" s="1"/>
      <c r="R11" s="1"/>
      <c r="S11" s="1"/>
      <c r="T11" s="1"/>
      <c r="U11" s="1"/>
      <c r="V11" s="1"/>
      <c r="W11" s="1"/>
      <c r="X11" s="1"/>
      <c r="Y11" s="1"/>
      <c r="Z11" s="1"/>
    </row>
    <row r="12" spans="1:26" ht="19.5" customHeight="1">
      <c r="A12" s="11"/>
      <c r="B12" s="116">
        <f t="array" ref="B12">$B13-1</f>
        <v>1953</v>
      </c>
      <c r="C12" s="81">
        <f t="array" ref="C12">I12</f>
        <v>34824</v>
      </c>
      <c r="D12" s="80"/>
      <c r="E12" s="80"/>
      <c r="F12" s="132"/>
      <c r="G12" s="132"/>
      <c r="H12" s="80"/>
      <c r="I12" s="132">
        <v>34824</v>
      </c>
      <c r="J12" s="58"/>
      <c r="K12" s="58"/>
      <c r="L12" s="58"/>
      <c r="M12" s="1"/>
      <c r="N12" s="1"/>
      <c r="O12" s="1"/>
      <c r="P12" s="1"/>
      <c r="Q12" s="1"/>
      <c r="R12" s="1"/>
      <c r="S12" s="1"/>
      <c r="T12" s="1"/>
      <c r="U12" s="1"/>
      <c r="V12" s="1"/>
      <c r="W12" s="1"/>
      <c r="X12" s="1"/>
      <c r="Y12" s="1"/>
      <c r="Z12" s="1"/>
    </row>
    <row r="13" spans="1:26" ht="19.5" customHeight="1">
      <c r="A13" s="11"/>
      <c r="B13" s="116">
        <f t="array" ref="B13">$B14-1</f>
        <v>1954</v>
      </c>
      <c r="C13" s="81">
        <f t="array" ref="C13">I13</f>
        <v>39308</v>
      </c>
      <c r="D13" s="80"/>
      <c r="E13" s="80"/>
      <c r="F13" s="132"/>
      <c r="G13" s="132"/>
      <c r="H13" s="80"/>
      <c r="I13" s="132">
        <v>39308</v>
      </c>
      <c r="J13" s="58"/>
      <c r="K13" s="58"/>
      <c r="L13" s="58"/>
      <c r="M13" s="1"/>
      <c r="N13" s="1"/>
      <c r="O13" s="1"/>
      <c r="P13" s="1"/>
      <c r="Q13" s="1"/>
      <c r="R13" s="1"/>
      <c r="S13" s="1"/>
      <c r="T13" s="1"/>
      <c r="U13" s="1"/>
      <c r="V13" s="1"/>
      <c r="W13" s="1"/>
      <c r="X13" s="1"/>
      <c r="Y13" s="1"/>
      <c r="Z13" s="1"/>
    </row>
    <row r="14" spans="1:26" ht="19.5" customHeight="1">
      <c r="A14" s="11"/>
      <c r="B14" s="116">
        <f t="array" ref="B14">$B15-1</f>
        <v>1955</v>
      </c>
      <c r="C14" s="81">
        <f t="array" ref="C14">I14</f>
        <v>44972</v>
      </c>
      <c r="D14" s="80"/>
      <c r="E14" s="80"/>
      <c r="F14" s="132"/>
      <c r="G14" s="132"/>
      <c r="H14" s="80"/>
      <c r="I14" s="132">
        <v>44972</v>
      </c>
      <c r="J14" s="58"/>
      <c r="K14" s="58"/>
      <c r="L14" s="58"/>
      <c r="M14" s="1"/>
      <c r="N14" s="1"/>
      <c r="O14" s="1"/>
      <c r="P14" s="1"/>
      <c r="Q14" s="1"/>
      <c r="R14" s="1"/>
      <c r="S14" s="1"/>
      <c r="T14" s="1"/>
      <c r="U14" s="1"/>
      <c r="V14" s="1"/>
      <c r="W14" s="1"/>
      <c r="X14" s="1"/>
      <c r="Y14" s="1"/>
      <c r="Z14" s="1"/>
    </row>
    <row r="15" spans="1:26" ht="19.5" customHeight="1">
      <c r="A15" s="11"/>
      <c r="B15" s="116">
        <f t="array" ref="B15">$B16-1</f>
        <v>1956</v>
      </c>
      <c r="C15" s="81">
        <f t="array" ref="C15">I15</f>
        <v>38040</v>
      </c>
      <c r="D15" s="80"/>
      <c r="E15" s="80"/>
      <c r="F15" s="132"/>
      <c r="G15" s="132"/>
      <c r="H15" s="80"/>
      <c r="I15" s="132">
        <v>38040</v>
      </c>
      <c r="J15" s="58"/>
      <c r="K15" s="58"/>
      <c r="L15" s="58"/>
      <c r="M15" s="1"/>
      <c r="N15" s="1"/>
      <c r="O15" s="1"/>
      <c r="P15" s="1"/>
      <c r="Q15" s="1"/>
      <c r="R15" s="1"/>
      <c r="S15" s="1"/>
      <c r="T15" s="1"/>
      <c r="U15" s="1"/>
      <c r="V15" s="1"/>
      <c r="W15" s="1"/>
      <c r="X15" s="1"/>
      <c r="Y15" s="1"/>
      <c r="Z15" s="1"/>
    </row>
    <row r="16" spans="1:26" ht="19.5" customHeight="1">
      <c r="A16" s="11"/>
      <c r="B16" s="116">
        <f t="array" ref="B16">$B17-1</f>
        <v>1957</v>
      </c>
      <c r="C16" s="81">
        <f t="array" ref="C16">I16</f>
        <v>36890</v>
      </c>
      <c r="D16" s="80"/>
      <c r="E16" s="80"/>
      <c r="F16" s="132"/>
      <c r="G16" s="132"/>
      <c r="H16" s="80"/>
      <c r="I16" s="132">
        <v>36890</v>
      </c>
      <c r="J16" s="58"/>
      <c r="K16" s="58"/>
      <c r="L16" s="58"/>
      <c r="M16" s="1"/>
      <c r="N16" s="1"/>
      <c r="O16" s="1"/>
      <c r="P16" s="1"/>
      <c r="Q16" s="1"/>
      <c r="R16" s="1"/>
      <c r="S16" s="1"/>
      <c r="T16" s="1"/>
      <c r="U16" s="1"/>
      <c r="V16" s="1"/>
      <c r="W16" s="1"/>
      <c r="X16" s="1"/>
      <c r="Y16" s="1"/>
      <c r="Z16" s="1"/>
    </row>
    <row r="17" spans="1:26" ht="19.5" customHeight="1">
      <c r="A17" s="11"/>
      <c r="B17" s="116">
        <f t="array" ref="B17">$B18-1</f>
        <v>1958</v>
      </c>
      <c r="C17" s="81">
        <f t="array" ref="C17">I17</f>
        <v>34452</v>
      </c>
      <c r="D17" s="80"/>
      <c r="E17" s="80"/>
      <c r="F17" s="132"/>
      <c r="G17" s="132"/>
      <c r="H17" s="80"/>
      <c r="I17" s="132">
        <v>34452</v>
      </c>
      <c r="J17" s="58"/>
      <c r="K17" s="58"/>
      <c r="L17" s="58"/>
      <c r="M17" s="1"/>
      <c r="N17" s="1"/>
      <c r="O17" s="1"/>
      <c r="P17" s="1"/>
      <c r="Q17" s="1"/>
      <c r="R17" s="1"/>
      <c r="S17" s="1"/>
      <c r="T17" s="1"/>
      <c r="U17" s="1"/>
      <c r="V17" s="1"/>
      <c r="W17" s="1"/>
      <c r="X17" s="1"/>
      <c r="Y17" s="1"/>
      <c r="Z17" s="1"/>
    </row>
    <row r="18" spans="1:26" ht="19.5" customHeight="1">
      <c r="A18" s="11"/>
      <c r="B18" s="116">
        <f t="array" ref="B18">$B19-1</f>
        <v>1959</v>
      </c>
      <c r="C18" s="81">
        <f t="array" ref="C18">I18</f>
        <v>34098</v>
      </c>
      <c r="D18" s="80"/>
      <c r="E18" s="80"/>
      <c r="F18" s="132"/>
      <c r="G18" s="132"/>
      <c r="H18" s="80"/>
      <c r="I18" s="132">
        <v>34098</v>
      </c>
      <c r="J18" s="58"/>
      <c r="K18" s="58"/>
      <c r="L18" s="58"/>
      <c r="M18" s="1"/>
      <c r="N18" s="1"/>
      <c r="O18" s="1"/>
      <c r="P18" s="1"/>
      <c r="Q18" s="1"/>
      <c r="R18" s="1"/>
      <c r="S18" s="1"/>
      <c r="T18" s="1"/>
      <c r="U18" s="1"/>
      <c r="V18" s="1"/>
      <c r="W18" s="1"/>
      <c r="X18" s="1"/>
      <c r="Y18" s="1"/>
      <c r="Z18" s="1"/>
    </row>
    <row r="19" spans="1:26" ht="19.5" customHeight="1">
      <c r="A19" s="11"/>
      <c r="B19" s="116">
        <f t="array" ref="B19">$B20-1</f>
        <v>1960</v>
      </c>
      <c r="C19" s="81">
        <f t="array" ref="C19">I19</f>
        <v>29683</v>
      </c>
      <c r="D19" s="80"/>
      <c r="E19" s="80"/>
      <c r="F19" s="132"/>
      <c r="G19" s="132"/>
      <c r="H19" s="80"/>
      <c r="I19" s="132">
        <v>29683</v>
      </c>
      <c r="J19" s="58"/>
      <c r="K19" s="58"/>
      <c r="L19" s="58"/>
      <c r="M19" s="1"/>
      <c r="N19" s="1"/>
      <c r="O19" s="1"/>
      <c r="P19" s="1"/>
      <c r="Q19" s="1"/>
      <c r="R19" s="1"/>
      <c r="S19" s="1"/>
      <c r="T19" s="1"/>
      <c r="U19" s="1"/>
      <c r="V19" s="1"/>
      <c r="W19" s="1"/>
      <c r="X19" s="1"/>
      <c r="Y19" s="1"/>
      <c r="Z19" s="1"/>
    </row>
    <row r="20" spans="1:26" ht="19.5" customHeight="1">
      <c r="A20" s="11"/>
      <c r="B20" s="116">
        <f t="array" ref="B20">$B21-1</f>
        <v>1961</v>
      </c>
      <c r="C20" s="81">
        <f t="array" ref="C20">I20</f>
        <v>25954</v>
      </c>
      <c r="D20" s="80"/>
      <c r="E20" s="80"/>
      <c r="F20" s="132"/>
      <c r="G20" s="132"/>
      <c r="H20" s="80"/>
      <c r="I20" s="132">
        <v>25954</v>
      </c>
      <c r="J20" s="58"/>
      <c r="K20" s="58"/>
      <c r="L20" s="58"/>
      <c r="M20" s="1"/>
      <c r="N20" s="1"/>
      <c r="O20" s="1"/>
      <c r="P20" s="1"/>
      <c r="Q20" s="1"/>
      <c r="R20" s="1"/>
      <c r="S20" s="1"/>
      <c r="T20" s="1"/>
      <c r="U20" s="1"/>
      <c r="V20" s="1"/>
      <c r="W20" s="1"/>
      <c r="X20" s="1"/>
      <c r="Y20" s="1"/>
      <c r="Z20" s="1"/>
    </row>
    <row r="21" spans="1:26" ht="19.5" customHeight="1">
      <c r="A21" s="11"/>
      <c r="B21" s="116">
        <f t="array" ref="B21">$B22-1</f>
        <v>1962</v>
      </c>
      <c r="C21" s="81">
        <f t="array" ref="C21">I21</f>
        <v>28149</v>
      </c>
      <c r="D21" s="80"/>
      <c r="E21" s="80"/>
      <c r="F21" s="132"/>
      <c r="G21" s="132"/>
      <c r="H21" s="80"/>
      <c r="I21" s="132">
        <v>28149</v>
      </c>
      <c r="J21" s="58"/>
      <c r="K21" s="58"/>
      <c r="L21" s="58"/>
      <c r="M21" s="1"/>
      <c r="N21" s="1"/>
      <c r="O21" s="1"/>
      <c r="P21" s="1"/>
      <c r="Q21" s="1"/>
      <c r="R21" s="1"/>
      <c r="S21" s="1"/>
      <c r="T21" s="1"/>
      <c r="U21" s="1"/>
      <c r="V21" s="1"/>
      <c r="W21" s="1"/>
      <c r="X21" s="1"/>
      <c r="Y21" s="1"/>
      <c r="Z21" s="1"/>
    </row>
    <row r="22" spans="1:26" ht="19.5" customHeight="1">
      <c r="A22" s="11"/>
      <c r="B22" s="116">
        <f t="array" ref="B22">$B23-1</f>
        <v>1963</v>
      </c>
      <c r="C22" s="81">
        <f t="array" ref="C22">I22</f>
        <v>30648</v>
      </c>
      <c r="D22" s="80"/>
      <c r="E22" s="80"/>
      <c r="F22" s="132"/>
      <c r="G22" s="132"/>
      <c r="H22" s="80"/>
      <c r="I22" s="132">
        <v>30648</v>
      </c>
      <c r="J22" s="58"/>
      <c r="K22" s="58"/>
      <c r="L22" s="58"/>
      <c r="M22" s="1"/>
      <c r="N22" s="1"/>
      <c r="O22" s="1"/>
      <c r="P22" s="1"/>
      <c r="Q22" s="1"/>
      <c r="R22" s="1"/>
      <c r="S22" s="1"/>
      <c r="T22" s="1"/>
      <c r="U22" s="1"/>
      <c r="V22" s="1"/>
      <c r="W22" s="1"/>
      <c r="X22" s="1"/>
      <c r="Y22" s="1"/>
      <c r="Z22" s="1"/>
    </row>
    <row r="23" spans="1:26" ht="19.5" customHeight="1">
      <c r="A23" s="11"/>
      <c r="B23" s="116">
        <f t="array" ref="B23">$B24-1</f>
        <v>1964</v>
      </c>
      <c r="C23" s="81">
        <f t="array" ref="C23">I23</f>
        <v>27289</v>
      </c>
      <c r="D23" s="80"/>
      <c r="E23" s="80"/>
      <c r="F23" s="132"/>
      <c r="G23" s="132"/>
      <c r="H23" s="80"/>
      <c r="I23" s="132">
        <v>27289</v>
      </c>
      <c r="J23" s="58"/>
      <c r="K23" s="58"/>
      <c r="L23" s="58"/>
      <c r="M23" s="1"/>
      <c r="N23" s="1"/>
      <c r="O23" s="1"/>
      <c r="P23" s="1"/>
      <c r="Q23" s="1"/>
      <c r="R23" s="1"/>
      <c r="S23" s="1"/>
      <c r="T23" s="1"/>
      <c r="U23" s="1"/>
      <c r="V23" s="1"/>
      <c r="W23" s="1"/>
      <c r="X23" s="1"/>
      <c r="Y23" s="1"/>
      <c r="Z23" s="1"/>
    </row>
    <row r="24" spans="1:26" ht="19.5" customHeight="1">
      <c r="A24" s="11"/>
      <c r="B24" s="116">
        <f t="array" ref="B24">$B25-1</f>
        <v>1965</v>
      </c>
      <c r="C24" s="81">
        <f t="array" ref="C24">I24</f>
        <v>41487</v>
      </c>
      <c r="D24" s="80"/>
      <c r="E24" s="80"/>
      <c r="F24" s="132"/>
      <c r="G24" s="132"/>
      <c r="H24" s="80"/>
      <c r="I24" s="132">
        <v>41487</v>
      </c>
      <c r="J24" s="58"/>
      <c r="K24" s="58"/>
      <c r="L24" s="58"/>
      <c r="M24" s="1"/>
      <c r="N24" s="1"/>
      <c r="O24" s="1"/>
      <c r="P24" s="1"/>
      <c r="Q24" s="1"/>
      <c r="R24" s="1"/>
      <c r="S24" s="1"/>
      <c r="T24" s="1"/>
      <c r="U24" s="1"/>
      <c r="V24" s="1"/>
      <c r="W24" s="1"/>
      <c r="X24" s="1"/>
      <c r="Y24" s="1"/>
      <c r="Z24" s="1"/>
    </row>
    <row r="25" spans="1:26" ht="19.5" customHeight="1">
      <c r="A25" s="11"/>
      <c r="B25" s="116">
        <f t="array" ref="B25">$B26-1</f>
        <v>1966</v>
      </c>
      <c r="C25" s="81">
        <f t="array" ref="C25">I25</f>
        <v>30488</v>
      </c>
      <c r="D25" s="80"/>
      <c r="E25" s="80"/>
      <c r="F25" s="132"/>
      <c r="G25" s="132"/>
      <c r="H25" s="80"/>
      <c r="I25" s="132">
        <v>30488</v>
      </c>
      <c r="J25" s="58"/>
      <c r="K25" s="58"/>
      <c r="L25" s="58"/>
      <c r="M25" s="1"/>
      <c r="N25" s="1"/>
      <c r="O25" s="1"/>
      <c r="P25" s="1"/>
      <c r="Q25" s="1"/>
      <c r="R25" s="1"/>
      <c r="S25" s="1"/>
      <c r="T25" s="1"/>
      <c r="U25" s="1"/>
      <c r="V25" s="1"/>
      <c r="W25" s="1"/>
      <c r="X25" s="1"/>
      <c r="Y25" s="1"/>
      <c r="Z25" s="1"/>
    </row>
    <row r="26" spans="1:26" ht="19.5" customHeight="1">
      <c r="A26" s="11"/>
      <c r="B26" s="116">
        <f t="array" ref="B26">$B27-1</f>
        <v>1967</v>
      </c>
      <c r="C26" s="81">
        <f t="array" ref="C26">I26</f>
        <v>57231</v>
      </c>
      <c r="D26" s="80"/>
      <c r="E26" s="80"/>
      <c r="F26" s="132"/>
      <c r="G26" s="132"/>
      <c r="H26" s="80"/>
      <c r="I26" s="132">
        <v>57231</v>
      </c>
      <c r="J26" s="58"/>
      <c r="K26" s="58"/>
      <c r="L26" s="58"/>
      <c r="M26" s="1"/>
      <c r="N26" s="1"/>
      <c r="O26" s="1"/>
      <c r="P26" s="1"/>
      <c r="Q26" s="1"/>
      <c r="R26" s="1"/>
      <c r="S26" s="1"/>
      <c r="T26" s="1"/>
      <c r="U26" s="1"/>
      <c r="V26" s="1"/>
      <c r="W26" s="1"/>
      <c r="X26" s="1"/>
      <c r="Y26" s="1"/>
      <c r="Z26" s="1"/>
    </row>
    <row r="27" spans="1:26" ht="19.5" customHeight="1">
      <c r="A27" s="11"/>
      <c r="B27" s="116">
        <f t="array" ref="B27">$B28-1</f>
        <v>1968</v>
      </c>
      <c r="C27" s="81">
        <f t="array" ref="C27">I27</f>
        <v>38287</v>
      </c>
      <c r="D27" s="80"/>
      <c r="E27" s="80"/>
      <c r="F27" s="132"/>
      <c r="G27" s="132"/>
      <c r="H27" s="80"/>
      <c r="I27" s="132">
        <v>38287</v>
      </c>
      <c r="J27" s="58"/>
      <c r="K27" s="58"/>
      <c r="L27" s="58"/>
      <c r="M27" s="1"/>
      <c r="N27" s="1"/>
      <c r="O27" s="1"/>
      <c r="P27" s="1"/>
      <c r="Q27" s="1"/>
      <c r="R27" s="1"/>
      <c r="S27" s="1"/>
      <c r="T27" s="1"/>
      <c r="U27" s="1"/>
      <c r="V27" s="1"/>
      <c r="W27" s="1"/>
      <c r="X27" s="1"/>
      <c r="Y27" s="1"/>
      <c r="Z27" s="1"/>
    </row>
    <row r="28" spans="1:26" ht="19.5" customHeight="1">
      <c r="A28" s="11"/>
      <c r="B28" s="116">
        <f t="array" ref="B28">$B29-1</f>
        <v>1969</v>
      </c>
      <c r="C28" s="81">
        <f t="array" ref="C28">I28</f>
        <v>38397</v>
      </c>
      <c r="D28" s="80"/>
      <c r="E28" s="80"/>
      <c r="F28" s="132"/>
      <c r="G28" s="132"/>
      <c r="H28" s="80"/>
      <c r="I28" s="132">
        <v>38397</v>
      </c>
      <c r="J28" s="58"/>
      <c r="K28" s="58"/>
      <c r="L28" s="58"/>
      <c r="M28" s="1"/>
      <c r="N28" s="1"/>
      <c r="O28" s="1"/>
      <c r="P28" s="1"/>
      <c r="Q28" s="1"/>
      <c r="R28" s="1"/>
      <c r="S28" s="1"/>
      <c r="T28" s="1"/>
      <c r="U28" s="1"/>
      <c r="V28" s="1"/>
      <c r="W28" s="1"/>
      <c r="X28" s="1"/>
      <c r="Y28" s="1"/>
      <c r="Z28" s="1"/>
    </row>
    <row r="29" spans="1:26" ht="19.5" customHeight="1">
      <c r="A29" s="11"/>
      <c r="B29" s="116">
        <f t="array" ref="B29">$B30-1</f>
        <v>1970</v>
      </c>
      <c r="C29" s="81">
        <f t="array" ref="C29">I29</f>
        <v>35000</v>
      </c>
      <c r="D29" s="80"/>
      <c r="E29" s="80"/>
      <c r="F29" s="132"/>
      <c r="G29" s="132"/>
      <c r="H29" s="80"/>
      <c r="I29" s="132">
        <v>35000</v>
      </c>
      <c r="J29" s="58"/>
      <c r="K29" s="58"/>
      <c r="L29" s="58"/>
      <c r="M29" s="1"/>
      <c r="N29" s="1"/>
      <c r="O29" s="1"/>
      <c r="P29" s="1"/>
      <c r="Q29" s="1"/>
      <c r="R29" s="1"/>
      <c r="S29" s="1"/>
      <c r="T29" s="1"/>
      <c r="U29" s="1"/>
      <c r="V29" s="1"/>
      <c r="W29" s="1"/>
      <c r="X29" s="1"/>
      <c r="Y29" s="1"/>
      <c r="Z29" s="1"/>
    </row>
    <row r="30" spans="1:26" ht="19.5" customHeight="1">
      <c r="A30" s="11"/>
      <c r="B30" s="116">
        <f t="array" ref="B30">$B31-1</f>
        <v>1971</v>
      </c>
      <c r="C30" s="81">
        <f t="array" ref="C30">I30</f>
        <v>39989</v>
      </c>
      <c r="D30" s="80"/>
      <c r="E30" s="80"/>
      <c r="F30" s="132"/>
      <c r="G30" s="132"/>
      <c r="H30" s="80"/>
      <c r="I30" s="132">
        <v>39989</v>
      </c>
      <c r="J30" s="58"/>
      <c r="K30" s="58"/>
      <c r="L30" s="58"/>
      <c r="M30" s="1"/>
      <c r="N30" s="1"/>
      <c r="O30" s="1"/>
      <c r="P30" s="1"/>
      <c r="Q30" s="1"/>
      <c r="R30" s="1"/>
      <c r="S30" s="1"/>
      <c r="T30" s="1"/>
      <c r="U30" s="1"/>
      <c r="V30" s="1"/>
      <c r="W30" s="1"/>
      <c r="X30" s="1"/>
      <c r="Y30" s="1"/>
      <c r="Z30" s="1"/>
    </row>
    <row r="31" spans="1:26" ht="19.5" customHeight="1">
      <c r="A31" s="11"/>
      <c r="B31" s="116">
        <f t="array" ref="B31">$B32-1</f>
        <v>1972</v>
      </c>
      <c r="C31" s="81">
        <f t="array" ref="C31">I31</f>
        <v>35254</v>
      </c>
      <c r="D31" s="80"/>
      <c r="E31" s="80"/>
      <c r="F31" s="132"/>
      <c r="G31" s="132"/>
      <c r="H31" s="80"/>
      <c r="I31" s="132">
        <v>35254</v>
      </c>
      <c r="J31" s="58"/>
      <c r="K31" s="58"/>
      <c r="L31" s="58"/>
      <c r="M31" s="1"/>
      <c r="N31" s="1"/>
      <c r="O31" s="1"/>
      <c r="P31" s="1"/>
      <c r="Q31" s="1"/>
      <c r="R31" s="1"/>
      <c r="S31" s="1"/>
      <c r="T31" s="1"/>
      <c r="U31" s="1"/>
      <c r="V31" s="1"/>
      <c r="W31" s="1"/>
      <c r="X31" s="1"/>
      <c r="Y31" s="1"/>
      <c r="Z31" s="1"/>
    </row>
    <row r="32" spans="1:26" ht="19.5" customHeight="1">
      <c r="A32" s="11"/>
      <c r="B32" s="116">
        <f t="array" ref="B32">$B33-1</f>
        <v>1973</v>
      </c>
      <c r="C32" s="81">
        <f t="array" ref="C32">I32</f>
        <v>33662</v>
      </c>
      <c r="D32" s="80"/>
      <c r="E32" s="80"/>
      <c r="F32" s="132"/>
      <c r="G32" s="132"/>
      <c r="H32" s="80"/>
      <c r="I32" s="132">
        <v>33662</v>
      </c>
      <c r="J32" s="58"/>
      <c r="K32" s="58"/>
      <c r="L32" s="58"/>
      <c r="M32" s="1"/>
      <c r="N32" s="1"/>
      <c r="O32" s="1"/>
      <c r="P32" s="1"/>
      <c r="Q32" s="1"/>
      <c r="R32" s="1"/>
      <c r="S32" s="1"/>
      <c r="T32" s="1"/>
      <c r="U32" s="1"/>
      <c r="V32" s="1"/>
      <c r="W32" s="1"/>
      <c r="X32" s="1"/>
      <c r="Y32" s="1"/>
      <c r="Z32" s="1"/>
    </row>
    <row r="33" spans="1:26" ht="19.5" customHeight="1">
      <c r="A33" s="11"/>
      <c r="B33" s="116">
        <f t="array" ref="B33">$B34-1</f>
        <v>1974</v>
      </c>
      <c r="C33" s="81">
        <f t="array" ref="C33">I33</f>
        <v>36050</v>
      </c>
      <c r="D33" s="80"/>
      <c r="E33" s="80"/>
      <c r="F33" s="132"/>
      <c r="G33" s="132"/>
      <c r="H33" s="80"/>
      <c r="I33" s="132">
        <v>36050</v>
      </c>
      <c r="J33" s="58"/>
      <c r="K33" s="58"/>
      <c r="L33" s="58"/>
      <c r="M33" s="1"/>
      <c r="N33" s="1"/>
      <c r="O33" s="1"/>
      <c r="P33" s="1"/>
      <c r="Q33" s="1"/>
      <c r="R33" s="1"/>
      <c r="S33" s="1"/>
      <c r="T33" s="1"/>
      <c r="U33" s="1"/>
      <c r="V33" s="1"/>
      <c r="W33" s="1"/>
      <c r="X33" s="1"/>
      <c r="Y33" s="1"/>
      <c r="Z33" s="1"/>
    </row>
    <row r="34" spans="1:26" ht="19.5" customHeight="1">
      <c r="A34" s="11"/>
      <c r="B34" s="116">
        <f t="array" ref="B34">$B35-1</f>
        <v>1975</v>
      </c>
      <c r="C34" s="81">
        <f t="array" ref="C34">I34</f>
        <v>41388</v>
      </c>
      <c r="D34" s="80"/>
      <c r="E34" s="80"/>
      <c r="F34" s="132"/>
      <c r="G34" s="132"/>
      <c r="H34" s="80"/>
      <c r="I34" s="132">
        <v>41388</v>
      </c>
      <c r="J34" s="58"/>
      <c r="K34" s="58"/>
      <c r="L34" s="58"/>
      <c r="M34" s="1"/>
      <c r="N34" s="1"/>
      <c r="O34" s="1"/>
      <c r="P34" s="1"/>
      <c r="Q34" s="1"/>
      <c r="R34" s="1"/>
      <c r="S34" s="1"/>
      <c r="T34" s="1"/>
      <c r="U34" s="1"/>
      <c r="V34" s="1"/>
      <c r="W34" s="1"/>
      <c r="X34" s="1"/>
      <c r="Y34" s="1"/>
      <c r="Z34" s="1"/>
    </row>
    <row r="35" spans="1:26" ht="19.5" customHeight="1">
      <c r="A35" s="11"/>
      <c r="B35" s="116">
        <f t="array" ref="B35">$B36-1</f>
        <v>1976</v>
      </c>
      <c r="C35" s="81">
        <f t="array" ref="C35">I35</f>
        <v>45131</v>
      </c>
      <c r="D35" s="80"/>
      <c r="E35" s="80"/>
      <c r="F35" s="132"/>
      <c r="G35" s="132"/>
      <c r="H35" s="80"/>
      <c r="I35" s="132">
        <v>45131</v>
      </c>
      <c r="J35" s="58"/>
      <c r="K35" s="58"/>
      <c r="L35" s="58"/>
      <c r="M35" s="1"/>
      <c r="N35" s="1"/>
      <c r="O35" s="1"/>
      <c r="P35" s="1"/>
      <c r="Q35" s="1"/>
      <c r="R35" s="1"/>
      <c r="S35" s="1"/>
      <c r="T35" s="1"/>
      <c r="U35" s="1"/>
      <c r="V35" s="1"/>
      <c r="W35" s="1"/>
      <c r="X35" s="1"/>
      <c r="Y35" s="1"/>
      <c r="Z35" s="1"/>
    </row>
    <row r="36" spans="1:26" ht="19.5" customHeight="1">
      <c r="A36" s="11"/>
      <c r="B36" s="116">
        <f t="array" ref="B36">$B37-1</f>
        <v>1977</v>
      </c>
      <c r="C36" s="81">
        <f t="array" ref="C36">I36</f>
        <v>48135</v>
      </c>
      <c r="D36" s="80"/>
      <c r="E36" s="80"/>
      <c r="F36" s="132"/>
      <c r="G36" s="132"/>
      <c r="H36" s="80"/>
      <c r="I36" s="132">
        <v>48135</v>
      </c>
      <c r="J36" s="58"/>
      <c r="K36" s="58"/>
      <c r="L36" s="58"/>
      <c r="M36" s="1"/>
      <c r="N36" s="1"/>
      <c r="O36" s="1"/>
      <c r="P36" s="1"/>
      <c r="Q36" s="1"/>
      <c r="R36" s="1"/>
      <c r="S36" s="1"/>
      <c r="T36" s="1"/>
      <c r="U36" s="1"/>
      <c r="V36" s="1"/>
      <c r="W36" s="1"/>
      <c r="X36" s="1"/>
      <c r="Y36" s="1"/>
      <c r="Z36" s="1"/>
    </row>
    <row r="37" spans="1:26" ht="19.5" customHeight="1">
      <c r="A37" s="11"/>
      <c r="B37" s="116">
        <f t="array" ref="B37">$B38-1</f>
        <v>1978</v>
      </c>
      <c r="C37" s="81">
        <f t="array" ref="C37">I37</f>
        <v>50977</v>
      </c>
      <c r="D37" s="80"/>
      <c r="E37" s="80"/>
      <c r="F37" s="132"/>
      <c r="G37" s="132"/>
      <c r="H37" s="80"/>
      <c r="I37" s="132">
        <v>50977</v>
      </c>
      <c r="J37" s="58"/>
      <c r="K37" s="58"/>
      <c r="L37" s="58"/>
      <c r="M37" s="1"/>
      <c r="N37" s="1"/>
      <c r="O37" s="1"/>
      <c r="P37" s="1"/>
      <c r="Q37" s="1"/>
      <c r="R37" s="1"/>
      <c r="S37" s="1"/>
      <c r="T37" s="1"/>
      <c r="U37" s="1"/>
      <c r="V37" s="1"/>
      <c r="W37" s="1"/>
      <c r="X37" s="1"/>
      <c r="Y37" s="1"/>
      <c r="Z37" s="1"/>
    </row>
    <row r="38" spans="1:26" ht="19.5" customHeight="1">
      <c r="A38" s="11"/>
      <c r="B38" s="116">
        <f t="array" ref="B38">$B39-1</f>
        <v>1979</v>
      </c>
      <c r="C38" s="81">
        <f t="array" ref="C38">I38</f>
        <v>46810</v>
      </c>
      <c r="D38" s="80"/>
      <c r="E38" s="80"/>
      <c r="F38" s="132"/>
      <c r="G38" s="132"/>
      <c r="H38" s="80"/>
      <c r="I38" s="132">
        <v>46810</v>
      </c>
      <c r="J38" s="58"/>
      <c r="K38" s="58"/>
      <c r="L38" s="58"/>
      <c r="M38" s="1"/>
      <c r="N38" s="1"/>
      <c r="O38" s="1"/>
      <c r="P38" s="1"/>
      <c r="Q38" s="1"/>
      <c r="R38" s="1"/>
      <c r="S38" s="1"/>
      <c r="T38" s="1"/>
      <c r="U38" s="1"/>
      <c r="V38" s="1"/>
      <c r="W38" s="1"/>
      <c r="X38" s="1"/>
      <c r="Y38" s="1"/>
      <c r="Z38" s="1"/>
    </row>
    <row r="39" spans="1:26" ht="19.5" customHeight="1">
      <c r="A39" s="11"/>
      <c r="B39" s="116">
        <f t="array" ref="B39">$B40-1</f>
        <v>1980</v>
      </c>
      <c r="C39" s="81">
        <f t="array" ref="C39">I39</f>
        <v>52129</v>
      </c>
      <c r="D39" s="80"/>
      <c r="E39" s="80"/>
      <c r="F39" s="132"/>
      <c r="G39" s="132"/>
      <c r="H39" s="80"/>
      <c r="I39" s="132">
        <v>52129</v>
      </c>
      <c r="J39" s="58"/>
      <c r="K39" s="58"/>
      <c r="L39" s="58"/>
      <c r="M39" s="1"/>
      <c r="N39" s="1"/>
      <c r="O39" s="1"/>
      <c r="P39" s="1"/>
      <c r="Q39" s="1"/>
      <c r="R39" s="1"/>
      <c r="S39" s="1"/>
      <c r="T39" s="1"/>
      <c r="U39" s="1"/>
      <c r="V39" s="1"/>
      <c r="W39" s="1"/>
      <c r="X39" s="1"/>
      <c r="Y39" s="1"/>
      <c r="Z39" s="1"/>
    </row>
    <row r="40" spans="1:26" ht="19.5" customHeight="1">
      <c r="A40" s="11"/>
      <c r="B40" s="116">
        <f t="array" ref="B40">$B41-1</f>
        <v>1981</v>
      </c>
      <c r="C40" s="81">
        <f t="array" ref="C40">I40</f>
        <v>54030</v>
      </c>
      <c r="D40" s="80"/>
      <c r="E40" s="80"/>
      <c r="F40" s="132"/>
      <c r="G40" s="132"/>
      <c r="H40" s="80"/>
      <c r="I40" s="132">
        <v>54030</v>
      </c>
      <c r="J40" s="58"/>
      <c r="K40" s="58"/>
      <c r="L40" s="58"/>
      <c r="M40" s="1"/>
      <c r="N40" s="1"/>
      <c r="O40" s="1"/>
      <c r="P40" s="1"/>
      <c r="Q40" s="1"/>
      <c r="R40" s="1"/>
      <c r="S40" s="1"/>
      <c r="T40" s="1"/>
      <c r="U40" s="1"/>
      <c r="V40" s="1"/>
      <c r="W40" s="1"/>
      <c r="X40" s="1"/>
      <c r="Y40" s="1"/>
      <c r="Z40" s="1"/>
    </row>
    <row r="41" spans="1:26" ht="19.5" customHeight="1">
      <c r="A41" s="11"/>
      <c r="B41" s="116">
        <f t="array" ref="B41">$B42-1</f>
        <v>1982</v>
      </c>
      <c r="C41" s="81">
        <f t="array" ref="C41">I41</f>
        <v>48835</v>
      </c>
      <c r="D41" s="80"/>
      <c r="E41" s="80"/>
      <c r="F41" s="132"/>
      <c r="G41" s="132"/>
      <c r="H41" s="80"/>
      <c r="I41" s="132">
        <v>48835</v>
      </c>
      <c r="J41" s="58"/>
      <c r="K41" s="58"/>
      <c r="L41" s="58"/>
      <c r="M41" s="1"/>
      <c r="N41" s="1"/>
      <c r="O41" s="1"/>
      <c r="P41" s="1"/>
      <c r="Q41" s="1"/>
      <c r="R41" s="1"/>
      <c r="S41" s="1"/>
      <c r="T41" s="1"/>
      <c r="U41" s="1"/>
      <c r="V41" s="1"/>
      <c r="W41" s="1"/>
      <c r="X41" s="1"/>
      <c r="Y41" s="1"/>
      <c r="Z41" s="1"/>
    </row>
    <row r="42" spans="1:26" ht="19.5" customHeight="1">
      <c r="A42" s="11"/>
      <c r="B42" s="116">
        <f t="array" ref="B42">$B43-1</f>
        <v>1983</v>
      </c>
      <c r="C42" s="81">
        <f t="array" ref="C42">I42</f>
        <v>39714</v>
      </c>
      <c r="D42" s="80"/>
      <c r="E42" s="80"/>
      <c r="F42" s="132"/>
      <c r="G42" s="132"/>
      <c r="H42" s="80"/>
      <c r="I42" s="132">
        <v>39714</v>
      </c>
      <c r="J42" s="58"/>
      <c r="K42" s="58"/>
      <c r="L42" s="58"/>
      <c r="M42" s="1"/>
      <c r="N42" s="1"/>
      <c r="O42" s="1"/>
      <c r="P42" s="1"/>
      <c r="Q42" s="1"/>
      <c r="R42" s="1"/>
      <c r="S42" s="1"/>
      <c r="T42" s="1"/>
      <c r="U42" s="1"/>
      <c r="V42" s="1"/>
      <c r="W42" s="1"/>
      <c r="X42" s="1"/>
      <c r="Y42" s="1"/>
      <c r="Z42" s="1"/>
    </row>
    <row r="43" spans="1:26" ht="19.5" customHeight="1">
      <c r="A43" s="11"/>
      <c r="B43" s="116">
        <f t="array" ref="B43">$B44-1</f>
        <v>1984</v>
      </c>
      <c r="C43" s="81">
        <f t="array" ref="C43">I43</f>
        <v>35575</v>
      </c>
      <c r="D43" s="80"/>
      <c r="E43" s="80"/>
      <c r="F43" s="132"/>
      <c r="G43" s="132"/>
      <c r="H43" s="80"/>
      <c r="I43" s="132">
        <v>35575</v>
      </c>
      <c r="J43" s="58"/>
      <c r="K43" s="58"/>
      <c r="L43" s="58"/>
      <c r="M43" s="1"/>
      <c r="N43" s="1"/>
      <c r="O43" s="1"/>
      <c r="P43" s="1"/>
      <c r="Q43" s="1"/>
      <c r="R43" s="1"/>
      <c r="S43" s="1"/>
      <c r="T43" s="1"/>
      <c r="U43" s="1"/>
      <c r="V43" s="1"/>
      <c r="W43" s="1"/>
      <c r="X43" s="1"/>
      <c r="Y43" s="1"/>
      <c r="Z43" s="1"/>
    </row>
    <row r="44" spans="1:26" ht="19.5" customHeight="1">
      <c r="A44" s="11"/>
      <c r="B44" s="116">
        <f t="array" ref="B44">$B45-1</f>
        <v>1985</v>
      </c>
      <c r="C44" s="81">
        <f t="array" ref="C44">I44</f>
        <v>60688</v>
      </c>
      <c r="D44" s="80"/>
      <c r="E44" s="80"/>
      <c r="F44" s="132"/>
      <c r="G44" s="132"/>
      <c r="H44" s="80"/>
      <c r="I44" s="132">
        <v>60688</v>
      </c>
      <c r="J44" s="58"/>
      <c r="K44" s="58"/>
      <c r="L44" s="58"/>
      <c r="M44" s="1"/>
      <c r="N44" s="1"/>
      <c r="O44" s="1"/>
      <c r="P44" s="1"/>
      <c r="Q44" s="1"/>
      <c r="R44" s="1"/>
      <c r="S44" s="1"/>
      <c r="T44" s="1"/>
      <c r="U44" s="1"/>
      <c r="V44" s="1"/>
      <c r="W44" s="1"/>
      <c r="X44" s="1"/>
      <c r="Y44" s="1"/>
      <c r="Z44" s="1"/>
    </row>
    <row r="45" spans="1:26" ht="19.5" customHeight="1">
      <c r="A45" s="11"/>
      <c r="B45" s="116">
        <f t="array" ref="B45">$B46-1</f>
        <v>1986</v>
      </c>
      <c r="C45" s="81">
        <f t="array" ref="C45">I45</f>
        <v>55975</v>
      </c>
      <c r="D45" s="80"/>
      <c r="E45" s="80"/>
      <c r="F45" s="132"/>
      <c r="G45" s="132"/>
      <c r="H45" s="80"/>
      <c r="I45" s="132">
        <v>55975</v>
      </c>
      <c r="J45" s="58"/>
      <c r="K45" s="58"/>
      <c r="L45" s="58"/>
      <c r="M45" s="1"/>
      <c r="N45" s="1"/>
      <c r="O45" s="1"/>
      <c r="P45" s="1"/>
      <c r="Q45" s="1"/>
      <c r="R45" s="1"/>
      <c r="S45" s="1"/>
      <c r="T45" s="1"/>
      <c r="U45" s="1"/>
      <c r="V45" s="1"/>
      <c r="W45" s="1"/>
      <c r="X45" s="1"/>
      <c r="Y45" s="1"/>
      <c r="Z45" s="1"/>
    </row>
    <row r="46" spans="1:26" ht="19.5" customHeight="1">
      <c r="A46" s="11"/>
      <c r="B46" s="116">
        <f t="array" ref="B46">$B47-1</f>
        <v>1987</v>
      </c>
      <c r="C46" s="81">
        <f t="array" ref="C46">I46</f>
        <v>41758</v>
      </c>
      <c r="D46" s="80"/>
      <c r="E46" s="80"/>
      <c r="F46" s="132"/>
      <c r="G46" s="132"/>
      <c r="H46" s="80"/>
      <c r="I46" s="132">
        <v>41758</v>
      </c>
      <c r="J46" s="58"/>
      <c r="K46" s="58"/>
      <c r="L46" s="58"/>
      <c r="M46" s="1"/>
      <c r="N46" s="1"/>
      <c r="O46" s="1"/>
      <c r="P46" s="1"/>
      <c r="Q46" s="1"/>
      <c r="R46" s="1"/>
      <c r="S46" s="1"/>
      <c r="T46" s="1"/>
      <c r="U46" s="1"/>
      <c r="V46" s="1"/>
      <c r="W46" s="1"/>
      <c r="X46" s="1"/>
      <c r="Y46" s="1"/>
      <c r="Z46" s="1"/>
    </row>
    <row r="47" spans="1:26" ht="19.5" customHeight="1">
      <c r="A47" s="11"/>
      <c r="B47" s="116">
        <f t="array" ref="B47">$B48-1</f>
        <v>1988</v>
      </c>
      <c r="C47" s="81">
        <f t="array" ref="C47">I47</f>
        <v>54313</v>
      </c>
      <c r="D47" s="80"/>
      <c r="E47" s="80"/>
      <c r="F47" s="132"/>
      <c r="G47" s="132"/>
      <c r="H47" s="80"/>
      <c r="I47" s="132">
        <v>54313</v>
      </c>
      <c r="J47" s="58"/>
      <c r="K47" s="58"/>
      <c r="L47" s="58"/>
      <c r="M47" s="1"/>
      <c r="N47" s="1"/>
      <c r="O47" s="1"/>
      <c r="P47" s="1"/>
      <c r="Q47" s="1"/>
      <c r="R47" s="1"/>
      <c r="S47" s="1"/>
      <c r="T47" s="1"/>
      <c r="U47" s="1"/>
      <c r="V47" s="1"/>
      <c r="W47" s="1"/>
      <c r="X47" s="1"/>
      <c r="Y47" s="1"/>
      <c r="Z47" s="1"/>
    </row>
    <row r="48" spans="1:26" ht="19.5" customHeight="1">
      <c r="A48" s="11"/>
      <c r="B48" s="116">
        <f t="array" ref="B48">$B49-1</f>
        <v>1989</v>
      </c>
      <c r="C48" s="81">
        <f t="array" ref="C48">I48</f>
        <v>59528</v>
      </c>
      <c r="D48" s="80"/>
      <c r="E48" s="80"/>
      <c r="F48" s="132"/>
      <c r="G48" s="132"/>
      <c r="H48" s="80"/>
      <c r="I48" s="132">
        <v>59528</v>
      </c>
      <c r="J48" s="58"/>
      <c r="K48" s="58"/>
      <c r="L48" s="58"/>
      <c r="M48" s="1"/>
      <c r="N48" s="1"/>
      <c r="O48" s="1"/>
      <c r="P48" s="1"/>
      <c r="Q48" s="1"/>
      <c r="R48" s="1"/>
      <c r="S48" s="1"/>
      <c r="T48" s="1"/>
      <c r="U48" s="1"/>
      <c r="V48" s="1"/>
      <c r="W48" s="1"/>
      <c r="X48" s="1"/>
      <c r="Y48" s="1"/>
      <c r="Z48" s="1"/>
    </row>
    <row r="49" spans="1:26" ht="19.5" customHeight="1">
      <c r="A49" s="11"/>
      <c r="B49" s="116">
        <f t="array" ref="B49">$B50-1</f>
        <v>1990</v>
      </c>
      <c r="C49" s="81">
        <f t="array" ref="C49">I49</f>
        <v>64991</v>
      </c>
      <c r="D49" s="80"/>
      <c r="E49" s="80"/>
      <c r="F49" s="132"/>
      <c r="G49" s="132"/>
      <c r="H49" s="80"/>
      <c r="I49" s="132">
        <v>64991</v>
      </c>
      <c r="J49" s="58"/>
      <c r="K49" s="58"/>
      <c r="L49" s="58"/>
      <c r="M49" s="1"/>
      <c r="N49" s="1"/>
      <c r="O49" s="1"/>
      <c r="P49" s="1"/>
      <c r="Q49" s="1"/>
      <c r="R49" s="1"/>
      <c r="S49" s="1"/>
      <c r="T49" s="1"/>
      <c r="U49" s="1"/>
      <c r="V49" s="1"/>
      <c r="W49" s="1"/>
      <c r="X49" s="1"/>
      <c r="Y49" s="1"/>
      <c r="Z49" s="1"/>
    </row>
    <row r="50" spans="1:26" ht="19.5" customHeight="1">
      <c r="A50" s="11"/>
      <c r="B50" s="116">
        <f t="array" ref="B50">$B51-1</f>
        <v>1991</v>
      </c>
      <c r="C50" s="81">
        <f t="array" ref="C50">I50</f>
        <v>72242</v>
      </c>
      <c r="D50" s="80"/>
      <c r="E50" s="80"/>
      <c r="F50" s="132"/>
      <c r="G50" s="132"/>
      <c r="H50" s="80"/>
      <c r="I50" s="132">
        <v>72242</v>
      </c>
      <c r="J50" s="58"/>
      <c r="K50" s="58"/>
      <c r="L50" s="58"/>
      <c r="M50" s="1"/>
      <c r="N50" s="1"/>
      <c r="O50" s="1"/>
      <c r="P50" s="1"/>
      <c r="Q50" s="1"/>
      <c r="R50" s="1"/>
      <c r="S50" s="1"/>
      <c r="T50" s="1"/>
      <c r="U50" s="1"/>
      <c r="V50" s="1"/>
      <c r="W50" s="1"/>
      <c r="X50" s="1"/>
      <c r="Y50" s="1"/>
      <c r="Z50" s="1"/>
    </row>
    <row r="51" spans="1:26" ht="19.5" customHeight="1">
      <c r="A51" s="11"/>
      <c r="B51" s="116">
        <f t="array" ref="B51">$B52-1</f>
        <v>1992</v>
      </c>
      <c r="C51" s="81">
        <f t="array" ref="C51">I51</f>
        <v>71601</v>
      </c>
      <c r="D51" s="80"/>
      <c r="E51" s="80"/>
      <c r="F51" s="132"/>
      <c r="G51" s="132"/>
      <c r="H51" s="80"/>
      <c r="I51" s="132">
        <v>71601</v>
      </c>
      <c r="J51" s="58"/>
      <c r="K51" s="58"/>
      <c r="L51" s="58"/>
      <c r="M51" s="1"/>
      <c r="N51" s="1"/>
      <c r="O51" s="1"/>
      <c r="P51" s="1"/>
      <c r="Q51" s="1"/>
      <c r="R51" s="1"/>
      <c r="S51" s="1"/>
      <c r="T51" s="1"/>
      <c r="U51" s="1"/>
      <c r="V51" s="1"/>
      <c r="W51" s="1"/>
      <c r="X51" s="1"/>
      <c r="Y51" s="1"/>
      <c r="Z51" s="1"/>
    </row>
    <row r="52" spans="1:26" ht="19.5" customHeight="1">
      <c r="A52" s="11"/>
      <c r="B52" s="116">
        <f t="array" ref="B52">$B53-1</f>
        <v>1993</v>
      </c>
      <c r="C52" s="81">
        <f t="array" ref="C52">I52</f>
        <v>73170</v>
      </c>
      <c r="D52" s="80"/>
      <c r="E52" s="80"/>
      <c r="F52" s="132"/>
      <c r="G52" s="132"/>
      <c r="H52" s="80"/>
      <c r="I52" s="132">
        <v>73170</v>
      </c>
      <c r="J52" s="58"/>
      <c r="K52" s="58"/>
      <c r="L52" s="58"/>
      <c r="M52" s="1"/>
      <c r="N52" s="1"/>
      <c r="O52" s="1"/>
      <c r="P52" s="1"/>
      <c r="Q52" s="1"/>
      <c r="R52" s="1"/>
      <c r="S52" s="1"/>
      <c r="T52" s="1"/>
      <c r="U52" s="1"/>
      <c r="V52" s="1"/>
      <c r="W52" s="1"/>
      <c r="X52" s="1"/>
      <c r="Y52" s="1"/>
      <c r="Z52" s="1"/>
    </row>
    <row r="53" spans="1:26" ht="19.5" customHeight="1">
      <c r="A53" s="11"/>
      <c r="B53" s="116">
        <f t="array" ref="B53">$B54-1</f>
        <v>1994</v>
      </c>
      <c r="C53" s="81">
        <f t="array" ref="C53">I53</f>
        <v>126341</v>
      </c>
      <c r="D53" s="80"/>
      <c r="E53" s="80"/>
      <c r="F53" s="132"/>
      <c r="G53" s="132"/>
      <c r="H53" s="80"/>
      <c r="I53" s="132">
        <v>126341</v>
      </c>
      <c r="J53" s="58"/>
      <c r="K53" s="58"/>
      <c r="L53" s="58"/>
      <c r="M53" s="1"/>
      <c r="N53" s="1"/>
      <c r="O53" s="1"/>
      <c r="P53" s="1"/>
      <c r="Q53" s="1"/>
      <c r="R53" s="1"/>
      <c r="S53" s="1"/>
      <c r="T53" s="1"/>
      <c r="U53" s="1"/>
      <c r="V53" s="1"/>
      <c r="W53" s="1"/>
      <c r="X53" s="1"/>
      <c r="Y53" s="1"/>
      <c r="Z53" s="1"/>
    </row>
    <row r="54" spans="1:26" ht="19.5" customHeight="1">
      <c r="A54" s="11"/>
      <c r="B54" s="116">
        <f t="array" ref="B54">$B55-1</f>
        <v>1995</v>
      </c>
      <c r="C54" s="81">
        <f t="array" ref="C54">I54</f>
        <v>92412</v>
      </c>
      <c r="D54" s="80"/>
      <c r="E54" s="80"/>
      <c r="F54" s="132"/>
      <c r="G54" s="132"/>
      <c r="H54" s="80"/>
      <c r="I54" s="132">
        <v>92412</v>
      </c>
      <c r="J54" s="58"/>
      <c r="K54" s="58"/>
      <c r="L54" s="58"/>
      <c r="M54" s="1"/>
      <c r="N54" s="1"/>
      <c r="O54" s="1"/>
      <c r="P54" s="1"/>
      <c r="Q54" s="1"/>
      <c r="R54" s="1"/>
      <c r="S54" s="1"/>
      <c r="T54" s="1"/>
      <c r="U54" s="1"/>
      <c r="V54" s="1"/>
      <c r="W54" s="1"/>
      <c r="X54" s="1"/>
      <c r="Y54" s="1"/>
      <c r="Z54" s="1"/>
    </row>
    <row r="55" spans="1:26" ht="19.5" customHeight="1">
      <c r="A55" s="11"/>
      <c r="B55" s="116">
        <f t="array" ref="B55">$B56-1</f>
        <v>1996</v>
      </c>
      <c r="C55" s="81">
        <f t="array" ref="C55">I55</f>
        <v>109940</v>
      </c>
      <c r="D55" s="80"/>
      <c r="E55" s="80"/>
      <c r="F55" s="132"/>
      <c r="G55" s="132"/>
      <c r="H55" s="80"/>
      <c r="I55" s="132">
        <v>109940</v>
      </c>
      <c r="J55" s="58"/>
      <c r="K55" s="58"/>
      <c r="L55" s="58"/>
      <c r="M55" s="1"/>
      <c r="N55" s="1"/>
      <c r="O55" s="1"/>
      <c r="P55" s="1"/>
      <c r="Q55" s="1"/>
      <c r="R55" s="1"/>
      <c r="S55" s="1"/>
      <c r="T55" s="1"/>
      <c r="U55" s="1"/>
      <c r="V55" s="1"/>
      <c r="W55" s="1"/>
      <c r="X55" s="1"/>
      <c r="Y55" s="1"/>
      <c r="Z55" s="1"/>
    </row>
    <row r="56" spans="1:26" ht="19.5" customHeight="1">
      <c r="A56" s="11"/>
      <c r="B56" s="116">
        <f t="array" ref="B56">$B57-1</f>
        <v>1997</v>
      </c>
      <c r="C56" s="81">
        <f t="array" ref="C56">I56</f>
        <v>116286</v>
      </c>
      <c r="D56" s="80"/>
      <c r="E56" s="80"/>
      <c r="F56" s="132"/>
      <c r="G56" s="132"/>
      <c r="H56" s="80"/>
      <c r="I56" s="132">
        <v>116286</v>
      </c>
      <c r="J56" s="58"/>
      <c r="K56" s="58"/>
      <c r="L56" s="58"/>
      <c r="M56" s="1"/>
      <c r="N56" s="1"/>
      <c r="O56" s="1"/>
      <c r="P56" s="1"/>
      <c r="Q56" s="1"/>
      <c r="R56" s="1"/>
      <c r="S56" s="1"/>
      <c r="T56" s="1"/>
      <c r="U56" s="1"/>
      <c r="V56" s="1"/>
      <c r="W56" s="1"/>
      <c r="X56" s="1"/>
      <c r="Y56" s="1"/>
      <c r="Z56" s="1"/>
    </row>
    <row r="57" spans="1:26" ht="19.5" customHeight="1">
      <c r="A57" s="11"/>
      <c r="B57" s="116">
        <f t="array" ref="B57">$B58-1</f>
        <v>1998</v>
      </c>
      <c r="C57" s="81">
        <f t="array" ref="C57">I57</f>
        <v>0</v>
      </c>
      <c r="D57" s="80"/>
      <c r="E57" s="80"/>
      <c r="F57" s="132"/>
      <c r="G57" s="132"/>
      <c r="H57" s="80"/>
      <c r="I57" s="81">
        <f t="array" ref="I57">G57+F57</f>
        <v>0</v>
      </c>
      <c r="J57" s="58"/>
      <c r="K57" s="58"/>
      <c r="L57" s="58"/>
      <c r="M57" s="1"/>
      <c r="N57" s="1"/>
      <c r="O57" s="1"/>
      <c r="P57" s="1"/>
      <c r="Q57" s="1"/>
      <c r="R57" s="1"/>
      <c r="S57" s="1"/>
      <c r="T57" s="1"/>
      <c r="U57" s="1"/>
      <c r="V57" s="1"/>
      <c r="W57" s="1"/>
      <c r="X57" s="1"/>
      <c r="Y57" s="1"/>
      <c r="Z57" s="1"/>
    </row>
    <row r="58" spans="1:26" ht="19.5" customHeight="1">
      <c r="A58" s="11"/>
      <c r="B58" s="116">
        <f t="array" ref="B58">$B59-1</f>
        <v>1999</v>
      </c>
      <c r="C58" s="81">
        <f t="array" ref="C58">I58</f>
        <v>0</v>
      </c>
      <c r="D58" s="80"/>
      <c r="E58" s="80"/>
      <c r="F58" s="132"/>
      <c r="G58" s="132"/>
      <c r="H58" s="80"/>
      <c r="I58" s="81">
        <f t="array" ref="I58">G58+F58</f>
        <v>0</v>
      </c>
      <c r="J58" s="58"/>
      <c r="K58" s="58"/>
      <c r="L58" s="58"/>
      <c r="M58" s="1"/>
      <c r="N58" s="1"/>
      <c r="O58" s="1"/>
      <c r="P58" s="1"/>
      <c r="Q58" s="1"/>
      <c r="R58" s="1"/>
      <c r="S58" s="1"/>
      <c r="T58" s="1"/>
      <c r="U58" s="1"/>
      <c r="V58" s="1"/>
      <c r="W58" s="1"/>
      <c r="X58" s="1"/>
      <c r="Y58" s="1"/>
      <c r="Z58" s="1"/>
    </row>
    <row r="59" spans="1:26" ht="19.5" customHeight="1">
      <c r="A59" s="11"/>
      <c r="B59" s="116">
        <f t="array" ref="B59">$B60-1</f>
        <v>2000</v>
      </c>
      <c r="C59" s="81">
        <f t="array" ref="C59">I59</f>
        <v>0</v>
      </c>
      <c r="D59" s="80"/>
      <c r="E59" s="80"/>
      <c r="F59" s="132"/>
      <c r="G59" s="132"/>
      <c r="H59" s="80"/>
      <c r="I59" s="81">
        <f t="array" ref="I59">G59+F59</f>
        <v>0</v>
      </c>
      <c r="J59" s="58"/>
      <c r="K59" s="58"/>
      <c r="L59" s="58"/>
      <c r="M59" s="1"/>
      <c r="N59" s="1"/>
      <c r="O59" s="1"/>
      <c r="P59" s="1"/>
      <c r="Q59" s="1"/>
      <c r="R59" s="1"/>
      <c r="S59" s="1"/>
      <c r="T59" s="1"/>
      <c r="U59" s="1"/>
      <c r="V59" s="1"/>
      <c r="W59" s="1"/>
      <c r="X59" s="1"/>
      <c r="Y59" s="1"/>
      <c r="Z59" s="1"/>
    </row>
    <row r="60" spans="1:26" ht="19.5" customHeight="1">
      <c r="A60" s="11"/>
      <c r="B60" s="116">
        <f t="array" ref="B60">$B61-1</f>
        <v>2001</v>
      </c>
      <c r="C60" s="81">
        <f t="array" ref="C60">I60</f>
        <v>0</v>
      </c>
      <c r="D60" s="80"/>
      <c r="E60" s="80"/>
      <c r="F60" s="132"/>
      <c r="G60" s="132"/>
      <c r="H60" s="80"/>
      <c r="I60" s="81">
        <f t="array" ref="I60">G60+F60</f>
        <v>0</v>
      </c>
      <c r="J60" s="58"/>
      <c r="K60" s="58"/>
      <c r="L60" s="58"/>
      <c r="M60" s="1"/>
      <c r="N60" s="1"/>
      <c r="O60" s="1"/>
      <c r="P60" s="1"/>
      <c r="Q60" s="1"/>
      <c r="R60" s="1"/>
      <c r="S60" s="1"/>
      <c r="T60" s="1"/>
      <c r="U60" s="1"/>
      <c r="V60" s="1"/>
      <c r="W60" s="1"/>
      <c r="X60" s="1"/>
      <c r="Y60" s="1"/>
      <c r="Z60" s="1"/>
    </row>
    <row r="61" spans="1:26" ht="19.5" customHeight="1">
      <c r="A61" s="11"/>
      <c r="B61" s="116">
        <f t="array" ref="B61">$B62-1</f>
        <v>2002</v>
      </c>
      <c r="C61" s="81">
        <f t="array" ref="C61">I61</f>
        <v>0</v>
      </c>
      <c r="D61" s="80"/>
      <c r="E61" s="80"/>
      <c r="F61" s="132"/>
      <c r="G61" s="132"/>
      <c r="H61" s="80"/>
      <c r="I61" s="81">
        <f t="array" ref="I61">G61+F61</f>
        <v>0</v>
      </c>
      <c r="J61" s="58"/>
      <c r="K61" s="58"/>
      <c r="L61" s="58"/>
      <c r="M61" s="1"/>
      <c r="N61" s="1"/>
      <c r="O61" s="1"/>
      <c r="P61" s="1"/>
      <c r="Q61" s="1"/>
      <c r="R61" s="1"/>
      <c r="S61" s="1"/>
      <c r="T61" s="1"/>
      <c r="U61" s="1"/>
      <c r="V61" s="1"/>
      <c r="W61" s="1"/>
      <c r="X61" s="1"/>
      <c r="Y61" s="1"/>
      <c r="Z61" s="1"/>
    </row>
    <row r="62" spans="1:26" ht="19.5" customHeight="1">
      <c r="A62" s="11"/>
      <c r="B62" s="116">
        <f t="array" ref="B62">$B63-1</f>
        <v>2003</v>
      </c>
      <c r="C62" s="81">
        <f t="array" ref="C62">I62</f>
        <v>0</v>
      </c>
      <c r="D62" s="80"/>
      <c r="E62" s="80"/>
      <c r="F62" s="132"/>
      <c r="G62" s="132"/>
      <c r="H62" s="80"/>
      <c r="I62" s="81">
        <f t="array" ref="I62">G62+F62</f>
        <v>0</v>
      </c>
      <c r="J62" s="58"/>
      <c r="K62" s="58"/>
      <c r="L62" s="58"/>
      <c r="M62" s="1"/>
      <c r="N62" s="1"/>
      <c r="O62" s="1"/>
      <c r="P62" s="1"/>
      <c r="Q62" s="1"/>
      <c r="R62" s="1"/>
      <c r="S62" s="1"/>
      <c r="T62" s="1"/>
      <c r="U62" s="1"/>
      <c r="V62" s="1"/>
      <c r="W62" s="1"/>
      <c r="X62" s="1"/>
      <c r="Y62" s="1"/>
      <c r="Z62" s="1"/>
    </row>
    <row r="63" spans="1:26" ht="19.5" customHeight="1">
      <c r="A63" s="11"/>
      <c r="B63" s="116">
        <f t="array" ref="B63">$B64-1</f>
        <v>2004</v>
      </c>
      <c r="C63" s="81">
        <f t="array" ref="C63">I63</f>
        <v>0</v>
      </c>
      <c r="D63" s="80"/>
      <c r="E63" s="80"/>
      <c r="F63" s="132"/>
      <c r="G63" s="132"/>
      <c r="H63" s="80"/>
      <c r="I63" s="81">
        <f t="array" ref="I63">G63+F63</f>
        <v>0</v>
      </c>
      <c r="J63" s="58"/>
      <c r="K63" s="58"/>
      <c r="L63" s="58"/>
      <c r="M63" s="1"/>
      <c r="N63" s="1"/>
      <c r="O63" s="1"/>
      <c r="P63" s="1"/>
      <c r="Q63" s="1"/>
      <c r="R63" s="1"/>
      <c r="S63" s="1"/>
      <c r="T63" s="1"/>
      <c r="U63" s="1"/>
      <c r="V63" s="1"/>
      <c r="W63" s="1"/>
      <c r="X63" s="1"/>
      <c r="Y63" s="1"/>
      <c r="Z63" s="1"/>
    </row>
    <row r="64" spans="1:26" ht="19.5" customHeight="1">
      <c r="A64" s="11"/>
      <c r="B64" s="116">
        <f t="array" ref="B64">$B65-1</f>
        <v>2005</v>
      </c>
      <c r="C64" s="81">
        <f t="array" ref="C64">I64</f>
        <v>0</v>
      </c>
      <c r="D64" s="80"/>
      <c r="E64" s="80"/>
      <c r="F64" s="132"/>
      <c r="G64" s="132"/>
      <c r="H64" s="80"/>
      <c r="I64" s="81">
        <f t="array" ref="I64">G64+F64</f>
        <v>0</v>
      </c>
      <c r="J64" s="58"/>
      <c r="K64" s="58"/>
      <c r="L64" s="58"/>
      <c r="M64" s="1"/>
      <c r="N64" s="1"/>
      <c r="O64" s="1"/>
      <c r="P64" s="1"/>
      <c r="Q64" s="1"/>
      <c r="R64" s="1"/>
      <c r="S64" s="1"/>
      <c r="T64" s="1"/>
      <c r="U64" s="1"/>
      <c r="V64" s="1"/>
      <c r="W64" s="1"/>
      <c r="X64" s="1"/>
      <c r="Y64" s="1"/>
      <c r="Z64" s="1"/>
    </row>
    <row r="65" spans="1:26" ht="19.5" customHeight="1">
      <c r="A65" s="11"/>
      <c r="B65" s="116">
        <f t="array" ref="B65">$B66-1</f>
        <v>2006</v>
      </c>
      <c r="C65" s="81">
        <f t="array" ref="C65">I65</f>
        <v>0</v>
      </c>
      <c r="D65" s="80"/>
      <c r="E65" s="80"/>
      <c r="F65" s="132"/>
      <c r="G65" s="132"/>
      <c r="H65" s="80"/>
      <c r="I65" s="81">
        <f t="array" ref="I65">G65+F65</f>
        <v>0</v>
      </c>
      <c r="J65" s="58"/>
      <c r="K65" s="58"/>
      <c r="L65" s="58"/>
      <c r="M65" s="1"/>
      <c r="N65" s="1"/>
      <c r="O65" s="1"/>
      <c r="P65" s="1"/>
      <c r="Q65" s="1"/>
      <c r="R65" s="1"/>
      <c r="S65" s="1"/>
      <c r="T65" s="1"/>
      <c r="U65" s="1"/>
      <c r="V65" s="1"/>
      <c r="W65" s="1"/>
      <c r="X65" s="1"/>
      <c r="Y65" s="1"/>
      <c r="Z65" s="1"/>
    </row>
    <row r="66" spans="1:26" ht="19.5" customHeight="1">
      <c r="A66" s="11"/>
      <c r="B66" s="116">
        <f t="array" ref="B66">$B67-1</f>
        <v>2007</v>
      </c>
      <c r="C66" s="81">
        <f t="array" ref="C66">I66</f>
        <v>0</v>
      </c>
      <c r="D66" s="80"/>
      <c r="E66" s="80"/>
      <c r="F66" s="132"/>
      <c r="G66" s="132"/>
      <c r="H66" s="80"/>
      <c r="I66" s="81">
        <f t="array" ref="I66">G66+F66</f>
        <v>0</v>
      </c>
      <c r="J66" s="58"/>
      <c r="K66" s="58"/>
      <c r="L66" s="58"/>
      <c r="M66" s="1"/>
      <c r="N66" s="1"/>
      <c r="O66" s="1"/>
      <c r="P66" s="1"/>
      <c r="Q66" s="1"/>
      <c r="R66" s="1"/>
      <c r="S66" s="1"/>
      <c r="T66" s="1"/>
      <c r="U66" s="1"/>
      <c r="V66" s="1"/>
      <c r="W66" s="1"/>
      <c r="X66" s="1"/>
      <c r="Y66" s="1"/>
      <c r="Z66" s="1"/>
    </row>
    <row r="67" spans="1:26" ht="19.5" customHeight="1">
      <c r="A67" s="11"/>
      <c r="B67" s="116">
        <f t="array" ref="B67">$B68-1</f>
        <v>2008</v>
      </c>
      <c r="C67" s="81">
        <f t="array" ref="C67">I67</f>
        <v>137452</v>
      </c>
      <c r="D67" s="80"/>
      <c r="E67" s="80"/>
      <c r="F67" s="132">
        <v>69749</v>
      </c>
      <c r="G67" s="132">
        <v>67703</v>
      </c>
      <c r="H67" s="80"/>
      <c r="I67" s="81">
        <f t="array" ref="I67">G67+F67</f>
        <v>137452</v>
      </c>
      <c r="J67" s="58"/>
      <c r="K67" s="58"/>
      <c r="L67" s="58"/>
      <c r="M67" s="1"/>
      <c r="N67" s="1"/>
      <c r="O67" s="1"/>
      <c r="P67" s="1"/>
      <c r="Q67" s="1"/>
      <c r="R67" s="1"/>
      <c r="S67" s="1"/>
      <c r="T67" s="1"/>
      <c r="U67" s="1"/>
      <c r="V67" s="1"/>
      <c r="W67" s="1"/>
      <c r="X67" s="1"/>
      <c r="Y67" s="1"/>
      <c r="Z67" s="1"/>
    </row>
    <row r="68" spans="1:26" ht="19.5" customHeight="1">
      <c r="A68" s="11"/>
      <c r="B68" s="116">
        <f t="array" ref="B68">$B69-1</f>
        <v>2009</v>
      </c>
      <c r="C68" s="81">
        <f t="array" ref="C68">I68</f>
        <v>135852</v>
      </c>
      <c r="D68" s="80"/>
      <c r="E68" s="80"/>
      <c r="F68" s="132">
        <v>69358</v>
      </c>
      <c r="G68" s="132">
        <v>66494</v>
      </c>
      <c r="H68" s="80"/>
      <c r="I68" s="81">
        <f t="array" ref="I68">G68+F68</f>
        <v>135852</v>
      </c>
      <c r="J68" s="58"/>
      <c r="K68" s="58"/>
      <c r="L68" s="58"/>
      <c r="M68" s="1"/>
      <c r="N68" s="1"/>
      <c r="O68" s="1"/>
      <c r="P68" s="1"/>
      <c r="Q68" s="1"/>
      <c r="R68" s="1"/>
      <c r="S68" s="1"/>
      <c r="T68" s="1"/>
      <c r="U68" s="1"/>
      <c r="V68" s="1"/>
      <c r="W68" s="1"/>
      <c r="X68" s="1"/>
      <c r="Y68" s="1"/>
      <c r="Z68" s="1"/>
    </row>
    <row r="69" spans="1:26" ht="19.5" customHeight="1">
      <c r="A69" s="11"/>
      <c r="B69" s="116">
        <f t="array" ref="B69">$B70-1</f>
        <v>2010</v>
      </c>
      <c r="C69" s="81">
        <f t="array" ref="C69">I69</f>
        <v>143261</v>
      </c>
      <c r="D69" s="80"/>
      <c r="E69" s="80"/>
      <c r="F69" s="132">
        <v>73087</v>
      </c>
      <c r="G69" s="132">
        <v>70174</v>
      </c>
      <c r="H69" s="80"/>
      <c r="I69" s="81">
        <f t="array" ref="I69">G69+F69</f>
        <v>143261</v>
      </c>
      <c r="J69" s="58"/>
      <c r="K69" s="58"/>
      <c r="L69" s="58"/>
      <c r="M69" s="1"/>
      <c r="N69" s="1"/>
      <c r="O69" s="1"/>
      <c r="P69" s="1"/>
      <c r="Q69" s="1"/>
      <c r="R69" s="1"/>
      <c r="S69" s="1"/>
      <c r="T69" s="1"/>
      <c r="U69" s="1"/>
      <c r="V69" s="1"/>
      <c r="W69" s="1"/>
      <c r="X69" s="1"/>
      <c r="Y69" s="1"/>
      <c r="Z69" s="1"/>
    </row>
    <row r="70" spans="1:26" ht="19.5" customHeight="1">
      <c r="A70" s="11"/>
      <c r="B70" s="116">
        <f t="array" ref="B70">$B71-1</f>
        <v>2011</v>
      </c>
      <c r="C70" s="81">
        <f t="array" ref="C70">I70</f>
        <v>114569</v>
      </c>
      <c r="D70" s="80"/>
      <c r="E70" s="80"/>
      <c r="F70" s="132">
        <v>59075</v>
      </c>
      <c r="G70" s="132">
        <v>55494</v>
      </c>
      <c r="H70" s="80"/>
      <c r="I70" s="81">
        <f t="array" ref="I70">G70+F70</f>
        <v>114569</v>
      </c>
      <c r="J70" s="58"/>
      <c r="K70" s="58"/>
      <c r="L70" s="58"/>
      <c r="M70" s="1"/>
      <c r="N70" s="1"/>
      <c r="O70" s="1"/>
      <c r="P70" s="1"/>
      <c r="Q70" s="1"/>
      <c r="R70" s="1"/>
      <c r="S70" s="1"/>
      <c r="T70" s="1"/>
      <c r="U70" s="1"/>
      <c r="V70" s="1"/>
      <c r="W70" s="1"/>
      <c r="X70" s="1"/>
      <c r="Y70" s="1"/>
      <c r="Z70" s="1"/>
    </row>
    <row r="71" spans="1:26" ht="19.5" customHeight="1">
      <c r="A71" s="11"/>
      <c r="B71" s="116">
        <f t="array" ref="B71">$B72-1</f>
        <v>2012</v>
      </c>
      <c r="C71" s="81">
        <f t="array" ref="C71">I71</f>
        <v>96051</v>
      </c>
      <c r="D71" s="80"/>
      <c r="E71" s="80"/>
      <c r="F71" s="132">
        <v>49413</v>
      </c>
      <c r="G71" s="132">
        <v>46638</v>
      </c>
      <c r="H71" s="80"/>
      <c r="I71" s="81">
        <f t="array" ref="I71">G71+F71</f>
        <v>96051</v>
      </c>
      <c r="J71" s="58"/>
      <c r="K71" s="58"/>
      <c r="L71" s="58"/>
      <c r="M71" s="1"/>
      <c r="N71" s="1"/>
      <c r="O71" s="1"/>
      <c r="P71" s="1"/>
      <c r="Q71" s="1"/>
      <c r="R71" s="1"/>
      <c r="S71" s="1"/>
      <c r="T71" s="1"/>
      <c r="U71" s="1"/>
      <c r="V71" s="1"/>
      <c r="W71" s="1"/>
      <c r="X71" s="1"/>
      <c r="Y71" s="1"/>
      <c r="Z71" s="1"/>
    </row>
    <row r="72" spans="1:26" ht="20.25" customHeight="1">
      <c r="A72" s="11"/>
      <c r="B72" s="116">
        <f t="array" ref="B72">$B73-1</f>
        <v>2013</v>
      </c>
      <c r="C72" s="81">
        <f t="array" ref="C72">I72</f>
        <v>97276</v>
      </c>
      <c r="D72" s="83"/>
      <c r="E72" s="83"/>
      <c r="F72" s="132">
        <v>49550</v>
      </c>
      <c r="G72" s="132">
        <v>47726</v>
      </c>
      <c r="H72" s="80"/>
      <c r="I72" s="81">
        <f t="array" ref="I72">G72+F72</f>
        <v>97276</v>
      </c>
      <c r="J72" s="58"/>
      <c r="K72" s="58"/>
      <c r="L72" s="58"/>
      <c r="M72" s="1"/>
      <c r="N72" s="1"/>
      <c r="O72" s="1"/>
      <c r="P72" s="1"/>
      <c r="Q72" s="1"/>
      <c r="R72" s="1"/>
      <c r="S72" s="1"/>
      <c r="T72" s="1"/>
      <c r="U72" s="1"/>
      <c r="V72" s="1"/>
      <c r="W72" s="1"/>
      <c r="X72" s="1"/>
      <c r="Y72" s="1"/>
      <c r="Z72" s="1"/>
    </row>
    <row r="73" spans="1:26" ht="20.25" customHeight="1">
      <c r="A73" s="11"/>
      <c r="B73" s="116">
        <f t="array" ref="B73">$B74-1</f>
        <v>2014</v>
      </c>
      <c r="C73" s="81">
        <f t="array" ref="C73">I73</f>
        <v>105613</v>
      </c>
      <c r="D73" s="103"/>
      <c r="E73" s="63"/>
      <c r="F73" s="133">
        <v>53939</v>
      </c>
      <c r="G73" s="132">
        <v>51674</v>
      </c>
      <c r="H73" s="80"/>
      <c r="I73" s="81">
        <f t="array" ref="I73">G73+F73</f>
        <v>105613</v>
      </c>
      <c r="J73" s="103"/>
      <c r="K73" s="63"/>
      <c r="L73" s="120"/>
      <c r="M73" s="1"/>
      <c r="N73" s="1"/>
      <c r="O73" s="1"/>
      <c r="P73" s="1"/>
      <c r="Q73" s="1"/>
      <c r="R73" s="1"/>
      <c r="S73" s="1"/>
      <c r="T73" s="1"/>
      <c r="U73" s="1"/>
      <c r="V73" s="1"/>
      <c r="W73" s="1"/>
      <c r="X73" s="1"/>
      <c r="Y73" s="1"/>
      <c r="Z73" s="1"/>
    </row>
    <row r="74" spans="1:26" ht="20.25" customHeight="1">
      <c r="A74" s="11"/>
      <c r="B74" s="116">
        <f t="array" ref="B74">$B75-1</f>
        <v>2015</v>
      </c>
      <c r="C74" s="81">
        <f t="array" ref="C74">I74</f>
        <v>113608</v>
      </c>
      <c r="D74" s="103"/>
      <c r="E74" s="63"/>
      <c r="F74" s="133">
        <v>58601</v>
      </c>
      <c r="G74" s="132">
        <v>55007</v>
      </c>
      <c r="H74" s="80"/>
      <c r="I74" s="81">
        <f t="array" ref="I74">G74+F74</f>
        <v>113608</v>
      </c>
      <c r="J74" s="103"/>
      <c r="K74" s="63"/>
      <c r="L74" s="120"/>
      <c r="M74" s="1"/>
      <c r="N74" s="1"/>
      <c r="O74" s="1"/>
      <c r="P74" s="1"/>
      <c r="Q74" s="1"/>
      <c r="R74" s="1"/>
      <c r="S74" s="1"/>
      <c r="T74" s="1"/>
      <c r="U74" s="1"/>
      <c r="V74" s="1"/>
      <c r="W74" s="1"/>
      <c r="X74" s="1"/>
      <c r="Y74" s="1"/>
      <c r="Z74" s="1"/>
    </row>
    <row r="75" spans="1:26" ht="20.25" customHeight="1">
      <c r="A75" s="11"/>
      <c r="B75" s="116">
        <f t="array" ref="B75">$B76-1</f>
        <v>2016</v>
      </c>
      <c r="C75" s="81">
        <f t="array" ref="C75">I75</f>
        <v>119152</v>
      </c>
      <c r="D75" s="103"/>
      <c r="E75" s="63"/>
      <c r="F75" s="133">
        <v>61272</v>
      </c>
      <c r="G75" s="132">
        <v>57880</v>
      </c>
      <c r="H75" s="80"/>
      <c r="I75" s="81">
        <f t="array" ref="I75">G75+F75</f>
        <v>119152</v>
      </c>
      <c r="J75" s="103"/>
      <c r="K75" s="63"/>
      <c r="L75" s="120"/>
      <c r="M75" s="1"/>
      <c r="N75" s="1"/>
      <c r="O75" s="1"/>
      <c r="P75" s="1"/>
      <c r="Q75" s="1"/>
      <c r="R75" s="1"/>
      <c r="S75" s="1"/>
      <c r="T75" s="1"/>
      <c r="U75" s="1"/>
      <c r="V75" s="1"/>
      <c r="W75" s="1"/>
      <c r="X75" s="1"/>
      <c r="Y75" s="1"/>
      <c r="Z75" s="1"/>
    </row>
    <row r="76" spans="1:26" ht="20.25" customHeight="1">
      <c r="A76" s="11"/>
      <c r="B76" s="116">
        <f t="array" ref="B76">$B77-1</f>
        <v>2017</v>
      </c>
      <c r="C76" s="81">
        <f t="array" ref="C76">I76</f>
        <v>114274</v>
      </c>
      <c r="D76" s="103"/>
      <c r="E76" s="63"/>
      <c r="F76" s="133">
        <v>58676</v>
      </c>
      <c r="G76" s="132">
        <v>55598</v>
      </c>
      <c r="H76" s="80"/>
      <c r="I76" s="81">
        <f t="array" ref="I76">G76+F76</f>
        <v>114274</v>
      </c>
      <c r="J76" s="103"/>
      <c r="K76" s="63"/>
      <c r="L76" s="120"/>
      <c r="M76" s="1"/>
      <c r="N76" s="1"/>
      <c r="O76" s="1"/>
      <c r="P76" s="1"/>
      <c r="Q76" s="1"/>
      <c r="R76" s="1"/>
      <c r="S76" s="1"/>
      <c r="T76" s="1"/>
      <c r="U76" s="1"/>
      <c r="V76" s="1"/>
      <c r="W76" s="1"/>
      <c r="X76" s="1"/>
      <c r="Y76" s="1"/>
      <c r="Z76" s="1"/>
    </row>
    <row r="77" spans="1:26" ht="20.25" customHeight="1">
      <c r="A77" s="11"/>
      <c r="B77" s="116">
        <f t="array" ref="B77">$B78-1</f>
        <v>2018</v>
      </c>
      <c r="C77" s="81">
        <f t="array" ref="C77">I77</f>
        <v>110014</v>
      </c>
      <c r="D77" s="103"/>
      <c r="E77" s="63"/>
      <c r="F77" s="133">
        <v>57244</v>
      </c>
      <c r="G77" s="132">
        <v>52770</v>
      </c>
      <c r="H77" s="80"/>
      <c r="I77" s="81">
        <f t="array" ref="I77">G77+F77</f>
        <v>110014</v>
      </c>
      <c r="J77" s="103"/>
      <c r="K77" s="63"/>
      <c r="L77" s="120"/>
      <c r="M77" s="1"/>
      <c r="N77" s="1"/>
      <c r="O77" s="1"/>
      <c r="P77" s="1"/>
      <c r="Q77" s="1"/>
      <c r="R77" s="1"/>
      <c r="S77" s="1"/>
      <c r="T77" s="1"/>
      <c r="U77" s="1"/>
      <c r="V77" s="1"/>
      <c r="W77" s="1"/>
      <c r="X77" s="1"/>
      <c r="Y77" s="1"/>
      <c r="Z77" s="1"/>
    </row>
    <row r="78" spans="1:26" ht="20.25" customHeight="1">
      <c r="A78" s="11"/>
      <c r="B78" s="116">
        <f t="array" ref="B78">$B79-1</f>
        <v>2019</v>
      </c>
      <c r="C78" s="81">
        <f t="array" ref="C78">I78</f>
        <v>109821</v>
      </c>
      <c r="D78" s="103"/>
      <c r="E78" s="63"/>
      <c r="F78" s="133">
        <v>57269</v>
      </c>
      <c r="G78" s="132">
        <v>52552</v>
      </c>
      <c r="H78" s="80"/>
      <c r="I78" s="81">
        <f t="array" ref="I78">G78+F78</f>
        <v>109821</v>
      </c>
      <c r="J78" s="103"/>
      <c r="K78" s="63"/>
      <c r="L78" s="120"/>
      <c r="M78" s="1"/>
      <c r="N78" s="1"/>
      <c r="O78" s="1"/>
      <c r="P78" s="1"/>
      <c r="Q78" s="1"/>
      <c r="R78" s="1"/>
      <c r="S78" s="1"/>
      <c r="T78" s="1"/>
      <c r="U78" s="1"/>
      <c r="V78" s="1"/>
      <c r="W78" s="1"/>
      <c r="X78" s="1"/>
      <c r="Y78" s="1"/>
      <c r="Z78" s="1"/>
    </row>
    <row r="79" spans="1:26" ht="20.25" customHeight="1">
      <c r="A79" s="11"/>
      <c r="B79" s="116">
        <f t="array" ref="B79">$B80-1</f>
        <v>2020</v>
      </c>
      <c r="C79" s="81">
        <f t="array" ref="C79">I79</f>
        <v>86483</v>
      </c>
      <c r="D79" s="103"/>
      <c r="E79" s="63"/>
      <c r="F79" s="133">
        <v>44942</v>
      </c>
      <c r="G79" s="132">
        <v>41541</v>
      </c>
      <c r="H79" s="80"/>
      <c r="I79" s="81">
        <f t="array" ref="I79">G79+F79</f>
        <v>86483</v>
      </c>
      <c r="J79" s="103"/>
      <c r="K79" s="63"/>
      <c r="L79" s="120"/>
      <c r="M79" s="1"/>
      <c r="N79" s="1"/>
      <c r="O79" s="1"/>
      <c r="P79" s="1"/>
      <c r="Q79" s="1"/>
      <c r="R79" s="1"/>
      <c r="S79" s="1"/>
      <c r="T79" s="1"/>
      <c r="U79" s="1"/>
      <c r="V79" s="1"/>
      <c r="W79" s="1"/>
      <c r="X79" s="1"/>
      <c r="Y79" s="1"/>
      <c r="Z79" s="1"/>
    </row>
    <row r="80" spans="1:26" ht="20.25" customHeight="1">
      <c r="A80" s="11"/>
      <c r="B80" s="116">
        <f t="array" ref="B80">$B81-1</f>
        <v>2021</v>
      </c>
      <c r="C80" s="81">
        <f t="array" ref="C80">I80</f>
        <v>130385</v>
      </c>
      <c r="D80" s="103"/>
      <c r="E80" s="63"/>
      <c r="F80" s="133">
        <v>66676</v>
      </c>
      <c r="G80" s="132">
        <v>63709</v>
      </c>
      <c r="H80" s="80"/>
      <c r="I80" s="81">
        <f t="array" ref="I80">G80+F80</f>
        <v>130385</v>
      </c>
      <c r="J80" s="103"/>
      <c r="K80" s="63"/>
      <c r="L80" s="120"/>
      <c r="M80" s="1"/>
      <c r="N80" s="1"/>
      <c r="O80" s="1"/>
      <c r="P80" s="1"/>
      <c r="Q80" s="1"/>
      <c r="R80" s="1"/>
      <c r="S80" s="1"/>
      <c r="T80" s="1"/>
      <c r="U80" s="1"/>
      <c r="V80" s="1"/>
      <c r="W80" s="1"/>
      <c r="X80" s="1"/>
      <c r="Y80" s="1"/>
      <c r="Z80" s="1"/>
    </row>
    <row r="81" spans="1:26" ht="20.25" customHeight="1">
      <c r="A81" s="11"/>
      <c r="B81" s="116">
        <f t="array" ref="B81">$B82-1</f>
        <v>2022</v>
      </c>
      <c r="C81" s="81">
        <f t="array" ref="C81">I81</f>
        <v>114483</v>
      </c>
      <c r="D81" s="103"/>
      <c r="E81" s="63"/>
      <c r="F81" s="133">
        <v>58789</v>
      </c>
      <c r="G81" s="132">
        <v>55694</v>
      </c>
      <c r="H81" s="80"/>
      <c r="I81" s="81">
        <f t="array" ref="I81">G81+F81</f>
        <v>114483</v>
      </c>
      <c r="J81" s="103"/>
      <c r="K81" s="63"/>
      <c r="L81" s="120"/>
      <c r="M81" s="1"/>
      <c r="N81" s="1"/>
      <c r="O81" s="1"/>
      <c r="P81" s="1"/>
      <c r="Q81" s="1"/>
      <c r="R81" s="1"/>
      <c r="S81" s="1"/>
      <c r="T81" s="1"/>
      <c r="U81" s="1"/>
      <c r="V81" s="1"/>
      <c r="W81" s="1"/>
      <c r="X81" s="1"/>
      <c r="Y81" s="1"/>
      <c r="Z81" s="1"/>
    </row>
    <row r="82" spans="1:26" ht="20.25" customHeight="1">
      <c r="A82" s="11"/>
      <c r="B82" s="116">
        <f t="array" ref="B82">$B83-1</f>
        <v>2023</v>
      </c>
      <c r="C82" s="81">
        <f t="array" ref="C82">I82</f>
        <v>97288</v>
      </c>
      <c r="D82" s="103"/>
      <c r="E82" s="63"/>
      <c r="F82" s="133">
        <v>50534</v>
      </c>
      <c r="G82" s="132">
        <v>46754</v>
      </c>
      <c r="H82" s="80"/>
      <c r="I82" s="81">
        <f t="array" ref="I82">G82+F82</f>
        <v>97288</v>
      </c>
      <c r="J82" s="103"/>
      <c r="K82" s="63"/>
      <c r="L82" s="120"/>
      <c r="M82" s="1"/>
      <c r="N82" s="1"/>
      <c r="O82" s="1"/>
      <c r="P82" s="1"/>
      <c r="Q82" s="1"/>
      <c r="R82" s="1"/>
      <c r="S82" s="1"/>
      <c r="T82" s="1"/>
      <c r="U82" s="1"/>
      <c r="V82" s="1"/>
      <c r="W82" s="1"/>
      <c r="X82" s="1"/>
      <c r="Y82" s="1"/>
      <c r="Z82" s="1"/>
    </row>
    <row r="83" spans="1:26" ht="20.25" customHeight="1">
      <c r="A83" s="11"/>
      <c r="B83" s="116">
        <f t="array" ref="B83">$B84-1</f>
        <v>2024</v>
      </c>
      <c r="C83" s="81">
        <f t="array" ref="C83">I83</f>
        <v>103661</v>
      </c>
      <c r="D83" s="103"/>
      <c r="E83" s="63"/>
      <c r="F83" s="133">
        <v>53787</v>
      </c>
      <c r="G83" s="132">
        <v>49874</v>
      </c>
      <c r="H83" s="80"/>
      <c r="I83" s="81">
        <f t="array" ref="I83">G83+F83</f>
        <v>103661</v>
      </c>
      <c r="J83" s="103"/>
      <c r="K83" s="63"/>
      <c r="L83" s="120"/>
      <c r="M83" s="1"/>
      <c r="N83" s="1"/>
      <c r="O83" s="1"/>
      <c r="P83" s="1"/>
      <c r="Q83" s="1"/>
      <c r="R83" s="1"/>
      <c r="S83" s="1"/>
      <c r="T83" s="1"/>
      <c r="U83" s="1"/>
      <c r="V83" s="1"/>
      <c r="W83" s="1"/>
      <c r="X83" s="1"/>
      <c r="Y83" s="1"/>
      <c r="Z83" s="1"/>
    </row>
    <row r="84" spans="1:26" ht="20.25" customHeight="1">
      <c r="A84" s="11"/>
      <c r="B84" s="116">
        <f t="array" ref="B84">$C$7</f>
        <v>2025</v>
      </c>
      <c r="C84" s="81">
        <f t="array" ref="C84">I84</f>
        <v>0</v>
      </c>
      <c r="D84" s="134"/>
      <c r="E84" s="135"/>
      <c r="F84" s="132"/>
      <c r="G84" s="132"/>
      <c r="H84" s="80"/>
      <c r="I84" s="81">
        <f t="array" ref="I84">G84+F84</f>
        <v>0</v>
      </c>
      <c r="J84" s="103"/>
      <c r="K84" s="63"/>
      <c r="L84" s="120"/>
      <c r="M84" s="1"/>
      <c r="N84" s="1"/>
      <c r="O84" s="1"/>
      <c r="P84" s="1"/>
      <c r="Q84" s="1"/>
      <c r="R84" s="1"/>
      <c r="S84" s="1"/>
      <c r="T84" s="1"/>
      <c r="U84" s="1"/>
      <c r="V84" s="1"/>
      <c r="W84" s="1"/>
      <c r="X84" s="1"/>
      <c r="Y84" s="1"/>
      <c r="Z84" s="1"/>
    </row>
    <row r="85" spans="1:26" ht="19.5" customHeight="1">
      <c r="A85" s="15"/>
      <c r="B85" s="16"/>
      <c r="C85" s="110">
        <f t="array" ref="C85">SUM(C9:C84)</f>
        <v>4278550</v>
      </c>
      <c r="D85" s="32"/>
      <c r="E85" s="32"/>
      <c r="F85" s="110">
        <f t="array" ref="F85">SUM(F9:F84)</f>
        <v>991961</v>
      </c>
      <c r="G85" s="110">
        <f t="array" ref="G85">SUM(G9:G84)</f>
        <v>937282</v>
      </c>
      <c r="H85" s="32"/>
      <c r="I85" s="110">
        <f t="array" ref="I85">SUM(I9:I84)</f>
        <v>4278550</v>
      </c>
      <c r="J85" s="13"/>
      <c r="K85" s="13"/>
      <c r="L85" s="13"/>
      <c r="M85" s="1"/>
      <c r="N85" s="1"/>
      <c r="O85" s="1"/>
      <c r="P85" s="1"/>
      <c r="Q85" s="1"/>
      <c r="R85" s="1"/>
      <c r="S85" s="1"/>
      <c r="T85" s="1"/>
      <c r="U85" s="1"/>
      <c r="V85" s="1"/>
      <c r="W85" s="1"/>
      <c r="X85" s="1"/>
      <c r="Y85" s="1"/>
      <c r="Z85" s="1"/>
    </row>
    <row r="86" spans="1:26" ht="19.5" customHeight="1">
      <c r="A86" s="2"/>
      <c r="B86" s="17"/>
      <c r="C86" s="13"/>
      <c r="D86" s="13"/>
      <c r="E86" s="13"/>
      <c r="F86" s="13"/>
      <c r="G86" s="13"/>
      <c r="H86" s="13"/>
      <c r="I86" s="13"/>
      <c r="J86" s="13"/>
      <c r="K86" s="13"/>
      <c r="L86" s="13"/>
      <c r="M86" s="1"/>
      <c r="N86" s="1"/>
      <c r="O86" s="1"/>
      <c r="P86" s="1"/>
      <c r="Q86" s="1"/>
      <c r="R86" s="1"/>
      <c r="S86" s="1"/>
      <c r="T86" s="1"/>
      <c r="U86" s="1"/>
      <c r="V86" s="1"/>
      <c r="W86" s="1"/>
      <c r="X86" s="1"/>
      <c r="Y86" s="1"/>
      <c r="Z86" s="1"/>
    </row>
    <row r="87" spans="1:26" ht="19.5" customHeight="1">
      <c r="A87" s="23"/>
      <c r="B87" s="22" t="s">
        <v>76</v>
      </c>
      <c r="C87" s="163" t="str">
        <f t="array" ref="C87">IF(C88="","?",C88)&amp;IF(C89="","","; downloaded "&amp;C89)&amp;IF(C90="","","; "&amp;C90)</f>
        <v>https://ec.europa.eu/eurostat/databrowser/view/migr_acq; downloaded 2026-05-22</v>
      </c>
      <c r="D87" s="164"/>
      <c r="E87" s="164"/>
      <c r="F87" s="164"/>
      <c r="G87" s="164"/>
      <c r="H87" s="164"/>
      <c r="I87" s="164"/>
      <c r="J87" s="164"/>
      <c r="K87" s="165"/>
      <c r="L87" s="13"/>
      <c r="M87" s="1"/>
      <c r="N87" s="1"/>
      <c r="O87" s="1"/>
      <c r="P87" s="1"/>
      <c r="Q87" s="1"/>
      <c r="R87" s="1"/>
      <c r="S87" s="1"/>
      <c r="T87" s="1"/>
      <c r="U87" s="1"/>
      <c r="V87" s="1"/>
      <c r="W87" s="1"/>
      <c r="X87" s="1"/>
      <c r="Y87" s="1"/>
      <c r="Z87" s="1"/>
    </row>
    <row r="88" spans="1:26" ht="19.5" customHeight="1">
      <c r="A88" s="15"/>
      <c r="B88" s="22" t="s">
        <v>77</v>
      </c>
      <c r="C88" s="166" t="s">
        <v>1504</v>
      </c>
      <c r="D88" s="164"/>
      <c r="E88" s="164"/>
      <c r="F88" s="164"/>
      <c r="G88" s="164"/>
      <c r="H88" s="164"/>
      <c r="I88" s="164"/>
      <c r="J88" s="164"/>
      <c r="K88" s="165"/>
      <c r="L88" s="13"/>
      <c r="M88" s="1"/>
      <c r="N88" s="1"/>
      <c r="O88" s="1"/>
      <c r="P88" s="1"/>
      <c r="Q88" s="1"/>
      <c r="R88" s="1"/>
      <c r="S88" s="1"/>
      <c r="T88" s="1"/>
      <c r="U88" s="1"/>
      <c r="V88" s="1"/>
      <c r="W88" s="1"/>
      <c r="X88" s="1"/>
      <c r="Y88" s="1"/>
      <c r="Z88" s="1"/>
    </row>
    <row r="89" spans="1:26" ht="19.5" customHeight="1">
      <c r="A89" s="23"/>
      <c r="B89" s="33" t="s">
        <v>79</v>
      </c>
      <c r="C89" s="166" t="s">
        <v>80</v>
      </c>
      <c r="D89" s="164"/>
      <c r="E89" s="164"/>
      <c r="F89" s="164"/>
      <c r="G89" s="164"/>
      <c r="H89" s="164"/>
      <c r="I89" s="164"/>
      <c r="J89" s="164"/>
      <c r="K89" s="165"/>
      <c r="L89" s="13"/>
      <c r="M89" s="1"/>
      <c r="N89" s="1"/>
      <c r="O89" s="1"/>
      <c r="P89" s="1"/>
      <c r="Q89" s="1"/>
      <c r="R89" s="1"/>
      <c r="S89" s="1"/>
      <c r="T89" s="1"/>
      <c r="U89" s="1"/>
      <c r="V89" s="1"/>
      <c r="W89" s="1"/>
      <c r="X89" s="1"/>
      <c r="Y89" s="1"/>
      <c r="Z89" s="1"/>
    </row>
    <row r="90" spans="1:26" ht="19.5" customHeight="1">
      <c r="A90" s="11"/>
      <c r="B90" s="12" t="s">
        <v>81</v>
      </c>
      <c r="C90" s="167"/>
      <c r="D90" s="168"/>
      <c r="E90" s="168"/>
      <c r="F90" s="168"/>
      <c r="G90" s="168"/>
      <c r="H90" s="168"/>
      <c r="I90" s="168"/>
      <c r="J90" s="168"/>
      <c r="K90" s="169"/>
      <c r="L90" s="13"/>
      <c r="M90" s="1"/>
      <c r="N90" s="1"/>
      <c r="O90" s="1"/>
      <c r="P90" s="1"/>
      <c r="Q90" s="1"/>
      <c r="R90" s="1"/>
      <c r="S90" s="1"/>
      <c r="T90" s="1"/>
      <c r="U90" s="1"/>
      <c r="V90" s="1"/>
      <c r="W90" s="1"/>
      <c r="X90" s="1"/>
      <c r="Y90" s="1"/>
      <c r="Z90" s="1"/>
    </row>
    <row r="91" spans="1:26" ht="19.5" customHeight="1">
      <c r="A91" s="11"/>
      <c r="B91" s="12" t="s">
        <v>82</v>
      </c>
      <c r="C91" s="170" t="s">
        <v>1505</v>
      </c>
      <c r="D91" s="161"/>
      <c r="E91" s="161"/>
      <c r="F91" s="161"/>
      <c r="G91" s="161"/>
      <c r="H91" s="161"/>
      <c r="I91" s="161"/>
      <c r="J91" s="161"/>
      <c r="K91" s="162"/>
      <c r="L91" s="13"/>
      <c r="M91" s="1"/>
      <c r="N91" s="1"/>
      <c r="O91" s="1"/>
      <c r="P91" s="1"/>
      <c r="Q91" s="1"/>
      <c r="R91" s="1"/>
      <c r="S91" s="1"/>
      <c r="T91" s="1"/>
      <c r="U91" s="1"/>
      <c r="V91" s="1"/>
      <c r="W91" s="1"/>
      <c r="X91" s="1"/>
      <c r="Y91" s="1"/>
      <c r="Z91" s="1"/>
    </row>
    <row r="92" spans="1:26" ht="19.5" customHeight="1">
      <c r="A92" s="11"/>
      <c r="B92" s="12" t="s">
        <v>84</v>
      </c>
      <c r="C92" s="171"/>
      <c r="D92" s="164"/>
      <c r="E92" s="164"/>
      <c r="F92" s="164"/>
      <c r="G92" s="164"/>
      <c r="H92" s="164"/>
      <c r="I92" s="164"/>
      <c r="J92" s="164"/>
      <c r="K92" s="165"/>
      <c r="L92" s="13"/>
      <c r="M92" s="1"/>
      <c r="N92" s="1"/>
      <c r="O92" s="1"/>
      <c r="P92" s="1"/>
      <c r="Q92" s="1"/>
      <c r="R92" s="1"/>
      <c r="S92" s="1"/>
      <c r="T92" s="1"/>
      <c r="U92" s="1"/>
      <c r="V92" s="1"/>
      <c r="W92" s="1"/>
      <c r="X92" s="1"/>
      <c r="Y92" s="1"/>
      <c r="Z92" s="1"/>
    </row>
    <row r="93" spans="1:26" ht="19.5" customHeight="1">
      <c r="A93" s="15"/>
      <c r="B93" s="16"/>
      <c r="C93" s="58"/>
      <c r="D93" s="58"/>
      <c r="E93" s="58"/>
      <c r="F93" s="58"/>
      <c r="G93" s="58"/>
      <c r="H93" s="58"/>
      <c r="I93" s="58"/>
      <c r="J93" s="58"/>
      <c r="K93" s="58"/>
      <c r="L93" s="58"/>
      <c r="M93" s="1"/>
      <c r="N93" s="1"/>
      <c r="O93" s="1"/>
      <c r="P93" s="1"/>
      <c r="Q93" s="1"/>
      <c r="R93" s="1"/>
      <c r="S93" s="1"/>
      <c r="T93" s="1"/>
      <c r="U93" s="1"/>
      <c r="V93" s="1"/>
      <c r="W93" s="1"/>
      <c r="X93" s="1"/>
      <c r="Y93" s="1"/>
      <c r="Z93" s="1"/>
    </row>
    <row r="94" spans="1:26" ht="26.25" customHeight="1">
      <c r="A94" s="111"/>
      <c r="B94" s="112" t="s">
        <v>1506</v>
      </c>
      <c r="C94" s="172" t="s">
        <v>1507</v>
      </c>
      <c r="D94" s="168"/>
      <c r="E94" s="168"/>
      <c r="F94" s="168"/>
      <c r="G94" s="168"/>
      <c r="H94" s="168"/>
      <c r="I94" s="168"/>
      <c r="J94" s="168"/>
      <c r="K94" s="169"/>
      <c r="L94" s="21"/>
      <c r="M94" s="1"/>
      <c r="N94" s="1"/>
      <c r="O94" s="1"/>
      <c r="P94" s="1"/>
      <c r="Q94" s="1"/>
      <c r="R94" s="1"/>
      <c r="S94" s="1"/>
      <c r="T94" s="1"/>
      <c r="U94" s="1"/>
      <c r="V94" s="1"/>
      <c r="W94" s="1"/>
      <c r="X94" s="1"/>
      <c r="Y94" s="1"/>
      <c r="Z94" s="1"/>
    </row>
    <row r="95" spans="1:26" ht="19.5" customHeight="1">
      <c r="A95" s="11"/>
      <c r="B95" s="14"/>
      <c r="C95" s="80"/>
      <c r="D95" s="80"/>
      <c r="E95" s="80"/>
      <c r="F95" s="80"/>
      <c r="G95" s="80"/>
      <c r="H95" s="80"/>
      <c r="I95" s="83"/>
      <c r="J95" s="83"/>
      <c r="K95" s="83"/>
      <c r="L95" s="58"/>
      <c r="M95" s="1"/>
      <c r="N95" s="1"/>
      <c r="O95" s="1"/>
      <c r="P95" s="1"/>
      <c r="Q95" s="1"/>
      <c r="R95" s="1"/>
      <c r="S95" s="1"/>
      <c r="T95" s="1"/>
      <c r="U95" s="1"/>
      <c r="V95" s="1"/>
      <c r="W95" s="1"/>
      <c r="X95" s="1"/>
      <c r="Y95" s="1"/>
      <c r="Z95" s="1"/>
    </row>
    <row r="96" spans="1:26" ht="19.5" customHeight="1">
      <c r="A96" s="11"/>
      <c r="B96" s="116">
        <f t="array" ref="B96">$B97-1</f>
        <v>1950</v>
      </c>
      <c r="C96" s="81">
        <f t="array" ref="C96">H96</f>
        <v>0</v>
      </c>
      <c r="D96" s="132"/>
      <c r="E96" s="132"/>
      <c r="F96" s="80"/>
      <c r="G96" s="80"/>
      <c r="H96" s="81">
        <f t="array" ref="H96">E96+D96</f>
        <v>0</v>
      </c>
      <c r="I96" s="58"/>
      <c r="J96" s="58"/>
      <c r="K96" s="58"/>
      <c r="L96" s="58"/>
      <c r="M96" s="1"/>
      <c r="N96" s="1"/>
      <c r="O96" s="1"/>
      <c r="P96" s="1"/>
      <c r="Q96" s="1"/>
      <c r="R96" s="1"/>
      <c r="S96" s="1"/>
      <c r="T96" s="1"/>
      <c r="U96" s="1"/>
      <c r="V96" s="1"/>
      <c r="W96" s="1"/>
      <c r="X96" s="1"/>
      <c r="Y96" s="1"/>
      <c r="Z96" s="1"/>
    </row>
    <row r="97" spans="1:26" ht="19.5" customHeight="1">
      <c r="A97" s="11"/>
      <c r="B97" s="116">
        <f t="array" ref="B97">$B98-1</f>
        <v>1951</v>
      </c>
      <c r="C97" s="81">
        <f t="array" ref="C97">H97</f>
        <v>0</v>
      </c>
      <c r="D97" s="132"/>
      <c r="E97" s="132"/>
      <c r="F97" s="80"/>
      <c r="G97" s="80"/>
      <c r="H97" s="110">
        <f t="array" ref="H97">E97+D97</f>
        <v>0</v>
      </c>
      <c r="I97" s="58"/>
      <c r="J97" s="58"/>
      <c r="K97" s="58"/>
      <c r="L97" s="58"/>
      <c r="M97" s="1"/>
      <c r="N97" s="1"/>
      <c r="O97" s="1"/>
      <c r="P97" s="1"/>
      <c r="Q97" s="1"/>
      <c r="R97" s="1"/>
      <c r="S97" s="1"/>
      <c r="T97" s="1"/>
      <c r="U97" s="1"/>
      <c r="V97" s="1"/>
      <c r="W97" s="1"/>
      <c r="X97" s="1"/>
      <c r="Y97" s="1"/>
      <c r="Z97" s="1"/>
    </row>
    <row r="98" spans="1:26" ht="19.5" customHeight="1">
      <c r="A98" s="11"/>
      <c r="B98" s="116">
        <f t="array" ref="B98">$B99-1</f>
        <v>1952</v>
      </c>
      <c r="C98" s="81">
        <f t="array" ref="C98">H98</f>
        <v>0</v>
      </c>
      <c r="D98" s="132"/>
      <c r="E98" s="132"/>
      <c r="F98" s="80"/>
      <c r="G98" s="80"/>
      <c r="H98" s="56">
        <f t="array" ref="H98">E98+D98</f>
        <v>0</v>
      </c>
      <c r="I98" s="58"/>
      <c r="J98" s="58"/>
      <c r="K98" s="58"/>
      <c r="L98" s="58"/>
      <c r="M98" s="1"/>
      <c r="N98" s="1"/>
      <c r="O98" s="1"/>
      <c r="P98" s="1"/>
      <c r="Q98" s="1"/>
      <c r="R98" s="1"/>
      <c r="S98" s="1"/>
      <c r="T98" s="1"/>
      <c r="U98" s="1"/>
      <c r="V98" s="1"/>
      <c r="W98" s="1"/>
      <c r="X98" s="1"/>
      <c r="Y98" s="1"/>
      <c r="Z98" s="1"/>
    </row>
    <row r="99" spans="1:26" ht="19.5" customHeight="1">
      <c r="A99" s="11"/>
      <c r="B99" s="116">
        <f t="array" ref="B99">$B100-1</f>
        <v>1953</v>
      </c>
      <c r="C99" s="81">
        <f t="array" ref="C99">H99</f>
        <v>0</v>
      </c>
      <c r="D99" s="132"/>
      <c r="E99" s="132"/>
      <c r="F99" s="80"/>
      <c r="G99" s="80"/>
      <c r="H99" s="56">
        <f t="array" ref="H99">E99+D99</f>
        <v>0</v>
      </c>
      <c r="I99" s="58"/>
      <c r="J99" s="58"/>
      <c r="K99" s="58"/>
      <c r="L99" s="58"/>
      <c r="M99" s="1"/>
      <c r="N99" s="1"/>
      <c r="O99" s="1"/>
      <c r="P99" s="1"/>
      <c r="Q99" s="1"/>
      <c r="R99" s="1"/>
      <c r="S99" s="1"/>
      <c r="T99" s="1"/>
      <c r="U99" s="1"/>
      <c r="V99" s="1"/>
      <c r="W99" s="1"/>
      <c r="X99" s="1"/>
      <c r="Y99" s="1"/>
      <c r="Z99" s="1"/>
    </row>
    <row r="100" spans="1:26" ht="19.5" customHeight="1">
      <c r="A100" s="11"/>
      <c r="B100" s="116">
        <f t="array" ref="B100">$B101-1</f>
        <v>1954</v>
      </c>
      <c r="C100" s="81">
        <f t="array" ref="C100">H100</f>
        <v>0</v>
      </c>
      <c r="D100" s="132"/>
      <c r="E100" s="132"/>
      <c r="F100" s="80"/>
      <c r="G100" s="80"/>
      <c r="H100" s="56">
        <f t="array" ref="H100">E100+D100</f>
        <v>0</v>
      </c>
      <c r="I100" s="58"/>
      <c r="J100" s="58"/>
      <c r="K100" s="58"/>
      <c r="L100" s="58"/>
      <c r="M100" s="1"/>
      <c r="N100" s="1"/>
      <c r="O100" s="1"/>
      <c r="P100" s="1"/>
      <c r="Q100" s="1"/>
      <c r="R100" s="1"/>
      <c r="S100" s="1"/>
      <c r="T100" s="1"/>
      <c r="U100" s="1"/>
      <c r="V100" s="1"/>
      <c r="W100" s="1"/>
      <c r="X100" s="1"/>
      <c r="Y100" s="1"/>
      <c r="Z100" s="1"/>
    </row>
    <row r="101" spans="1:26" ht="19.5" customHeight="1">
      <c r="A101" s="11"/>
      <c r="B101" s="116">
        <f t="array" ref="B101">$B102-1</f>
        <v>1955</v>
      </c>
      <c r="C101" s="81">
        <f t="array" ref="C101">H101</f>
        <v>0</v>
      </c>
      <c r="D101" s="132"/>
      <c r="E101" s="132"/>
      <c r="F101" s="80"/>
      <c r="G101" s="80"/>
      <c r="H101" s="56">
        <f t="array" ref="H101">E101+D101</f>
        <v>0</v>
      </c>
      <c r="I101" s="58"/>
      <c r="J101" s="58"/>
      <c r="K101" s="58"/>
      <c r="L101" s="58"/>
      <c r="M101" s="1"/>
      <c r="N101" s="1"/>
      <c r="O101" s="1"/>
      <c r="P101" s="1"/>
      <c r="Q101" s="1"/>
      <c r="R101" s="1"/>
      <c r="S101" s="1"/>
      <c r="T101" s="1"/>
      <c r="U101" s="1"/>
      <c r="V101" s="1"/>
      <c r="W101" s="1"/>
      <c r="X101" s="1"/>
      <c r="Y101" s="1"/>
      <c r="Z101" s="1"/>
    </row>
    <row r="102" spans="1:26" ht="19.5" customHeight="1">
      <c r="A102" s="11"/>
      <c r="B102" s="116">
        <f t="array" ref="B102">$B103-1</f>
        <v>1956</v>
      </c>
      <c r="C102" s="81">
        <f t="array" ref="C102">H102</f>
        <v>0</v>
      </c>
      <c r="D102" s="132"/>
      <c r="E102" s="132"/>
      <c r="F102" s="80"/>
      <c r="G102" s="80"/>
      <c r="H102" s="56">
        <f t="array" ref="H102">E102+D102</f>
        <v>0</v>
      </c>
      <c r="I102" s="58"/>
      <c r="J102" s="58"/>
      <c r="K102" s="58"/>
      <c r="L102" s="58"/>
      <c r="M102" s="1"/>
      <c r="N102" s="1"/>
      <c r="O102" s="1"/>
      <c r="P102" s="1"/>
      <c r="Q102" s="1"/>
      <c r="R102" s="1"/>
      <c r="S102" s="1"/>
      <c r="T102" s="1"/>
      <c r="U102" s="1"/>
      <c r="V102" s="1"/>
      <c r="W102" s="1"/>
      <c r="X102" s="1"/>
      <c r="Y102" s="1"/>
      <c r="Z102" s="1"/>
    </row>
    <row r="103" spans="1:26" ht="19.5" customHeight="1">
      <c r="A103" s="11"/>
      <c r="B103" s="116">
        <f t="array" ref="B103">$B104-1</f>
        <v>1957</v>
      </c>
      <c r="C103" s="81">
        <f t="array" ref="C103">H103</f>
        <v>0</v>
      </c>
      <c r="D103" s="132"/>
      <c r="E103" s="132"/>
      <c r="F103" s="80"/>
      <c r="G103" s="80"/>
      <c r="H103" s="56">
        <f t="array" ref="H103">E103+D103</f>
        <v>0</v>
      </c>
      <c r="I103" s="58"/>
      <c r="J103" s="58"/>
      <c r="K103" s="58"/>
      <c r="L103" s="58"/>
      <c r="M103" s="1"/>
      <c r="N103" s="1"/>
      <c r="O103" s="1"/>
      <c r="P103" s="1"/>
      <c r="Q103" s="1"/>
      <c r="R103" s="1"/>
      <c r="S103" s="1"/>
      <c r="T103" s="1"/>
      <c r="U103" s="1"/>
      <c r="V103" s="1"/>
      <c r="W103" s="1"/>
      <c r="X103" s="1"/>
      <c r="Y103" s="1"/>
      <c r="Z103" s="1"/>
    </row>
    <row r="104" spans="1:26" ht="19.5" customHeight="1">
      <c r="A104" s="11"/>
      <c r="B104" s="116">
        <f t="array" ref="B104">$B105-1</f>
        <v>1958</v>
      </c>
      <c r="C104" s="81">
        <f t="array" ref="C104">H104</f>
        <v>0</v>
      </c>
      <c r="D104" s="132"/>
      <c r="E104" s="132"/>
      <c r="F104" s="80"/>
      <c r="G104" s="80"/>
      <c r="H104" s="56">
        <f t="array" ref="H104">E104+D104</f>
        <v>0</v>
      </c>
      <c r="I104" s="58"/>
      <c r="J104" s="58"/>
      <c r="K104" s="58"/>
      <c r="L104" s="58"/>
      <c r="M104" s="1"/>
      <c r="N104" s="1"/>
      <c r="O104" s="1"/>
      <c r="P104" s="1"/>
      <c r="Q104" s="1"/>
      <c r="R104" s="1"/>
      <c r="S104" s="1"/>
      <c r="T104" s="1"/>
      <c r="U104" s="1"/>
      <c r="V104" s="1"/>
      <c r="W104" s="1"/>
      <c r="X104" s="1"/>
      <c r="Y104" s="1"/>
      <c r="Z104" s="1"/>
    </row>
    <row r="105" spans="1:26" ht="19.5" customHeight="1">
      <c r="A105" s="11"/>
      <c r="B105" s="116">
        <f t="array" ref="B105">$B106-1</f>
        <v>1959</v>
      </c>
      <c r="C105" s="81">
        <f t="array" ref="C105">H105</f>
        <v>0</v>
      </c>
      <c r="D105" s="132"/>
      <c r="E105" s="132"/>
      <c r="F105" s="80"/>
      <c r="G105" s="80"/>
      <c r="H105" s="56">
        <f t="array" ref="H105">E105+D105</f>
        <v>0</v>
      </c>
      <c r="I105" s="58"/>
      <c r="J105" s="58"/>
      <c r="K105" s="58"/>
      <c r="L105" s="58"/>
      <c r="M105" s="1"/>
      <c r="N105" s="1"/>
      <c r="O105" s="1"/>
      <c r="P105" s="1"/>
      <c r="Q105" s="1"/>
      <c r="R105" s="1"/>
      <c r="S105" s="1"/>
      <c r="T105" s="1"/>
      <c r="U105" s="1"/>
      <c r="V105" s="1"/>
      <c r="W105" s="1"/>
      <c r="X105" s="1"/>
      <c r="Y105" s="1"/>
      <c r="Z105" s="1"/>
    </row>
    <row r="106" spans="1:26" ht="19.5" customHeight="1">
      <c r="A106" s="11"/>
      <c r="B106" s="116">
        <f t="array" ref="B106">$B107-1</f>
        <v>1960</v>
      </c>
      <c r="C106" s="81">
        <f t="array" ref="C106">H106</f>
        <v>0</v>
      </c>
      <c r="D106" s="132"/>
      <c r="E106" s="132"/>
      <c r="F106" s="80"/>
      <c r="G106" s="80"/>
      <c r="H106" s="56">
        <f t="array" ref="H106">E106+D106</f>
        <v>0</v>
      </c>
      <c r="I106" s="58"/>
      <c r="J106" s="58"/>
      <c r="K106" s="58"/>
      <c r="L106" s="58"/>
      <c r="M106" s="1"/>
      <c r="N106" s="1"/>
      <c r="O106" s="1"/>
      <c r="P106" s="1"/>
      <c r="Q106" s="1"/>
      <c r="R106" s="1"/>
      <c r="S106" s="1"/>
      <c r="T106" s="1"/>
      <c r="U106" s="1"/>
      <c r="V106" s="1"/>
      <c r="W106" s="1"/>
      <c r="X106" s="1"/>
      <c r="Y106" s="1"/>
      <c r="Z106" s="1"/>
    </row>
    <row r="107" spans="1:26" ht="19.5" customHeight="1">
      <c r="A107" s="11"/>
      <c r="B107" s="116">
        <f t="array" ref="B107">$B108-1</f>
        <v>1961</v>
      </c>
      <c r="C107" s="81">
        <f t="array" ref="C107">H107</f>
        <v>0</v>
      </c>
      <c r="D107" s="132"/>
      <c r="E107" s="132"/>
      <c r="F107" s="80"/>
      <c r="G107" s="80"/>
      <c r="H107" s="56">
        <f t="array" ref="H107">E107+D107</f>
        <v>0</v>
      </c>
      <c r="I107" s="58"/>
      <c r="J107" s="58"/>
      <c r="K107" s="58"/>
      <c r="L107" s="58"/>
      <c r="M107" s="1"/>
      <c r="N107" s="1"/>
      <c r="O107" s="1"/>
      <c r="P107" s="1"/>
      <c r="Q107" s="1"/>
      <c r="R107" s="1"/>
      <c r="S107" s="1"/>
      <c r="T107" s="1"/>
      <c r="U107" s="1"/>
      <c r="V107" s="1"/>
      <c r="W107" s="1"/>
      <c r="X107" s="1"/>
      <c r="Y107" s="1"/>
      <c r="Z107" s="1"/>
    </row>
    <row r="108" spans="1:26" ht="19.5" customHeight="1">
      <c r="A108" s="11"/>
      <c r="B108" s="116">
        <f t="array" ref="B108">$B109-1</f>
        <v>1962</v>
      </c>
      <c r="C108" s="81">
        <f t="array" ref="C108">H108</f>
        <v>0</v>
      </c>
      <c r="D108" s="132"/>
      <c r="E108" s="132"/>
      <c r="F108" s="80"/>
      <c r="G108" s="80"/>
      <c r="H108" s="56">
        <f t="array" ref="H108">E108+D108</f>
        <v>0</v>
      </c>
      <c r="I108" s="58"/>
      <c r="J108" s="58"/>
      <c r="K108" s="58"/>
      <c r="L108" s="58"/>
      <c r="M108" s="1"/>
      <c r="N108" s="1"/>
      <c r="O108" s="1"/>
      <c r="P108" s="1"/>
      <c r="Q108" s="1"/>
      <c r="R108" s="1"/>
      <c r="S108" s="1"/>
      <c r="T108" s="1"/>
      <c r="U108" s="1"/>
      <c r="V108" s="1"/>
      <c r="W108" s="1"/>
      <c r="X108" s="1"/>
      <c r="Y108" s="1"/>
      <c r="Z108" s="1"/>
    </row>
    <row r="109" spans="1:26" ht="19.5" customHeight="1">
      <c r="A109" s="11"/>
      <c r="B109" s="116">
        <f t="array" ref="B109">$B110-1</f>
        <v>1963</v>
      </c>
      <c r="C109" s="81">
        <f t="array" ref="C109">H109</f>
        <v>0</v>
      </c>
      <c r="D109" s="132"/>
      <c r="E109" s="132"/>
      <c r="F109" s="80"/>
      <c r="G109" s="80"/>
      <c r="H109" s="56">
        <f t="array" ref="H109">E109+D109</f>
        <v>0</v>
      </c>
      <c r="I109" s="58"/>
      <c r="J109" s="58"/>
      <c r="K109" s="58"/>
      <c r="L109" s="58"/>
      <c r="M109" s="1"/>
      <c r="N109" s="1"/>
      <c r="O109" s="1"/>
      <c r="P109" s="1"/>
      <c r="Q109" s="1"/>
      <c r="R109" s="1"/>
      <c r="S109" s="1"/>
      <c r="T109" s="1"/>
      <c r="U109" s="1"/>
      <c r="V109" s="1"/>
      <c r="W109" s="1"/>
      <c r="X109" s="1"/>
      <c r="Y109" s="1"/>
      <c r="Z109" s="1"/>
    </row>
    <row r="110" spans="1:26" ht="19.5" customHeight="1">
      <c r="A110" s="11"/>
      <c r="B110" s="116">
        <f t="array" ref="B110">$B111-1</f>
        <v>1964</v>
      </c>
      <c r="C110" s="81">
        <f t="array" ref="C110">H110</f>
        <v>0</v>
      </c>
      <c r="D110" s="132"/>
      <c r="E110" s="132"/>
      <c r="F110" s="80"/>
      <c r="G110" s="80"/>
      <c r="H110" s="56">
        <f t="array" ref="H110">E110+D110</f>
        <v>0</v>
      </c>
      <c r="I110" s="58"/>
      <c r="J110" s="58"/>
      <c r="K110" s="58"/>
      <c r="L110" s="58"/>
      <c r="M110" s="1"/>
      <c r="N110" s="1"/>
      <c r="O110" s="1"/>
      <c r="P110" s="1"/>
      <c r="Q110" s="1"/>
      <c r="R110" s="1"/>
      <c r="S110" s="1"/>
      <c r="T110" s="1"/>
      <c r="U110" s="1"/>
      <c r="V110" s="1"/>
      <c r="W110" s="1"/>
      <c r="X110" s="1"/>
      <c r="Y110" s="1"/>
      <c r="Z110" s="1"/>
    </row>
    <row r="111" spans="1:26" ht="19.5" customHeight="1">
      <c r="A111" s="11"/>
      <c r="B111" s="116">
        <f t="array" ref="B111">$B112-1</f>
        <v>1965</v>
      </c>
      <c r="C111" s="81">
        <f t="array" ref="C111">H111</f>
        <v>0</v>
      </c>
      <c r="D111" s="132"/>
      <c r="E111" s="132"/>
      <c r="F111" s="80"/>
      <c r="G111" s="80"/>
      <c r="H111" s="56">
        <f t="array" ref="H111">E111+D111</f>
        <v>0</v>
      </c>
      <c r="I111" s="58"/>
      <c r="J111" s="58"/>
      <c r="K111" s="58"/>
      <c r="L111" s="58"/>
      <c r="M111" s="1"/>
      <c r="N111" s="1"/>
      <c r="O111" s="1"/>
      <c r="P111" s="1"/>
      <c r="Q111" s="1"/>
      <c r="R111" s="1"/>
      <c r="S111" s="1"/>
      <c r="T111" s="1"/>
      <c r="U111" s="1"/>
      <c r="V111" s="1"/>
      <c r="W111" s="1"/>
      <c r="X111" s="1"/>
      <c r="Y111" s="1"/>
      <c r="Z111" s="1"/>
    </row>
    <row r="112" spans="1:26" ht="19.5" customHeight="1">
      <c r="A112" s="11"/>
      <c r="B112" s="116">
        <f t="array" ref="B112">$B113-1</f>
        <v>1966</v>
      </c>
      <c r="C112" s="81">
        <f t="array" ref="C112">H112</f>
        <v>0</v>
      </c>
      <c r="D112" s="132"/>
      <c r="E112" s="132"/>
      <c r="F112" s="80"/>
      <c r="G112" s="80"/>
      <c r="H112" s="56">
        <f t="array" ref="H112">E112+D112</f>
        <v>0</v>
      </c>
      <c r="I112" s="58"/>
      <c r="J112" s="58"/>
      <c r="K112" s="58"/>
      <c r="L112" s="58"/>
      <c r="M112" s="1"/>
      <c r="N112" s="1"/>
      <c r="O112" s="1"/>
      <c r="P112" s="1"/>
      <c r="Q112" s="1"/>
      <c r="R112" s="1"/>
      <c r="S112" s="1"/>
      <c r="T112" s="1"/>
      <c r="U112" s="1"/>
      <c r="V112" s="1"/>
      <c r="W112" s="1"/>
      <c r="X112" s="1"/>
      <c r="Y112" s="1"/>
      <c r="Z112" s="1"/>
    </row>
    <row r="113" spans="1:26" ht="19.5" customHeight="1">
      <c r="A113" s="11"/>
      <c r="B113" s="116">
        <f t="array" ref="B113">$B114-1</f>
        <v>1967</v>
      </c>
      <c r="C113" s="81">
        <f t="array" ref="C113">H113</f>
        <v>0</v>
      </c>
      <c r="D113" s="132"/>
      <c r="E113" s="132"/>
      <c r="F113" s="80"/>
      <c r="G113" s="80"/>
      <c r="H113" s="56">
        <f t="array" ref="H113">E113+D113</f>
        <v>0</v>
      </c>
      <c r="I113" s="58"/>
      <c r="J113" s="58"/>
      <c r="K113" s="58"/>
      <c r="L113" s="58"/>
      <c r="M113" s="1"/>
      <c r="N113" s="1"/>
      <c r="O113" s="1"/>
      <c r="P113" s="1"/>
      <c r="Q113" s="1"/>
      <c r="R113" s="1"/>
      <c r="S113" s="1"/>
      <c r="T113" s="1"/>
      <c r="U113" s="1"/>
      <c r="V113" s="1"/>
      <c r="W113" s="1"/>
      <c r="X113" s="1"/>
      <c r="Y113" s="1"/>
      <c r="Z113" s="1"/>
    </row>
    <row r="114" spans="1:26" ht="19.5" customHeight="1">
      <c r="A114" s="11"/>
      <c r="B114" s="116">
        <f t="array" ref="B114">$B115-1</f>
        <v>1968</v>
      </c>
      <c r="C114" s="81">
        <f t="array" ref="C114">H114</f>
        <v>0</v>
      </c>
      <c r="D114" s="132"/>
      <c r="E114" s="132"/>
      <c r="F114" s="80"/>
      <c r="G114" s="80"/>
      <c r="H114" s="56">
        <f t="array" ref="H114">E114+D114</f>
        <v>0</v>
      </c>
      <c r="I114" s="58"/>
      <c r="J114" s="58"/>
      <c r="K114" s="58"/>
      <c r="L114" s="58"/>
      <c r="M114" s="1"/>
      <c r="N114" s="1"/>
      <c r="O114" s="1"/>
      <c r="P114" s="1"/>
      <c r="Q114" s="1"/>
      <c r="R114" s="1"/>
      <c r="S114" s="1"/>
      <c r="T114" s="1"/>
      <c r="U114" s="1"/>
      <c r="V114" s="1"/>
      <c r="W114" s="1"/>
      <c r="X114" s="1"/>
      <c r="Y114" s="1"/>
      <c r="Z114" s="1"/>
    </row>
    <row r="115" spans="1:26" ht="19.5" customHeight="1">
      <c r="A115" s="11"/>
      <c r="B115" s="116">
        <f t="array" ref="B115">$B116-1</f>
        <v>1969</v>
      </c>
      <c r="C115" s="81">
        <f t="array" ref="C115">H115</f>
        <v>0</v>
      </c>
      <c r="D115" s="132"/>
      <c r="E115" s="132"/>
      <c r="F115" s="80"/>
      <c r="G115" s="80"/>
      <c r="H115" s="56">
        <f t="array" ref="H115">E115+D115</f>
        <v>0</v>
      </c>
      <c r="I115" s="58"/>
      <c r="J115" s="58"/>
      <c r="K115" s="58"/>
      <c r="L115" s="58"/>
      <c r="M115" s="1"/>
      <c r="N115" s="1"/>
      <c r="O115" s="1"/>
      <c r="P115" s="1"/>
      <c r="Q115" s="1"/>
      <c r="R115" s="1"/>
      <c r="S115" s="1"/>
      <c r="T115" s="1"/>
      <c r="U115" s="1"/>
      <c r="V115" s="1"/>
      <c r="W115" s="1"/>
      <c r="X115" s="1"/>
      <c r="Y115" s="1"/>
      <c r="Z115" s="1"/>
    </row>
    <row r="116" spans="1:26" ht="19.5" customHeight="1">
      <c r="A116" s="11"/>
      <c r="B116" s="116">
        <f t="array" ref="B116">$B117-1</f>
        <v>1970</v>
      </c>
      <c r="C116" s="81">
        <f t="array" ref="C116">H116</f>
        <v>0</v>
      </c>
      <c r="D116" s="132"/>
      <c r="E116" s="132"/>
      <c r="F116" s="80"/>
      <c r="G116" s="80"/>
      <c r="H116" s="56">
        <f t="array" ref="H116">E116+D116</f>
        <v>0</v>
      </c>
      <c r="I116" s="58"/>
      <c r="J116" s="58"/>
      <c r="K116" s="58"/>
      <c r="L116" s="58"/>
      <c r="M116" s="1"/>
      <c r="N116" s="1"/>
      <c r="O116" s="1"/>
      <c r="P116" s="1"/>
      <c r="Q116" s="1"/>
      <c r="R116" s="1"/>
      <c r="S116" s="1"/>
      <c r="T116" s="1"/>
      <c r="U116" s="1"/>
      <c r="V116" s="1"/>
      <c r="W116" s="1"/>
      <c r="X116" s="1"/>
      <c r="Y116" s="1"/>
      <c r="Z116" s="1"/>
    </row>
    <row r="117" spans="1:26" ht="19.5" customHeight="1">
      <c r="A117" s="11"/>
      <c r="B117" s="116">
        <f t="array" ref="B117">$B118-1</f>
        <v>1971</v>
      </c>
      <c r="C117" s="81">
        <f t="array" ref="C117">H117</f>
        <v>0</v>
      </c>
      <c r="D117" s="132"/>
      <c r="E117" s="132"/>
      <c r="F117" s="80"/>
      <c r="G117" s="80"/>
      <c r="H117" s="56">
        <f t="array" ref="H117">E117+D117</f>
        <v>0</v>
      </c>
      <c r="I117" s="58"/>
      <c r="J117" s="58"/>
      <c r="K117" s="58"/>
      <c r="L117" s="58"/>
      <c r="M117" s="1"/>
      <c r="N117" s="1"/>
      <c r="O117" s="1"/>
      <c r="P117" s="1"/>
      <c r="Q117" s="1"/>
      <c r="R117" s="1"/>
      <c r="S117" s="1"/>
      <c r="T117" s="1"/>
      <c r="U117" s="1"/>
      <c r="V117" s="1"/>
      <c r="W117" s="1"/>
      <c r="X117" s="1"/>
      <c r="Y117" s="1"/>
      <c r="Z117" s="1"/>
    </row>
    <row r="118" spans="1:26" ht="19.5" customHeight="1">
      <c r="A118" s="11"/>
      <c r="B118" s="116">
        <f t="array" ref="B118">$B119-1</f>
        <v>1972</v>
      </c>
      <c r="C118" s="81">
        <f t="array" ref="C118">H118</f>
        <v>0</v>
      </c>
      <c r="D118" s="132"/>
      <c r="E118" s="132"/>
      <c r="F118" s="80"/>
      <c r="G118" s="80"/>
      <c r="H118" s="56">
        <f t="array" ref="H118">E118+D118</f>
        <v>0</v>
      </c>
      <c r="I118" s="58"/>
      <c r="J118" s="58"/>
      <c r="K118" s="58"/>
      <c r="L118" s="58"/>
      <c r="M118" s="1"/>
      <c r="N118" s="1"/>
      <c r="O118" s="1"/>
      <c r="P118" s="1"/>
      <c r="Q118" s="1"/>
      <c r="R118" s="1"/>
      <c r="S118" s="1"/>
      <c r="T118" s="1"/>
      <c r="U118" s="1"/>
      <c r="V118" s="1"/>
      <c r="W118" s="1"/>
      <c r="X118" s="1"/>
      <c r="Y118" s="1"/>
      <c r="Z118" s="1"/>
    </row>
    <row r="119" spans="1:26" ht="19.5" customHeight="1">
      <c r="A119" s="11"/>
      <c r="B119" s="116">
        <f t="array" ref="B119">$B120-1</f>
        <v>1973</v>
      </c>
      <c r="C119" s="81">
        <f t="array" ref="C119">H119</f>
        <v>0</v>
      </c>
      <c r="D119" s="132"/>
      <c r="E119" s="132"/>
      <c r="F119" s="80"/>
      <c r="G119" s="80"/>
      <c r="H119" s="56">
        <f t="array" ref="H119">E119+D119</f>
        <v>0</v>
      </c>
      <c r="I119" s="58"/>
      <c r="J119" s="58"/>
      <c r="K119" s="58"/>
      <c r="L119" s="58"/>
      <c r="M119" s="1"/>
      <c r="N119" s="1"/>
      <c r="O119" s="1"/>
      <c r="P119" s="1"/>
      <c r="Q119" s="1"/>
      <c r="R119" s="1"/>
      <c r="S119" s="1"/>
      <c r="T119" s="1"/>
      <c r="U119" s="1"/>
      <c r="V119" s="1"/>
      <c r="W119" s="1"/>
      <c r="X119" s="1"/>
      <c r="Y119" s="1"/>
      <c r="Z119" s="1"/>
    </row>
    <row r="120" spans="1:26" ht="19.5" customHeight="1">
      <c r="A120" s="11"/>
      <c r="B120" s="116">
        <f t="array" ref="B120">$B121-1</f>
        <v>1974</v>
      </c>
      <c r="C120" s="81">
        <f t="array" ref="C120">H120</f>
        <v>0</v>
      </c>
      <c r="D120" s="132"/>
      <c r="E120" s="132"/>
      <c r="F120" s="80"/>
      <c r="G120" s="80"/>
      <c r="H120" s="56">
        <f t="array" ref="H120">E120+D120</f>
        <v>0</v>
      </c>
      <c r="I120" s="58"/>
      <c r="J120" s="58"/>
      <c r="K120" s="58"/>
      <c r="L120" s="58"/>
      <c r="M120" s="1"/>
      <c r="N120" s="1"/>
      <c r="O120" s="1"/>
      <c r="P120" s="1"/>
      <c r="Q120" s="1"/>
      <c r="R120" s="1"/>
      <c r="S120" s="1"/>
      <c r="T120" s="1"/>
      <c r="U120" s="1"/>
      <c r="V120" s="1"/>
      <c r="W120" s="1"/>
      <c r="X120" s="1"/>
      <c r="Y120" s="1"/>
      <c r="Z120" s="1"/>
    </row>
    <row r="121" spans="1:26" ht="19.5" customHeight="1">
      <c r="A121" s="11"/>
      <c r="B121" s="116">
        <f t="array" ref="B121">$B122-1</f>
        <v>1975</v>
      </c>
      <c r="C121" s="81">
        <f t="array" ref="C121">H121</f>
        <v>0</v>
      </c>
      <c r="D121" s="132"/>
      <c r="E121" s="132"/>
      <c r="F121" s="80"/>
      <c r="G121" s="80"/>
      <c r="H121" s="56">
        <f t="array" ref="H121">E121+D121</f>
        <v>0</v>
      </c>
      <c r="I121" s="58"/>
      <c r="J121" s="58"/>
      <c r="K121" s="58"/>
      <c r="L121" s="58"/>
      <c r="M121" s="1"/>
      <c r="N121" s="1"/>
      <c r="O121" s="1"/>
      <c r="P121" s="1"/>
      <c r="Q121" s="1"/>
      <c r="R121" s="1"/>
      <c r="S121" s="1"/>
      <c r="T121" s="1"/>
      <c r="U121" s="1"/>
      <c r="V121" s="1"/>
      <c r="W121" s="1"/>
      <c r="X121" s="1"/>
      <c r="Y121" s="1"/>
      <c r="Z121" s="1"/>
    </row>
    <row r="122" spans="1:26" ht="19.5" customHeight="1">
      <c r="A122" s="11"/>
      <c r="B122" s="116">
        <f t="array" ref="B122">$B123-1</f>
        <v>1976</v>
      </c>
      <c r="C122" s="81">
        <f t="array" ref="C122">H122</f>
        <v>0</v>
      </c>
      <c r="D122" s="132"/>
      <c r="E122" s="132"/>
      <c r="F122" s="80"/>
      <c r="G122" s="80"/>
      <c r="H122" s="56">
        <f t="array" ref="H122">E122+D122</f>
        <v>0</v>
      </c>
      <c r="I122" s="58"/>
      <c r="J122" s="58"/>
      <c r="K122" s="58"/>
      <c r="L122" s="58"/>
      <c r="M122" s="1"/>
      <c r="N122" s="1"/>
      <c r="O122" s="1"/>
      <c r="P122" s="1"/>
      <c r="Q122" s="1"/>
      <c r="R122" s="1"/>
      <c r="S122" s="1"/>
      <c r="T122" s="1"/>
      <c r="U122" s="1"/>
      <c r="V122" s="1"/>
      <c r="W122" s="1"/>
      <c r="X122" s="1"/>
      <c r="Y122" s="1"/>
      <c r="Z122" s="1"/>
    </row>
    <row r="123" spans="1:26" ht="19.5" customHeight="1">
      <c r="A123" s="11"/>
      <c r="B123" s="116">
        <f t="array" ref="B123">$B124-1</f>
        <v>1977</v>
      </c>
      <c r="C123" s="81">
        <f t="array" ref="C123">H123</f>
        <v>0</v>
      </c>
      <c r="D123" s="132"/>
      <c r="E123" s="132"/>
      <c r="F123" s="80"/>
      <c r="G123" s="80"/>
      <c r="H123" s="56">
        <f t="array" ref="H123">E123+D123</f>
        <v>0</v>
      </c>
      <c r="I123" s="58"/>
      <c r="J123" s="58"/>
      <c r="K123" s="58"/>
      <c r="L123" s="58"/>
      <c r="M123" s="1"/>
      <c r="N123" s="1"/>
      <c r="O123" s="1"/>
      <c r="P123" s="1"/>
      <c r="Q123" s="1"/>
      <c r="R123" s="1"/>
      <c r="S123" s="1"/>
      <c r="T123" s="1"/>
      <c r="U123" s="1"/>
      <c r="V123" s="1"/>
      <c r="W123" s="1"/>
      <c r="X123" s="1"/>
      <c r="Y123" s="1"/>
      <c r="Z123" s="1"/>
    </row>
    <row r="124" spans="1:26" ht="19.5" customHeight="1">
      <c r="A124" s="11"/>
      <c r="B124" s="116">
        <f t="array" ref="B124">$B125-1</f>
        <v>1978</v>
      </c>
      <c r="C124" s="81">
        <f t="array" ref="C124">H124</f>
        <v>0</v>
      </c>
      <c r="D124" s="132"/>
      <c r="E124" s="132"/>
      <c r="F124" s="80"/>
      <c r="G124" s="80"/>
      <c r="H124" s="56">
        <f t="array" ref="H124">E124+D124</f>
        <v>0</v>
      </c>
      <c r="I124" s="58"/>
      <c r="J124" s="58"/>
      <c r="K124" s="58"/>
      <c r="L124" s="58"/>
      <c r="M124" s="1"/>
      <c r="N124" s="1"/>
      <c r="O124" s="1"/>
      <c r="P124" s="1"/>
      <c r="Q124" s="1"/>
      <c r="R124" s="1"/>
      <c r="S124" s="1"/>
      <c r="T124" s="1"/>
      <c r="U124" s="1"/>
      <c r="V124" s="1"/>
      <c r="W124" s="1"/>
      <c r="X124" s="1"/>
      <c r="Y124" s="1"/>
      <c r="Z124" s="1"/>
    </row>
    <row r="125" spans="1:26" ht="19.5" customHeight="1">
      <c r="A125" s="11"/>
      <c r="B125" s="116">
        <f t="array" ref="B125">$B126-1</f>
        <v>1979</v>
      </c>
      <c r="C125" s="81">
        <f t="array" ref="C125">H125</f>
        <v>0</v>
      </c>
      <c r="D125" s="132"/>
      <c r="E125" s="132"/>
      <c r="F125" s="80"/>
      <c r="G125" s="80"/>
      <c r="H125" s="56">
        <f t="array" ref="H125">E125+D125</f>
        <v>0</v>
      </c>
      <c r="I125" s="58"/>
      <c r="J125" s="58"/>
      <c r="K125" s="58"/>
      <c r="L125" s="58"/>
      <c r="M125" s="1"/>
      <c r="N125" s="1"/>
      <c r="O125" s="1"/>
      <c r="P125" s="1"/>
      <c r="Q125" s="1"/>
      <c r="R125" s="1"/>
      <c r="S125" s="1"/>
      <c r="T125" s="1"/>
      <c r="U125" s="1"/>
      <c r="V125" s="1"/>
      <c r="W125" s="1"/>
      <c r="X125" s="1"/>
      <c r="Y125" s="1"/>
      <c r="Z125" s="1"/>
    </row>
    <row r="126" spans="1:26" ht="19.5" customHeight="1">
      <c r="A126" s="11"/>
      <c r="B126" s="116">
        <f t="array" ref="B126">$B127-1</f>
        <v>1980</v>
      </c>
      <c r="C126" s="81">
        <f t="array" ref="C126">H126</f>
        <v>0</v>
      </c>
      <c r="D126" s="132"/>
      <c r="E126" s="132"/>
      <c r="F126" s="80"/>
      <c r="G126" s="80"/>
      <c r="H126" s="56">
        <f t="array" ref="H126">E126+D126</f>
        <v>0</v>
      </c>
      <c r="I126" s="58"/>
      <c r="J126" s="58"/>
      <c r="K126" s="58"/>
      <c r="L126" s="58"/>
      <c r="M126" s="1"/>
      <c r="N126" s="1"/>
      <c r="O126" s="1"/>
      <c r="P126" s="1"/>
      <c r="Q126" s="1"/>
      <c r="R126" s="1"/>
      <c r="S126" s="1"/>
      <c r="T126" s="1"/>
      <c r="U126" s="1"/>
      <c r="V126" s="1"/>
      <c r="W126" s="1"/>
      <c r="X126" s="1"/>
      <c r="Y126" s="1"/>
      <c r="Z126" s="1"/>
    </row>
    <row r="127" spans="1:26" ht="19.5" customHeight="1">
      <c r="A127" s="11"/>
      <c r="B127" s="116">
        <f t="array" ref="B127">$B128-1</f>
        <v>1981</v>
      </c>
      <c r="C127" s="81">
        <f t="array" ref="C127">H127</f>
        <v>0</v>
      </c>
      <c r="D127" s="132"/>
      <c r="E127" s="132"/>
      <c r="F127" s="80"/>
      <c r="G127" s="80"/>
      <c r="H127" s="56">
        <f t="array" ref="H127">E127+D127</f>
        <v>0</v>
      </c>
      <c r="I127" s="58"/>
      <c r="J127" s="58"/>
      <c r="K127" s="58"/>
      <c r="L127" s="58"/>
      <c r="M127" s="1"/>
      <c r="N127" s="1"/>
      <c r="O127" s="1"/>
      <c r="P127" s="1"/>
      <c r="Q127" s="1"/>
      <c r="R127" s="1"/>
      <c r="S127" s="1"/>
      <c r="T127" s="1"/>
      <c r="U127" s="1"/>
      <c r="V127" s="1"/>
      <c r="W127" s="1"/>
      <c r="X127" s="1"/>
      <c r="Y127" s="1"/>
      <c r="Z127" s="1"/>
    </row>
    <row r="128" spans="1:26" ht="19.5" customHeight="1">
      <c r="A128" s="11"/>
      <c r="B128" s="116">
        <f t="array" ref="B128">$B129-1</f>
        <v>1982</v>
      </c>
      <c r="C128" s="81">
        <f t="array" ref="C128">H128</f>
        <v>0</v>
      </c>
      <c r="D128" s="132"/>
      <c r="E128" s="132"/>
      <c r="F128" s="80"/>
      <c r="G128" s="80"/>
      <c r="H128" s="56">
        <f t="array" ref="H128">E128+D128</f>
        <v>0</v>
      </c>
      <c r="I128" s="58"/>
      <c r="J128" s="58"/>
      <c r="K128" s="58"/>
      <c r="L128" s="58"/>
      <c r="M128" s="1"/>
      <c r="N128" s="1"/>
      <c r="O128" s="1"/>
      <c r="P128" s="1"/>
      <c r="Q128" s="1"/>
      <c r="R128" s="1"/>
      <c r="S128" s="1"/>
      <c r="T128" s="1"/>
      <c r="U128" s="1"/>
      <c r="V128" s="1"/>
      <c r="W128" s="1"/>
      <c r="X128" s="1"/>
      <c r="Y128" s="1"/>
      <c r="Z128" s="1"/>
    </row>
    <row r="129" spans="1:26" ht="19.5" customHeight="1">
      <c r="A129" s="11"/>
      <c r="B129" s="116">
        <f t="array" ref="B129">$B130-1</f>
        <v>1983</v>
      </c>
      <c r="C129" s="81">
        <f t="array" ref="C129">H129</f>
        <v>0</v>
      </c>
      <c r="D129" s="132"/>
      <c r="E129" s="132"/>
      <c r="F129" s="80"/>
      <c r="G129" s="80"/>
      <c r="H129" s="56">
        <f t="array" ref="H129">E129+D129</f>
        <v>0</v>
      </c>
      <c r="I129" s="58"/>
      <c r="J129" s="58"/>
      <c r="K129" s="58"/>
      <c r="L129" s="58"/>
      <c r="M129" s="1"/>
      <c r="N129" s="1"/>
      <c r="O129" s="1"/>
      <c r="P129" s="1"/>
      <c r="Q129" s="1"/>
      <c r="R129" s="1"/>
      <c r="S129" s="1"/>
      <c r="T129" s="1"/>
      <c r="U129" s="1"/>
      <c r="V129" s="1"/>
      <c r="W129" s="1"/>
      <c r="X129" s="1"/>
      <c r="Y129" s="1"/>
      <c r="Z129" s="1"/>
    </row>
    <row r="130" spans="1:26" ht="19.5" customHeight="1">
      <c r="A130" s="11"/>
      <c r="B130" s="116">
        <f t="array" ref="B130">$B131-1</f>
        <v>1984</v>
      </c>
      <c r="C130" s="81">
        <f t="array" ref="C130">H130</f>
        <v>0</v>
      </c>
      <c r="D130" s="132"/>
      <c r="E130" s="132"/>
      <c r="F130" s="80"/>
      <c r="G130" s="80"/>
      <c r="H130" s="56">
        <f t="array" ref="H130">E130+D130</f>
        <v>0</v>
      </c>
      <c r="I130" s="58"/>
      <c r="J130" s="58"/>
      <c r="K130" s="58"/>
      <c r="L130" s="58"/>
      <c r="M130" s="1"/>
      <c r="N130" s="1"/>
      <c r="O130" s="1"/>
      <c r="P130" s="1"/>
      <c r="Q130" s="1"/>
      <c r="R130" s="1"/>
      <c r="S130" s="1"/>
      <c r="T130" s="1"/>
      <c r="U130" s="1"/>
      <c r="V130" s="1"/>
      <c r="W130" s="1"/>
      <c r="X130" s="1"/>
      <c r="Y130" s="1"/>
      <c r="Z130" s="1"/>
    </row>
    <row r="131" spans="1:26" ht="19.5" customHeight="1">
      <c r="A131" s="11"/>
      <c r="B131" s="116">
        <f t="array" ref="B131">$B132-1</f>
        <v>1985</v>
      </c>
      <c r="C131" s="81">
        <f t="array" ref="C131">H131</f>
        <v>0</v>
      </c>
      <c r="D131" s="132"/>
      <c r="E131" s="132"/>
      <c r="F131" s="80"/>
      <c r="G131" s="80"/>
      <c r="H131" s="56">
        <f t="array" ref="H131">E131+D131</f>
        <v>0</v>
      </c>
      <c r="I131" s="58"/>
      <c r="J131" s="58"/>
      <c r="K131" s="58"/>
      <c r="L131" s="58"/>
      <c r="M131" s="1"/>
      <c r="N131" s="1"/>
      <c r="O131" s="1"/>
      <c r="P131" s="1"/>
      <c r="Q131" s="1"/>
      <c r="R131" s="1"/>
      <c r="S131" s="1"/>
      <c r="T131" s="1"/>
      <c r="U131" s="1"/>
      <c r="V131" s="1"/>
      <c r="W131" s="1"/>
      <c r="X131" s="1"/>
      <c r="Y131" s="1"/>
      <c r="Z131" s="1"/>
    </row>
    <row r="132" spans="1:26" ht="19.5" customHeight="1">
      <c r="A132" s="11"/>
      <c r="B132" s="116">
        <f t="array" ref="B132">$B133-1</f>
        <v>1986</v>
      </c>
      <c r="C132" s="81">
        <f t="array" ref="C132">H132</f>
        <v>0</v>
      </c>
      <c r="D132" s="132"/>
      <c r="E132" s="132"/>
      <c r="F132" s="80"/>
      <c r="G132" s="80"/>
      <c r="H132" s="56">
        <f t="array" ref="H132">E132+D132</f>
        <v>0</v>
      </c>
      <c r="I132" s="58"/>
      <c r="J132" s="58"/>
      <c r="K132" s="58"/>
      <c r="L132" s="58"/>
      <c r="M132" s="1"/>
      <c r="N132" s="1"/>
      <c r="O132" s="1"/>
      <c r="P132" s="1"/>
      <c r="Q132" s="1"/>
      <c r="R132" s="1"/>
      <c r="S132" s="1"/>
      <c r="T132" s="1"/>
      <c r="U132" s="1"/>
      <c r="V132" s="1"/>
      <c r="W132" s="1"/>
      <c r="X132" s="1"/>
      <c r="Y132" s="1"/>
      <c r="Z132" s="1"/>
    </row>
    <row r="133" spans="1:26" ht="19.5" customHeight="1">
      <c r="A133" s="11"/>
      <c r="B133" s="116">
        <f t="array" ref="B133">$B134-1</f>
        <v>1987</v>
      </c>
      <c r="C133" s="81">
        <f t="array" ref="C133">H133</f>
        <v>0</v>
      </c>
      <c r="D133" s="132"/>
      <c r="E133" s="132"/>
      <c r="F133" s="80"/>
      <c r="G133" s="80"/>
      <c r="H133" s="56">
        <f t="array" ref="H133">E133+D133</f>
        <v>0</v>
      </c>
      <c r="I133" s="58"/>
      <c r="J133" s="58"/>
      <c r="K133" s="58"/>
      <c r="L133" s="58"/>
      <c r="M133" s="1"/>
      <c r="N133" s="1"/>
      <c r="O133" s="1"/>
      <c r="P133" s="1"/>
      <c r="Q133" s="1"/>
      <c r="R133" s="1"/>
      <c r="S133" s="1"/>
      <c r="T133" s="1"/>
      <c r="U133" s="1"/>
      <c r="V133" s="1"/>
      <c r="W133" s="1"/>
      <c r="X133" s="1"/>
      <c r="Y133" s="1"/>
      <c r="Z133" s="1"/>
    </row>
    <row r="134" spans="1:26" ht="19.5" customHeight="1">
      <c r="A134" s="11"/>
      <c r="B134" s="116">
        <f t="array" ref="B134">$B135-1</f>
        <v>1988</v>
      </c>
      <c r="C134" s="81">
        <f t="array" ref="C134">H134</f>
        <v>0</v>
      </c>
      <c r="D134" s="132"/>
      <c r="E134" s="132"/>
      <c r="F134" s="80"/>
      <c r="G134" s="80"/>
      <c r="H134" s="56">
        <f t="array" ref="H134">E134+D134</f>
        <v>0</v>
      </c>
      <c r="I134" s="58"/>
      <c r="J134" s="58"/>
      <c r="K134" s="58"/>
      <c r="L134" s="58"/>
      <c r="M134" s="1"/>
      <c r="N134" s="1"/>
      <c r="O134" s="1"/>
      <c r="P134" s="1"/>
      <c r="Q134" s="1"/>
      <c r="R134" s="1"/>
      <c r="S134" s="1"/>
      <c r="T134" s="1"/>
      <c r="U134" s="1"/>
      <c r="V134" s="1"/>
      <c r="W134" s="1"/>
      <c r="X134" s="1"/>
      <c r="Y134" s="1"/>
      <c r="Z134" s="1"/>
    </row>
    <row r="135" spans="1:26" ht="19.5" customHeight="1">
      <c r="A135" s="11"/>
      <c r="B135" s="116">
        <f t="array" ref="B135">$B136-1</f>
        <v>1989</v>
      </c>
      <c r="C135" s="81">
        <f t="array" ref="C135">H135</f>
        <v>0</v>
      </c>
      <c r="D135" s="132"/>
      <c r="E135" s="132"/>
      <c r="F135" s="80"/>
      <c r="G135" s="80"/>
      <c r="H135" s="56">
        <f t="array" ref="H135">E135+D135</f>
        <v>0</v>
      </c>
      <c r="I135" s="58"/>
      <c r="J135" s="58"/>
      <c r="K135" s="58"/>
      <c r="L135" s="58"/>
      <c r="M135" s="1"/>
      <c r="N135" s="1"/>
      <c r="O135" s="1"/>
      <c r="P135" s="1"/>
      <c r="Q135" s="1"/>
      <c r="R135" s="1"/>
      <c r="S135" s="1"/>
      <c r="T135" s="1"/>
      <c r="U135" s="1"/>
      <c r="V135" s="1"/>
      <c r="W135" s="1"/>
      <c r="X135" s="1"/>
      <c r="Y135" s="1"/>
      <c r="Z135" s="1"/>
    </row>
    <row r="136" spans="1:26" ht="19.5" customHeight="1">
      <c r="A136" s="11"/>
      <c r="B136" s="116">
        <f t="array" ref="B136">$B137-1</f>
        <v>1990</v>
      </c>
      <c r="C136" s="81">
        <f t="array" ref="C136">H136</f>
        <v>0</v>
      </c>
      <c r="D136" s="132"/>
      <c r="E136" s="132"/>
      <c r="F136" s="80"/>
      <c r="G136" s="80"/>
      <c r="H136" s="56">
        <f t="array" ref="H136">E136+D136</f>
        <v>0</v>
      </c>
      <c r="I136" s="58"/>
      <c r="J136" s="58"/>
      <c r="K136" s="58"/>
      <c r="L136" s="58"/>
      <c r="M136" s="1"/>
      <c r="N136" s="1"/>
      <c r="O136" s="1"/>
      <c r="P136" s="1"/>
      <c r="Q136" s="1"/>
      <c r="R136" s="1"/>
      <c r="S136" s="1"/>
      <c r="T136" s="1"/>
      <c r="U136" s="1"/>
      <c r="V136" s="1"/>
      <c r="W136" s="1"/>
      <c r="X136" s="1"/>
      <c r="Y136" s="1"/>
      <c r="Z136" s="1"/>
    </row>
    <row r="137" spans="1:26" ht="19.5" customHeight="1">
      <c r="A137" s="11"/>
      <c r="B137" s="116">
        <f t="array" ref="B137">$B138-1</f>
        <v>1991</v>
      </c>
      <c r="C137" s="81">
        <f t="array" ref="C137">H137</f>
        <v>0</v>
      </c>
      <c r="D137" s="132"/>
      <c r="E137" s="132"/>
      <c r="F137" s="80"/>
      <c r="G137" s="80"/>
      <c r="H137" s="56">
        <f t="array" ref="H137">E137+D137</f>
        <v>0</v>
      </c>
      <c r="I137" s="58"/>
      <c r="J137" s="58"/>
      <c r="K137" s="58"/>
      <c r="L137" s="58"/>
      <c r="M137" s="1"/>
      <c r="N137" s="1"/>
      <c r="O137" s="1"/>
      <c r="P137" s="1"/>
      <c r="Q137" s="1"/>
      <c r="R137" s="1"/>
      <c r="S137" s="1"/>
      <c r="T137" s="1"/>
      <c r="U137" s="1"/>
      <c r="V137" s="1"/>
      <c r="W137" s="1"/>
      <c r="X137" s="1"/>
      <c r="Y137" s="1"/>
      <c r="Z137" s="1"/>
    </row>
    <row r="138" spans="1:26" ht="19.5" customHeight="1">
      <c r="A138" s="11"/>
      <c r="B138" s="116">
        <f t="array" ref="B138">$B139-1</f>
        <v>1992</v>
      </c>
      <c r="C138" s="81">
        <f t="array" ref="C138">H138</f>
        <v>0</v>
      </c>
      <c r="D138" s="132"/>
      <c r="E138" s="132"/>
      <c r="F138" s="80"/>
      <c r="G138" s="80"/>
      <c r="H138" s="56">
        <f t="array" ref="H138">E138+D138</f>
        <v>0</v>
      </c>
      <c r="I138" s="58"/>
      <c r="J138" s="58"/>
      <c r="K138" s="58"/>
      <c r="L138" s="58"/>
      <c r="M138" s="1"/>
      <c r="N138" s="1"/>
      <c r="O138" s="1"/>
      <c r="P138" s="1"/>
      <c r="Q138" s="1"/>
      <c r="R138" s="1"/>
      <c r="S138" s="1"/>
      <c r="T138" s="1"/>
      <c r="U138" s="1"/>
      <c r="V138" s="1"/>
      <c r="W138" s="1"/>
      <c r="X138" s="1"/>
      <c r="Y138" s="1"/>
      <c r="Z138" s="1"/>
    </row>
    <row r="139" spans="1:26" ht="19.5" customHeight="1">
      <c r="A139" s="11"/>
      <c r="B139" s="116">
        <f t="array" ref="B139">$B140-1</f>
        <v>1993</v>
      </c>
      <c r="C139" s="81">
        <f t="array" ref="C139">H139</f>
        <v>0</v>
      </c>
      <c r="D139" s="132"/>
      <c r="E139" s="132"/>
      <c r="F139" s="80"/>
      <c r="G139" s="80"/>
      <c r="H139" s="56">
        <f t="array" ref="H139">E139+D139</f>
        <v>0</v>
      </c>
      <c r="I139" s="58"/>
      <c r="J139" s="58"/>
      <c r="K139" s="58"/>
      <c r="L139" s="58"/>
      <c r="M139" s="1"/>
      <c r="N139" s="1"/>
      <c r="O139" s="1"/>
      <c r="P139" s="1"/>
      <c r="Q139" s="1"/>
      <c r="R139" s="1"/>
      <c r="S139" s="1"/>
      <c r="T139" s="1"/>
      <c r="U139" s="1"/>
      <c r="V139" s="1"/>
      <c r="W139" s="1"/>
      <c r="X139" s="1"/>
      <c r="Y139" s="1"/>
      <c r="Z139" s="1"/>
    </row>
    <row r="140" spans="1:26" ht="19.5" customHeight="1">
      <c r="A140" s="11"/>
      <c r="B140" s="116">
        <f t="array" ref="B140">$B141-1</f>
        <v>1994</v>
      </c>
      <c r="C140" s="81">
        <f t="array" ref="C140">H140</f>
        <v>0</v>
      </c>
      <c r="D140" s="132"/>
      <c r="E140" s="132"/>
      <c r="F140" s="80"/>
      <c r="G140" s="80"/>
      <c r="H140" s="56">
        <f t="array" ref="H140">E140+D140</f>
        <v>0</v>
      </c>
      <c r="I140" s="58"/>
      <c r="J140" s="58"/>
      <c r="K140" s="58"/>
      <c r="L140" s="58"/>
      <c r="M140" s="1"/>
      <c r="N140" s="1"/>
      <c r="O140" s="1"/>
      <c r="P140" s="1"/>
      <c r="Q140" s="1"/>
      <c r="R140" s="1"/>
      <c r="S140" s="1"/>
      <c r="T140" s="1"/>
      <c r="U140" s="1"/>
      <c r="V140" s="1"/>
      <c r="W140" s="1"/>
      <c r="X140" s="1"/>
      <c r="Y140" s="1"/>
      <c r="Z140" s="1"/>
    </row>
    <row r="141" spans="1:26" ht="19.5" customHeight="1">
      <c r="A141" s="11"/>
      <c r="B141" s="116">
        <f t="array" ref="B141">$B142-1</f>
        <v>1995</v>
      </c>
      <c r="C141" s="81">
        <f t="array" ref="C141">H141</f>
        <v>0</v>
      </c>
      <c r="D141" s="132"/>
      <c r="E141" s="132"/>
      <c r="F141" s="80"/>
      <c r="G141" s="80"/>
      <c r="H141" s="56">
        <f t="array" ref="H141">E141+D141</f>
        <v>0</v>
      </c>
      <c r="I141" s="58"/>
      <c r="J141" s="58"/>
      <c r="K141" s="58"/>
      <c r="L141" s="58"/>
      <c r="M141" s="1"/>
      <c r="N141" s="1"/>
      <c r="O141" s="1"/>
      <c r="P141" s="1"/>
      <c r="Q141" s="1"/>
      <c r="R141" s="1"/>
      <c r="S141" s="1"/>
      <c r="T141" s="1"/>
      <c r="U141" s="1"/>
      <c r="V141" s="1"/>
      <c r="W141" s="1"/>
      <c r="X141" s="1"/>
      <c r="Y141" s="1"/>
      <c r="Z141" s="1"/>
    </row>
    <row r="142" spans="1:26" ht="19.5" customHeight="1">
      <c r="A142" s="11"/>
      <c r="B142" s="116">
        <f t="array" ref="B142">$B143-1</f>
        <v>1996</v>
      </c>
      <c r="C142" s="81">
        <f t="array" ref="C142">H142</f>
        <v>0</v>
      </c>
      <c r="D142" s="132"/>
      <c r="E142" s="132"/>
      <c r="F142" s="80"/>
      <c r="G142" s="80"/>
      <c r="H142" s="56">
        <f t="array" ref="H142">E142+D142</f>
        <v>0</v>
      </c>
      <c r="I142" s="58"/>
      <c r="J142" s="58"/>
      <c r="K142" s="58"/>
      <c r="L142" s="58"/>
      <c r="M142" s="1"/>
      <c r="N142" s="1"/>
      <c r="O142" s="1"/>
      <c r="P142" s="1"/>
      <c r="Q142" s="1"/>
      <c r="R142" s="1"/>
      <c r="S142" s="1"/>
      <c r="T142" s="1"/>
      <c r="U142" s="1"/>
      <c r="V142" s="1"/>
      <c r="W142" s="1"/>
      <c r="X142" s="1"/>
      <c r="Y142" s="1"/>
      <c r="Z142" s="1"/>
    </row>
    <row r="143" spans="1:26" ht="19.5" customHeight="1">
      <c r="A143" s="11"/>
      <c r="B143" s="116">
        <f t="array" ref="B143">$B144-1</f>
        <v>1997</v>
      </c>
      <c r="C143" s="81">
        <f t="array" ref="C143">H143</f>
        <v>0</v>
      </c>
      <c r="D143" s="132"/>
      <c r="E143" s="132"/>
      <c r="F143" s="80"/>
      <c r="G143" s="80"/>
      <c r="H143" s="56">
        <f t="array" ref="H143">E143+D143</f>
        <v>0</v>
      </c>
      <c r="I143" s="58"/>
      <c r="J143" s="58"/>
      <c r="K143" s="58"/>
      <c r="L143" s="58"/>
      <c r="M143" s="1"/>
      <c r="N143" s="1"/>
      <c r="O143" s="1"/>
      <c r="P143" s="1"/>
      <c r="Q143" s="1"/>
      <c r="R143" s="1"/>
      <c r="S143" s="1"/>
      <c r="T143" s="1"/>
      <c r="U143" s="1"/>
      <c r="V143" s="1"/>
      <c r="W143" s="1"/>
      <c r="X143" s="1"/>
      <c r="Y143" s="1"/>
      <c r="Z143" s="1"/>
    </row>
    <row r="144" spans="1:26" ht="19.5" customHeight="1">
      <c r="A144" s="11"/>
      <c r="B144" s="116">
        <f t="array" ref="B144">$B145-1</f>
        <v>1998</v>
      </c>
      <c r="C144" s="81">
        <f t="array" ref="C144">H144</f>
        <v>0</v>
      </c>
      <c r="D144" s="132"/>
      <c r="E144" s="132"/>
      <c r="F144" s="80"/>
      <c r="G144" s="80"/>
      <c r="H144" s="56">
        <f t="array" ref="H144">E144+D144</f>
        <v>0</v>
      </c>
      <c r="I144" s="58"/>
      <c r="J144" s="58"/>
      <c r="K144" s="58"/>
      <c r="L144" s="58"/>
      <c r="M144" s="1"/>
      <c r="N144" s="1"/>
      <c r="O144" s="1"/>
      <c r="P144" s="1"/>
      <c r="Q144" s="1"/>
      <c r="R144" s="1"/>
      <c r="S144" s="1"/>
      <c r="T144" s="1"/>
      <c r="U144" s="1"/>
      <c r="V144" s="1"/>
      <c r="W144" s="1"/>
      <c r="X144" s="1"/>
      <c r="Y144" s="1"/>
      <c r="Z144" s="1"/>
    </row>
    <row r="145" spans="1:26" ht="19.5" customHeight="1">
      <c r="A145" s="11"/>
      <c r="B145" s="116">
        <f t="array" ref="B145">$B146-1</f>
        <v>1999</v>
      </c>
      <c r="C145" s="81">
        <f t="array" ref="C145">H145</f>
        <v>0</v>
      </c>
      <c r="D145" s="132"/>
      <c r="E145" s="132"/>
      <c r="F145" s="80"/>
      <c r="G145" s="80"/>
      <c r="H145" s="56">
        <f t="array" ref="H145">E145+D145</f>
        <v>0</v>
      </c>
      <c r="I145" s="58"/>
      <c r="J145" s="58"/>
      <c r="K145" s="58"/>
      <c r="L145" s="58"/>
      <c r="M145" s="1"/>
      <c r="N145" s="1"/>
      <c r="O145" s="1"/>
      <c r="P145" s="1"/>
      <c r="Q145" s="1"/>
      <c r="R145" s="1"/>
      <c r="S145" s="1"/>
      <c r="T145" s="1"/>
      <c r="U145" s="1"/>
      <c r="V145" s="1"/>
      <c r="W145" s="1"/>
      <c r="X145" s="1"/>
      <c r="Y145" s="1"/>
      <c r="Z145" s="1"/>
    </row>
    <row r="146" spans="1:26" ht="19.5" customHeight="1">
      <c r="A146" s="11"/>
      <c r="B146" s="116">
        <f t="array" ref="B146">$B147-1</f>
        <v>2000</v>
      </c>
      <c r="C146" s="81">
        <f t="array" ref="C146">H146</f>
        <v>0</v>
      </c>
      <c r="D146" s="132"/>
      <c r="E146" s="132"/>
      <c r="F146" s="80"/>
      <c r="G146" s="80"/>
      <c r="H146" s="56">
        <f t="array" ref="H146">E146+D146</f>
        <v>0</v>
      </c>
      <c r="I146" s="58"/>
      <c r="J146" s="58"/>
      <c r="K146" s="58"/>
      <c r="L146" s="58"/>
      <c r="M146" s="1"/>
      <c r="N146" s="1"/>
      <c r="O146" s="1"/>
      <c r="P146" s="1"/>
      <c r="Q146" s="1"/>
      <c r="R146" s="1"/>
      <c r="S146" s="1"/>
      <c r="T146" s="1"/>
      <c r="U146" s="1"/>
      <c r="V146" s="1"/>
      <c r="W146" s="1"/>
      <c r="X146" s="1"/>
      <c r="Y146" s="1"/>
      <c r="Z146" s="1"/>
    </row>
    <row r="147" spans="1:26" ht="19.5" customHeight="1">
      <c r="A147" s="11"/>
      <c r="B147" s="116">
        <f t="array" ref="B147">$B148-1</f>
        <v>2001</v>
      </c>
      <c r="C147" s="81">
        <f t="array" ref="C147">H147</f>
        <v>0</v>
      </c>
      <c r="D147" s="132"/>
      <c r="E147" s="132"/>
      <c r="F147" s="80"/>
      <c r="G147" s="80"/>
      <c r="H147" s="56">
        <f t="array" ref="H147">E147+D147</f>
        <v>0</v>
      </c>
      <c r="I147" s="58"/>
      <c r="J147" s="58"/>
      <c r="K147" s="58"/>
      <c r="L147" s="58"/>
      <c r="M147" s="1"/>
      <c r="N147" s="1"/>
      <c r="O147" s="1"/>
      <c r="P147" s="1"/>
      <c r="Q147" s="1"/>
      <c r="R147" s="1"/>
      <c r="S147" s="1"/>
      <c r="T147" s="1"/>
      <c r="U147" s="1"/>
      <c r="V147" s="1"/>
      <c r="W147" s="1"/>
      <c r="X147" s="1"/>
      <c r="Y147" s="1"/>
      <c r="Z147" s="1"/>
    </row>
    <row r="148" spans="1:26" ht="19.5" customHeight="1">
      <c r="A148" s="11"/>
      <c r="B148" s="116">
        <f t="array" ref="B148">$B149-1</f>
        <v>2002</v>
      </c>
      <c r="C148" s="81">
        <f t="array" ref="C148">H148</f>
        <v>0</v>
      </c>
      <c r="D148" s="132"/>
      <c r="E148" s="132"/>
      <c r="F148" s="80"/>
      <c r="G148" s="80"/>
      <c r="H148" s="56">
        <f t="array" ref="H148">E148+D148</f>
        <v>0</v>
      </c>
      <c r="I148" s="58"/>
      <c r="J148" s="58"/>
      <c r="K148" s="58"/>
      <c r="L148" s="58"/>
      <c r="M148" s="1"/>
      <c r="N148" s="1"/>
      <c r="O148" s="1"/>
      <c r="P148" s="1"/>
      <c r="Q148" s="1"/>
      <c r="R148" s="1"/>
      <c r="S148" s="1"/>
      <c r="T148" s="1"/>
      <c r="U148" s="1"/>
      <c r="V148" s="1"/>
      <c r="W148" s="1"/>
      <c r="X148" s="1"/>
      <c r="Y148" s="1"/>
      <c r="Z148" s="1"/>
    </row>
    <row r="149" spans="1:26" ht="19.5" customHeight="1">
      <c r="A149" s="11"/>
      <c r="B149" s="116">
        <f t="array" ref="B149">$B150-1</f>
        <v>2003</v>
      </c>
      <c r="C149" s="81">
        <f t="array" ref="C149">H149</f>
        <v>0</v>
      </c>
      <c r="D149" s="132"/>
      <c r="E149" s="132"/>
      <c r="F149" s="80"/>
      <c r="G149" s="80"/>
      <c r="H149" s="56">
        <f t="array" ref="H149">E149+D149</f>
        <v>0</v>
      </c>
      <c r="I149" s="58"/>
      <c r="J149" s="58"/>
      <c r="K149" s="58"/>
      <c r="L149" s="58"/>
      <c r="M149" s="1"/>
      <c r="N149" s="1"/>
      <c r="O149" s="1"/>
      <c r="P149" s="1"/>
      <c r="Q149" s="1"/>
      <c r="R149" s="1"/>
      <c r="S149" s="1"/>
      <c r="T149" s="1"/>
      <c r="U149" s="1"/>
      <c r="V149" s="1"/>
      <c r="W149" s="1"/>
      <c r="X149" s="1"/>
      <c r="Y149" s="1"/>
      <c r="Z149" s="1"/>
    </row>
    <row r="150" spans="1:26" ht="19.5" customHeight="1">
      <c r="A150" s="11"/>
      <c r="B150" s="116">
        <f t="array" ref="B150">$B151-1</f>
        <v>2004</v>
      </c>
      <c r="C150" s="81">
        <f t="array" ref="C150">H150</f>
        <v>0</v>
      </c>
      <c r="D150" s="132"/>
      <c r="E150" s="132"/>
      <c r="F150" s="80"/>
      <c r="G150" s="80"/>
      <c r="H150" s="56">
        <f t="array" ref="H150">E150+D150</f>
        <v>0</v>
      </c>
      <c r="I150" s="58"/>
      <c r="J150" s="58"/>
      <c r="K150" s="58"/>
      <c r="L150" s="58"/>
      <c r="M150" s="1"/>
      <c r="N150" s="1"/>
      <c r="O150" s="1"/>
      <c r="P150" s="1"/>
      <c r="Q150" s="1"/>
      <c r="R150" s="1"/>
      <c r="S150" s="1"/>
      <c r="T150" s="1"/>
      <c r="U150" s="1"/>
      <c r="V150" s="1"/>
      <c r="W150" s="1"/>
      <c r="X150" s="1"/>
      <c r="Y150" s="1"/>
      <c r="Z150" s="1"/>
    </row>
    <row r="151" spans="1:26" ht="19.5" customHeight="1">
      <c r="A151" s="11"/>
      <c r="B151" s="116">
        <f t="array" ref="B151">$B152-1</f>
        <v>2005</v>
      </c>
      <c r="C151" s="81">
        <f t="array" ref="C151">H151</f>
        <v>0</v>
      </c>
      <c r="D151" s="132"/>
      <c r="E151" s="132"/>
      <c r="F151" s="80"/>
      <c r="G151" s="80"/>
      <c r="H151" s="56">
        <f t="array" ref="H151">E151+D151</f>
        <v>0</v>
      </c>
      <c r="I151" s="58"/>
      <c r="J151" s="58"/>
      <c r="K151" s="58"/>
      <c r="L151" s="58"/>
      <c r="M151" s="1"/>
      <c r="N151" s="1"/>
      <c r="O151" s="1"/>
      <c r="P151" s="1"/>
      <c r="Q151" s="1"/>
      <c r="R151" s="1"/>
      <c r="S151" s="1"/>
      <c r="T151" s="1"/>
      <c r="U151" s="1"/>
      <c r="V151" s="1"/>
      <c r="W151" s="1"/>
      <c r="X151" s="1"/>
      <c r="Y151" s="1"/>
      <c r="Z151" s="1"/>
    </row>
    <row r="152" spans="1:26" ht="19.5" customHeight="1">
      <c r="A152" s="11"/>
      <c r="B152" s="116">
        <f t="array" ref="B152">$B153-1</f>
        <v>2006</v>
      </c>
      <c r="C152" s="81">
        <f t="array" ref="C152">H152</f>
        <v>0</v>
      </c>
      <c r="D152" s="132"/>
      <c r="E152" s="132"/>
      <c r="F152" s="80"/>
      <c r="G152" s="80"/>
      <c r="H152" s="56">
        <f t="array" ref="H152">E152+D152</f>
        <v>0</v>
      </c>
      <c r="I152" s="58"/>
      <c r="J152" s="58"/>
      <c r="K152" s="58"/>
      <c r="L152" s="58"/>
      <c r="M152" s="1"/>
      <c r="N152" s="1"/>
      <c r="O152" s="1"/>
      <c r="P152" s="1"/>
      <c r="Q152" s="1"/>
      <c r="R152" s="1"/>
      <c r="S152" s="1"/>
      <c r="T152" s="1"/>
      <c r="U152" s="1"/>
      <c r="V152" s="1"/>
      <c r="W152" s="1"/>
      <c r="X152" s="1"/>
      <c r="Y152" s="1"/>
      <c r="Z152" s="1"/>
    </row>
    <row r="153" spans="1:26" ht="19.5" customHeight="1">
      <c r="A153" s="11"/>
      <c r="B153" s="116">
        <f t="array" ref="B153">$B154-1</f>
        <v>2007</v>
      </c>
      <c r="C153" s="81">
        <f t="array" ref="C153">H153</f>
        <v>0</v>
      </c>
      <c r="D153" s="132"/>
      <c r="E153" s="132"/>
      <c r="F153" s="80"/>
      <c r="G153" s="80"/>
      <c r="H153" s="56">
        <f t="array" ref="H153">E153+D153</f>
        <v>0</v>
      </c>
      <c r="I153" s="58"/>
      <c r="J153" s="58"/>
      <c r="K153" s="58"/>
      <c r="L153" s="58"/>
      <c r="M153" s="1"/>
      <c r="N153" s="1"/>
      <c r="O153" s="1"/>
      <c r="P153" s="1"/>
      <c r="Q153" s="1"/>
      <c r="R153" s="1"/>
      <c r="S153" s="1"/>
      <c r="T153" s="1"/>
      <c r="U153" s="1"/>
      <c r="V153" s="1"/>
      <c r="W153" s="1"/>
      <c r="X153" s="1"/>
      <c r="Y153" s="1"/>
      <c r="Z153" s="1"/>
    </row>
    <row r="154" spans="1:26" ht="19.5" customHeight="1">
      <c r="A154" s="11"/>
      <c r="B154" s="116">
        <f t="array" ref="B154">$B155-1</f>
        <v>2008</v>
      </c>
      <c r="C154" s="81">
        <f t="array" ref="C154">H154</f>
        <v>0</v>
      </c>
      <c r="D154" s="132"/>
      <c r="E154" s="132"/>
      <c r="F154" s="80"/>
      <c r="G154" s="80"/>
      <c r="H154" s="56">
        <f t="array" ref="H154">E154+D154</f>
        <v>0</v>
      </c>
      <c r="I154" s="58"/>
      <c r="J154" s="58"/>
      <c r="K154" s="58"/>
      <c r="L154" s="58"/>
      <c r="M154" s="1"/>
      <c r="N154" s="1"/>
      <c r="O154" s="1"/>
      <c r="P154" s="1"/>
      <c r="Q154" s="1"/>
      <c r="R154" s="1"/>
      <c r="S154" s="1"/>
      <c r="T154" s="1"/>
      <c r="U154" s="1"/>
      <c r="V154" s="1"/>
      <c r="W154" s="1"/>
      <c r="X154" s="1"/>
      <c r="Y154" s="1"/>
      <c r="Z154" s="1"/>
    </row>
    <row r="155" spans="1:26" ht="19.5" customHeight="1">
      <c r="A155" s="11"/>
      <c r="B155" s="116">
        <f t="array" ref="B155">$B156-1</f>
        <v>2009</v>
      </c>
      <c r="C155" s="81">
        <f t="array" ref="C155">H155</f>
        <v>0</v>
      </c>
      <c r="D155" s="132"/>
      <c r="E155" s="132"/>
      <c r="F155" s="80"/>
      <c r="G155" s="80"/>
      <c r="H155" s="56">
        <f t="array" ref="H155">E155+D155</f>
        <v>0</v>
      </c>
      <c r="I155" s="58"/>
      <c r="J155" s="58"/>
      <c r="K155" s="58"/>
      <c r="L155" s="58"/>
      <c r="M155" s="1"/>
      <c r="N155" s="1"/>
      <c r="O155" s="1"/>
      <c r="P155" s="1"/>
      <c r="Q155" s="1"/>
      <c r="R155" s="1"/>
      <c r="S155" s="1"/>
      <c r="T155" s="1"/>
      <c r="U155" s="1"/>
      <c r="V155" s="1"/>
      <c r="W155" s="1"/>
      <c r="X155" s="1"/>
      <c r="Y155" s="1"/>
      <c r="Z155" s="1"/>
    </row>
    <row r="156" spans="1:26" ht="19.5" customHeight="1">
      <c r="A156" s="11"/>
      <c r="B156" s="116">
        <f t="array" ref="B156">$B157-1</f>
        <v>2010</v>
      </c>
      <c r="C156" s="81">
        <f t="array" ref="C156">H156</f>
        <v>0</v>
      </c>
      <c r="D156" s="132"/>
      <c r="E156" s="132"/>
      <c r="F156" s="80"/>
      <c r="G156" s="80"/>
      <c r="H156" s="56">
        <f t="array" ref="H156">E156+D156</f>
        <v>0</v>
      </c>
      <c r="I156" s="58"/>
      <c r="J156" s="58"/>
      <c r="K156" s="58"/>
      <c r="L156" s="58"/>
      <c r="M156" s="1"/>
      <c r="N156" s="1"/>
      <c r="O156" s="1"/>
      <c r="P156" s="1"/>
      <c r="Q156" s="1"/>
      <c r="R156" s="1"/>
      <c r="S156" s="1"/>
      <c r="T156" s="1"/>
      <c r="U156" s="1"/>
      <c r="V156" s="1"/>
      <c r="W156" s="1"/>
      <c r="X156" s="1"/>
      <c r="Y156" s="1"/>
      <c r="Z156" s="1"/>
    </row>
    <row r="157" spans="1:26" ht="19.5" customHeight="1">
      <c r="A157" s="11"/>
      <c r="B157" s="116">
        <f t="array" ref="B157">$B158-1</f>
        <v>2011</v>
      </c>
      <c r="C157" s="81">
        <f t="array" ref="C157">H157</f>
        <v>0</v>
      </c>
      <c r="D157" s="132"/>
      <c r="E157" s="132"/>
      <c r="F157" s="80"/>
      <c r="G157" s="80"/>
      <c r="H157" s="56">
        <f t="array" ref="H157">E157+D157</f>
        <v>0</v>
      </c>
      <c r="I157" s="58"/>
      <c r="J157" s="58"/>
      <c r="K157" s="58"/>
      <c r="L157" s="58"/>
      <c r="M157" s="1"/>
      <c r="N157" s="1"/>
      <c r="O157" s="1"/>
      <c r="P157" s="1"/>
      <c r="Q157" s="1"/>
      <c r="R157" s="1"/>
      <c r="S157" s="1"/>
      <c r="T157" s="1"/>
      <c r="U157" s="1"/>
      <c r="V157" s="1"/>
      <c r="W157" s="1"/>
      <c r="X157" s="1"/>
      <c r="Y157" s="1"/>
      <c r="Z157" s="1"/>
    </row>
    <row r="158" spans="1:26" ht="19.5" customHeight="1">
      <c r="A158" s="11"/>
      <c r="B158" s="116">
        <f t="array" ref="B158">$B159-1</f>
        <v>2012</v>
      </c>
      <c r="C158" s="81">
        <f t="array" ref="C158">H158</f>
        <v>0</v>
      </c>
      <c r="D158" s="132"/>
      <c r="E158" s="132"/>
      <c r="F158" s="80"/>
      <c r="G158" s="80"/>
      <c r="H158" s="56">
        <f t="array" ref="H158">E158+D158</f>
        <v>0</v>
      </c>
      <c r="I158" s="58"/>
      <c r="J158" s="58"/>
      <c r="K158" s="58"/>
      <c r="L158" s="58"/>
      <c r="M158" s="1"/>
      <c r="N158" s="1"/>
      <c r="O158" s="1"/>
      <c r="P158" s="1"/>
      <c r="Q158" s="1"/>
      <c r="R158" s="1"/>
      <c r="S158" s="1"/>
      <c r="T158" s="1"/>
      <c r="U158" s="1"/>
      <c r="V158" s="1"/>
      <c r="W158" s="1"/>
      <c r="X158" s="1"/>
      <c r="Y158" s="1"/>
      <c r="Z158" s="1"/>
    </row>
    <row r="159" spans="1:26" ht="20.25" customHeight="1">
      <c r="A159" s="11"/>
      <c r="B159" s="116">
        <f t="array" ref="B159">$B160-1</f>
        <v>2013</v>
      </c>
      <c r="C159" s="81">
        <f t="array" ref="C159">H159</f>
        <v>0</v>
      </c>
      <c r="D159" s="132"/>
      <c r="E159" s="132"/>
      <c r="F159" s="80"/>
      <c r="G159" s="80"/>
      <c r="H159" s="78">
        <f t="array" ref="H159">E159+D159</f>
        <v>0</v>
      </c>
      <c r="I159" s="77"/>
      <c r="J159" s="58"/>
      <c r="K159" s="58"/>
      <c r="L159" s="58"/>
      <c r="M159" s="1"/>
      <c r="N159" s="1"/>
      <c r="O159" s="1"/>
      <c r="P159" s="1"/>
      <c r="Q159" s="1"/>
      <c r="R159" s="1"/>
      <c r="S159" s="1"/>
      <c r="T159" s="1"/>
      <c r="U159" s="1"/>
      <c r="V159" s="1"/>
      <c r="W159" s="1"/>
      <c r="X159" s="1"/>
      <c r="Y159" s="1"/>
      <c r="Z159" s="1"/>
    </row>
    <row r="160" spans="1:26" ht="20.25" customHeight="1">
      <c r="A160" s="11"/>
      <c r="B160" s="116">
        <f t="array" ref="B160">$B161-1</f>
        <v>2014</v>
      </c>
      <c r="C160" s="81">
        <f t="array" ref="C160">H160</f>
        <v>0</v>
      </c>
      <c r="D160" s="132"/>
      <c r="E160" s="132"/>
      <c r="F160" s="80"/>
      <c r="G160" s="80"/>
      <c r="H160" s="81">
        <f t="array" ref="H160">E160+D160</f>
        <v>0</v>
      </c>
      <c r="I160" s="136"/>
      <c r="J160" s="63"/>
      <c r="K160" s="63"/>
      <c r="L160" s="120"/>
      <c r="M160" s="1"/>
      <c r="N160" s="1"/>
      <c r="O160" s="1"/>
      <c r="P160" s="1"/>
      <c r="Q160" s="1"/>
      <c r="R160" s="1"/>
      <c r="S160" s="1"/>
      <c r="T160" s="1"/>
      <c r="U160" s="1"/>
      <c r="V160" s="1"/>
      <c r="W160" s="1"/>
      <c r="X160" s="1"/>
      <c r="Y160" s="1"/>
      <c r="Z160" s="1"/>
    </row>
    <row r="161" spans="1:26" ht="20.25" customHeight="1">
      <c r="A161" s="11"/>
      <c r="B161" s="116">
        <f t="array" ref="B161">$B162-1</f>
        <v>2015</v>
      </c>
      <c r="C161" s="81">
        <f t="array" ref="C161">H161</f>
        <v>0</v>
      </c>
      <c r="D161" s="132"/>
      <c r="E161" s="132"/>
      <c r="F161" s="80"/>
      <c r="G161" s="80"/>
      <c r="H161" s="81">
        <f t="array" ref="H161">E161+D161</f>
        <v>0</v>
      </c>
      <c r="I161" s="136"/>
      <c r="J161" s="63"/>
      <c r="K161" s="63"/>
      <c r="L161" s="120"/>
      <c r="M161" s="1"/>
      <c r="N161" s="1"/>
      <c r="O161" s="1"/>
      <c r="P161" s="1"/>
      <c r="Q161" s="1"/>
      <c r="R161" s="1"/>
      <c r="S161" s="1"/>
      <c r="T161" s="1"/>
      <c r="U161" s="1"/>
      <c r="V161" s="1"/>
      <c r="W161" s="1"/>
      <c r="X161" s="1"/>
      <c r="Y161" s="1"/>
      <c r="Z161" s="1"/>
    </row>
    <row r="162" spans="1:26" ht="20.25" customHeight="1">
      <c r="A162" s="11"/>
      <c r="B162" s="116">
        <f t="array" ref="B162">$B163-1</f>
        <v>2016</v>
      </c>
      <c r="C162" s="81">
        <f t="array" ref="C162">H162</f>
        <v>0</v>
      </c>
      <c r="D162" s="132"/>
      <c r="E162" s="132"/>
      <c r="F162" s="80"/>
      <c r="G162" s="80"/>
      <c r="H162" s="81">
        <f t="array" ref="H162">E162+D162</f>
        <v>0</v>
      </c>
      <c r="I162" s="136"/>
      <c r="J162" s="63"/>
      <c r="K162" s="63"/>
      <c r="L162" s="120"/>
      <c r="M162" s="1"/>
      <c r="N162" s="1"/>
      <c r="O162" s="1"/>
      <c r="P162" s="1"/>
      <c r="Q162" s="1"/>
      <c r="R162" s="1"/>
      <c r="S162" s="1"/>
      <c r="T162" s="1"/>
      <c r="U162" s="1"/>
      <c r="V162" s="1"/>
      <c r="W162" s="1"/>
      <c r="X162" s="1"/>
      <c r="Y162" s="1"/>
      <c r="Z162" s="1"/>
    </row>
    <row r="163" spans="1:26" ht="20.25" customHeight="1">
      <c r="A163" s="11"/>
      <c r="B163" s="116">
        <f t="array" ref="B163">$B164-1</f>
        <v>2017</v>
      </c>
      <c r="C163" s="81">
        <f t="array" ref="C163">H163</f>
        <v>0</v>
      </c>
      <c r="D163" s="132"/>
      <c r="E163" s="132"/>
      <c r="F163" s="80"/>
      <c r="G163" s="80"/>
      <c r="H163" s="81">
        <f t="array" ref="H163">E163+D163</f>
        <v>0</v>
      </c>
      <c r="I163" s="136"/>
      <c r="J163" s="63"/>
      <c r="K163" s="63"/>
      <c r="L163" s="120"/>
      <c r="M163" s="1"/>
      <c r="N163" s="1"/>
      <c r="O163" s="1"/>
      <c r="P163" s="1"/>
      <c r="Q163" s="1"/>
      <c r="R163" s="1"/>
      <c r="S163" s="1"/>
      <c r="T163" s="1"/>
      <c r="U163" s="1"/>
      <c r="V163" s="1"/>
      <c r="W163" s="1"/>
      <c r="X163" s="1"/>
      <c r="Y163" s="1"/>
      <c r="Z163" s="1"/>
    </row>
    <row r="164" spans="1:26" ht="20.25" customHeight="1">
      <c r="A164" s="11"/>
      <c r="B164" s="116">
        <f t="array" ref="B164">$B165-1</f>
        <v>2018</v>
      </c>
      <c r="C164" s="81">
        <f t="array" ref="C164">H164</f>
        <v>0</v>
      </c>
      <c r="D164" s="132"/>
      <c r="E164" s="132"/>
      <c r="F164" s="80"/>
      <c r="G164" s="80"/>
      <c r="H164" s="81">
        <f t="array" ref="H164">E164+D164</f>
        <v>0</v>
      </c>
      <c r="I164" s="136"/>
      <c r="J164" s="63"/>
      <c r="K164" s="63"/>
      <c r="L164" s="120"/>
      <c r="M164" s="1"/>
      <c r="N164" s="1"/>
      <c r="O164" s="1"/>
      <c r="P164" s="1"/>
      <c r="Q164" s="1"/>
      <c r="R164" s="1"/>
      <c r="S164" s="1"/>
      <c r="T164" s="1"/>
      <c r="U164" s="1"/>
      <c r="V164" s="1"/>
      <c r="W164" s="1"/>
      <c r="X164" s="1"/>
      <c r="Y164" s="1"/>
      <c r="Z164" s="1"/>
    </row>
    <row r="165" spans="1:26" ht="20.25" customHeight="1">
      <c r="A165" s="11"/>
      <c r="B165" s="116">
        <f t="array" ref="B165">$B166-1</f>
        <v>2019</v>
      </c>
      <c r="C165" s="81">
        <f t="array" ref="C165">H165</f>
        <v>0</v>
      </c>
      <c r="D165" s="132"/>
      <c r="E165" s="132"/>
      <c r="F165" s="80"/>
      <c r="G165" s="80"/>
      <c r="H165" s="81">
        <f t="array" ref="H165">E165+D165</f>
        <v>0</v>
      </c>
      <c r="I165" s="136"/>
      <c r="J165" s="63"/>
      <c r="K165" s="63"/>
      <c r="L165" s="120"/>
      <c r="M165" s="1"/>
      <c r="N165" s="1"/>
      <c r="O165" s="1"/>
      <c r="P165" s="1"/>
      <c r="Q165" s="1"/>
      <c r="R165" s="1"/>
      <c r="S165" s="1"/>
      <c r="T165" s="1"/>
      <c r="U165" s="1"/>
      <c r="V165" s="1"/>
      <c r="W165" s="1"/>
      <c r="X165" s="1"/>
      <c r="Y165" s="1"/>
      <c r="Z165" s="1"/>
    </row>
    <row r="166" spans="1:26" ht="20.25" customHeight="1">
      <c r="A166" s="11"/>
      <c r="B166" s="116">
        <f t="array" ref="B166">$B167-1</f>
        <v>2020</v>
      </c>
      <c r="C166" s="81">
        <f t="array" ref="C166">H166</f>
        <v>0</v>
      </c>
      <c r="D166" s="132"/>
      <c r="E166" s="132"/>
      <c r="F166" s="80"/>
      <c r="G166" s="80"/>
      <c r="H166" s="81">
        <f t="array" ref="H166">E166+D166</f>
        <v>0</v>
      </c>
      <c r="I166" s="136"/>
      <c r="J166" s="63"/>
      <c r="K166" s="63"/>
      <c r="L166" s="120"/>
      <c r="M166" s="1"/>
      <c r="N166" s="1"/>
      <c r="O166" s="1"/>
      <c r="P166" s="1"/>
      <c r="Q166" s="1"/>
      <c r="R166" s="1"/>
      <c r="S166" s="1"/>
      <c r="T166" s="1"/>
      <c r="U166" s="1"/>
      <c r="V166" s="1"/>
      <c r="W166" s="1"/>
      <c r="X166" s="1"/>
      <c r="Y166" s="1"/>
      <c r="Z166" s="1"/>
    </row>
    <row r="167" spans="1:26" ht="20.25" customHeight="1">
      <c r="A167" s="11"/>
      <c r="B167" s="116">
        <f t="array" ref="B167">$B168-1</f>
        <v>2021</v>
      </c>
      <c r="C167" s="81">
        <f t="array" ref="C167">H167</f>
        <v>0</v>
      </c>
      <c r="D167" s="132"/>
      <c r="E167" s="132"/>
      <c r="F167" s="80"/>
      <c r="G167" s="80"/>
      <c r="H167" s="81">
        <f t="array" ref="H167">E167+D167</f>
        <v>0</v>
      </c>
      <c r="I167" s="136"/>
      <c r="J167" s="63"/>
      <c r="K167" s="63"/>
      <c r="L167" s="120"/>
      <c r="M167" s="1"/>
      <c r="N167" s="1"/>
      <c r="O167" s="1"/>
      <c r="P167" s="1"/>
      <c r="Q167" s="1"/>
      <c r="R167" s="1"/>
      <c r="S167" s="1"/>
      <c r="T167" s="1"/>
      <c r="U167" s="1"/>
      <c r="V167" s="1"/>
      <c r="W167" s="1"/>
      <c r="X167" s="1"/>
      <c r="Y167" s="1"/>
      <c r="Z167" s="1"/>
    </row>
    <row r="168" spans="1:26" ht="20.25" customHeight="1">
      <c r="A168" s="11"/>
      <c r="B168" s="116">
        <f t="array" ref="B168">$B169-1</f>
        <v>2022</v>
      </c>
      <c r="C168" s="81">
        <f t="array" ref="C168">H168</f>
        <v>0</v>
      </c>
      <c r="D168" s="132"/>
      <c r="E168" s="132"/>
      <c r="F168" s="80"/>
      <c r="G168" s="80"/>
      <c r="H168" s="81">
        <f t="array" ref="H168">E168+D168</f>
        <v>0</v>
      </c>
      <c r="I168" s="136"/>
      <c r="J168" s="63"/>
      <c r="K168" s="63"/>
      <c r="L168" s="120"/>
      <c r="M168" s="1"/>
      <c r="N168" s="1"/>
      <c r="O168" s="1"/>
      <c r="P168" s="1"/>
      <c r="Q168" s="1"/>
      <c r="R168" s="1"/>
      <c r="S168" s="1"/>
      <c r="T168" s="1"/>
      <c r="U168" s="1"/>
      <c r="V168" s="1"/>
      <c r="W168" s="1"/>
      <c r="X168" s="1"/>
      <c r="Y168" s="1"/>
      <c r="Z168" s="1"/>
    </row>
    <row r="169" spans="1:26" ht="20.25" customHeight="1">
      <c r="A169" s="11"/>
      <c r="B169" s="116">
        <f t="array" ref="B169">$B170-1</f>
        <v>2023</v>
      </c>
      <c r="C169" s="81">
        <f t="array" ref="C169">H169</f>
        <v>0</v>
      </c>
      <c r="D169" s="132"/>
      <c r="E169" s="132"/>
      <c r="F169" s="80"/>
      <c r="G169" s="80"/>
      <c r="H169" s="81">
        <f t="array" ref="H169">E169+D169</f>
        <v>0</v>
      </c>
      <c r="I169" s="136"/>
      <c r="J169" s="63"/>
      <c r="K169" s="63"/>
      <c r="L169" s="120"/>
      <c r="M169" s="1"/>
      <c r="N169" s="1"/>
      <c r="O169" s="1"/>
      <c r="P169" s="1"/>
      <c r="Q169" s="1"/>
      <c r="R169" s="1"/>
      <c r="S169" s="1"/>
      <c r="T169" s="1"/>
      <c r="U169" s="1"/>
      <c r="V169" s="1"/>
      <c r="W169" s="1"/>
      <c r="X169" s="1"/>
      <c r="Y169" s="1"/>
      <c r="Z169" s="1"/>
    </row>
    <row r="170" spans="1:26" ht="20.25" customHeight="1">
      <c r="A170" s="11"/>
      <c r="B170" s="116">
        <f t="array" ref="B170">$B171-1</f>
        <v>2024</v>
      </c>
      <c r="C170" s="81">
        <f t="array" ref="C170">H170</f>
        <v>0</v>
      </c>
      <c r="D170" s="132"/>
      <c r="E170" s="132"/>
      <c r="F170" s="80"/>
      <c r="G170" s="80"/>
      <c r="H170" s="81">
        <f t="array" ref="H170">E170+D170</f>
        <v>0</v>
      </c>
      <c r="I170" s="136"/>
      <c r="J170" s="63"/>
      <c r="K170" s="63"/>
      <c r="L170" s="120"/>
      <c r="M170" s="1"/>
      <c r="N170" s="1"/>
      <c r="O170" s="1"/>
      <c r="P170" s="1"/>
      <c r="Q170" s="1"/>
      <c r="R170" s="1"/>
      <c r="S170" s="1"/>
      <c r="T170" s="1"/>
      <c r="U170" s="1"/>
      <c r="V170" s="1"/>
      <c r="W170" s="1"/>
      <c r="X170" s="1"/>
      <c r="Y170" s="1"/>
      <c r="Z170" s="1"/>
    </row>
    <row r="171" spans="1:26" ht="20.25" customHeight="1">
      <c r="A171" s="11"/>
      <c r="B171" s="116">
        <f t="array" ref="B171">$C$7</f>
        <v>2025</v>
      </c>
      <c r="C171" s="81">
        <f t="array" ref="C171">H171</f>
        <v>0</v>
      </c>
      <c r="D171" s="132"/>
      <c r="E171" s="132"/>
      <c r="F171" s="80"/>
      <c r="G171" s="80"/>
      <c r="H171" s="81">
        <f t="array" ref="H171">E171+D171</f>
        <v>0</v>
      </c>
      <c r="I171" s="137"/>
      <c r="J171" s="63"/>
      <c r="K171" s="63"/>
      <c r="L171" s="120"/>
      <c r="M171" s="1"/>
      <c r="N171" s="1"/>
      <c r="O171" s="1"/>
      <c r="P171" s="1"/>
      <c r="Q171" s="1"/>
      <c r="R171" s="1"/>
      <c r="S171" s="1"/>
      <c r="T171" s="1"/>
      <c r="U171" s="1"/>
      <c r="V171" s="1"/>
      <c r="W171" s="1"/>
      <c r="X171" s="1"/>
      <c r="Y171" s="1"/>
      <c r="Z171" s="1"/>
    </row>
    <row r="172" spans="1:26" ht="19.5" customHeight="1">
      <c r="A172" s="15"/>
      <c r="B172" s="16"/>
      <c r="C172" s="110">
        <f t="array" ref="C172">SUM(C96:C171)</f>
        <v>0</v>
      </c>
      <c r="D172" s="110">
        <f t="array" ref="D172">SUM(D96:D171)</f>
        <v>0</v>
      </c>
      <c r="E172" s="110">
        <f t="array" ref="E172">SUM(E96:E171)</f>
        <v>0</v>
      </c>
      <c r="F172" s="83"/>
      <c r="G172" s="83"/>
      <c r="H172" s="110">
        <f t="array" ref="H172">SUM(H96:H171)</f>
        <v>0</v>
      </c>
      <c r="I172" s="58"/>
      <c r="J172" s="58"/>
      <c r="K172" s="58"/>
      <c r="L172" s="58"/>
      <c r="M172" s="1"/>
      <c r="N172" s="1"/>
      <c r="O172" s="1"/>
      <c r="P172" s="1"/>
      <c r="Q172" s="1"/>
      <c r="R172" s="1"/>
      <c r="S172" s="1"/>
      <c r="T172" s="1"/>
      <c r="U172" s="1"/>
      <c r="V172" s="1"/>
      <c r="W172" s="1"/>
      <c r="X172" s="1"/>
      <c r="Y172" s="1"/>
      <c r="Z172" s="1"/>
    </row>
    <row r="173" spans="1:26" ht="19.5" customHeight="1">
      <c r="A173" s="2"/>
      <c r="B173" s="17"/>
      <c r="C173" s="13"/>
      <c r="D173" s="13"/>
      <c r="E173" s="13"/>
      <c r="F173" s="13"/>
      <c r="G173" s="13"/>
      <c r="H173" s="13"/>
      <c r="I173" s="13"/>
      <c r="J173" s="13"/>
      <c r="K173" s="13"/>
      <c r="L173" s="13"/>
      <c r="M173" s="1"/>
      <c r="N173" s="1"/>
      <c r="O173" s="1"/>
      <c r="P173" s="1"/>
      <c r="Q173" s="1"/>
      <c r="R173" s="1"/>
      <c r="S173" s="1"/>
      <c r="T173" s="1"/>
      <c r="U173" s="1"/>
      <c r="V173" s="1"/>
      <c r="W173" s="1"/>
      <c r="X173" s="1"/>
      <c r="Y173" s="1"/>
      <c r="Z173" s="1"/>
    </row>
    <row r="174" spans="1:26" ht="19.5" customHeight="1">
      <c r="A174" s="23"/>
      <c r="B174" s="22" t="s">
        <v>76</v>
      </c>
      <c r="C174" s="163" t="str">
        <f t="array" ref="C174">IF(C175="","?",C175)&amp;IF(C176="","","; downloaded "&amp;C176)&amp;IF(C177="","","; "&amp;C177)</f>
        <v>?; downloaded 2026-05-22</v>
      </c>
      <c r="D174" s="164"/>
      <c r="E174" s="164"/>
      <c r="F174" s="164"/>
      <c r="G174" s="164"/>
      <c r="H174" s="164"/>
      <c r="I174" s="164"/>
      <c r="J174" s="164"/>
      <c r="K174" s="165"/>
      <c r="L174" s="13"/>
      <c r="M174" s="1"/>
      <c r="N174" s="1"/>
      <c r="O174" s="1"/>
      <c r="P174" s="1"/>
      <c r="Q174" s="1"/>
      <c r="R174" s="1"/>
      <c r="S174" s="1"/>
      <c r="T174" s="1"/>
      <c r="U174" s="1"/>
      <c r="V174" s="1"/>
      <c r="W174" s="1"/>
      <c r="X174" s="1"/>
      <c r="Y174" s="1"/>
      <c r="Z174" s="1"/>
    </row>
    <row r="175" spans="1:26" ht="19.5" customHeight="1">
      <c r="A175" s="15"/>
      <c r="B175" s="22" t="s">
        <v>77</v>
      </c>
      <c r="C175" s="166"/>
      <c r="D175" s="164"/>
      <c r="E175" s="164"/>
      <c r="F175" s="164"/>
      <c r="G175" s="164"/>
      <c r="H175" s="164"/>
      <c r="I175" s="164"/>
      <c r="J175" s="164"/>
      <c r="K175" s="165"/>
      <c r="L175" s="13"/>
      <c r="M175" s="1"/>
      <c r="N175" s="1"/>
      <c r="O175" s="1"/>
      <c r="P175" s="1"/>
      <c r="Q175" s="1"/>
      <c r="R175" s="1"/>
      <c r="S175" s="1"/>
      <c r="T175" s="1"/>
      <c r="U175" s="1"/>
      <c r="V175" s="1"/>
      <c r="W175" s="1"/>
      <c r="X175" s="1"/>
      <c r="Y175" s="1"/>
      <c r="Z175" s="1"/>
    </row>
    <row r="176" spans="1:26" ht="19.5" customHeight="1">
      <c r="A176" s="23"/>
      <c r="B176" s="33" t="s">
        <v>79</v>
      </c>
      <c r="C176" s="166" t="s">
        <v>80</v>
      </c>
      <c r="D176" s="164"/>
      <c r="E176" s="164"/>
      <c r="F176" s="164"/>
      <c r="G176" s="164"/>
      <c r="H176" s="164"/>
      <c r="I176" s="164"/>
      <c r="J176" s="164"/>
      <c r="K176" s="165"/>
      <c r="L176" s="13"/>
      <c r="M176" s="1"/>
      <c r="N176" s="1"/>
      <c r="O176" s="1"/>
      <c r="P176" s="1"/>
      <c r="Q176" s="1"/>
      <c r="R176" s="1"/>
      <c r="S176" s="1"/>
      <c r="T176" s="1"/>
      <c r="U176" s="1"/>
      <c r="V176" s="1"/>
      <c r="W176" s="1"/>
      <c r="X176" s="1"/>
      <c r="Y176" s="1"/>
      <c r="Z176" s="1"/>
    </row>
    <row r="177" spans="1:26" ht="19.5" customHeight="1">
      <c r="A177" s="11"/>
      <c r="B177" s="12" t="s">
        <v>81</v>
      </c>
      <c r="C177" s="167"/>
      <c r="D177" s="168"/>
      <c r="E177" s="168"/>
      <c r="F177" s="168"/>
      <c r="G177" s="168"/>
      <c r="H177" s="168"/>
      <c r="I177" s="168"/>
      <c r="J177" s="168"/>
      <c r="K177" s="169"/>
      <c r="L177" s="13"/>
      <c r="M177" s="1"/>
      <c r="N177" s="1"/>
      <c r="O177" s="1"/>
      <c r="P177" s="1"/>
      <c r="Q177" s="1"/>
      <c r="R177" s="1"/>
      <c r="S177" s="1"/>
      <c r="T177" s="1"/>
      <c r="U177" s="1"/>
      <c r="V177" s="1"/>
      <c r="W177" s="1"/>
      <c r="X177" s="1"/>
      <c r="Y177" s="1"/>
      <c r="Z177" s="1"/>
    </row>
    <row r="178" spans="1:26" ht="19.5" customHeight="1">
      <c r="A178" s="11"/>
      <c r="B178" s="12" t="s">
        <v>82</v>
      </c>
      <c r="C178" s="170" t="s">
        <v>1508</v>
      </c>
      <c r="D178" s="161"/>
      <c r="E178" s="161"/>
      <c r="F178" s="161"/>
      <c r="G178" s="161"/>
      <c r="H178" s="161"/>
      <c r="I178" s="161"/>
      <c r="J178" s="161"/>
      <c r="K178" s="162"/>
      <c r="L178" s="13"/>
      <c r="M178" s="1"/>
      <c r="N178" s="1"/>
      <c r="O178" s="1"/>
      <c r="P178" s="1"/>
      <c r="Q178" s="1"/>
      <c r="R178" s="1"/>
      <c r="S178" s="1"/>
      <c r="T178" s="1"/>
      <c r="U178" s="1"/>
      <c r="V178" s="1"/>
      <c r="W178" s="1"/>
      <c r="X178" s="1"/>
      <c r="Y178" s="1"/>
      <c r="Z178" s="1"/>
    </row>
    <row r="179" spans="1:26" ht="19.5" customHeight="1">
      <c r="A179" s="11"/>
      <c r="B179" s="12" t="s">
        <v>84</v>
      </c>
      <c r="C179" s="171"/>
      <c r="D179" s="164"/>
      <c r="E179" s="164"/>
      <c r="F179" s="164"/>
      <c r="G179" s="164"/>
      <c r="H179" s="164"/>
      <c r="I179" s="164"/>
      <c r="J179" s="164"/>
      <c r="K179" s="165"/>
      <c r="L179" s="13"/>
      <c r="M179" s="1"/>
      <c r="N179" s="1"/>
      <c r="O179" s="1"/>
      <c r="P179" s="1"/>
      <c r="Q179" s="1"/>
      <c r="R179" s="1"/>
      <c r="S179" s="1"/>
      <c r="T179" s="1"/>
      <c r="U179" s="1"/>
      <c r="V179" s="1"/>
      <c r="W179" s="1"/>
      <c r="X179" s="1"/>
      <c r="Y179" s="1"/>
      <c r="Z179" s="1"/>
    </row>
    <row r="180" spans="1:26" ht="19.5" customHeight="1">
      <c r="A180" s="42"/>
      <c r="B180" s="43"/>
      <c r="C180" s="62"/>
      <c r="D180" s="63"/>
      <c r="E180" s="63"/>
      <c r="F180" s="63"/>
      <c r="G180" s="63"/>
      <c r="H180" s="63"/>
      <c r="I180" s="63"/>
      <c r="J180" s="63"/>
      <c r="K180" s="63"/>
      <c r="L180" s="63"/>
      <c r="M180" s="1"/>
      <c r="N180" s="1"/>
      <c r="O180" s="1"/>
      <c r="P180" s="1"/>
      <c r="Q180" s="1"/>
      <c r="R180" s="1"/>
      <c r="S180" s="1"/>
      <c r="T180" s="1"/>
      <c r="U180" s="1"/>
      <c r="V180" s="1"/>
      <c r="W180" s="1"/>
      <c r="X180" s="1"/>
      <c r="Y180" s="1"/>
      <c r="Z180" s="1"/>
    </row>
    <row r="181" spans="1:26" ht="19.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9.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9.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9.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9.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9.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9.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9.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9.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9.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9.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9.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9.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9.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9.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9.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9.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9.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9.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9.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9.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9.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9.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9.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9.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9.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9.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9.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9.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9.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9.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9.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9.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9.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9.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9.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9.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9.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9.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9.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9.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9.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9.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9.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9.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9.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9.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9.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9.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9.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9.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9.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9.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9.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9.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9.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9.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9.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9.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9.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9.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9.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9.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9.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9.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9.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9.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9.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9.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9.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9.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9.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9.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9.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9.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9.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9.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9.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9.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9.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9.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9.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9.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9.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9.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9.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9.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9.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9.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9.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9.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9.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9.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9.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9.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9.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9.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9.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9.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9.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9.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9.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9.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9.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9.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9.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9.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9.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9.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9.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9.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9.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9.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9.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9.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9.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9.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9.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9.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9.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9.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9.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9.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9.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9.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9.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9.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9.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9.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9.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9.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9.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9.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9.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9.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9.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9.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9.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9.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9.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9.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9.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9.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9.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9.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9.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9.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9.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9.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9.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9.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9.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9.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9.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9.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9.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9.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9.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9.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9.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9.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9.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9.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9.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9.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9.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9.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9.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9.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9.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9.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9.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9.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9.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9.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9.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9.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9.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9.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9.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9.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9.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9.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9.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9.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9.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9.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9.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9.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9.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9.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9.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9.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9.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9.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9.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9.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9.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9.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9.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9.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9.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9.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9.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9.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9.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9.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9.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9.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9.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9.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9.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9.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9.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9.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9.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9.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9.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9.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9.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9.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9.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9.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9.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9.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9.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9.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9.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9.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9.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9.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9.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9.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9.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9.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9.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9.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9.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9.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9.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9.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9.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9.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9.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9.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9.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9.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9.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9.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9.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9.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9.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9.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9.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9.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9.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9.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9.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9.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9.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9.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9.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9.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9.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9.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9.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9.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9.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9.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9.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9.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9.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9.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9.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9.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9.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9.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9.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9.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9.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9.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9.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9.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9.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9.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9.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9.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9.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9.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9.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9.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9.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9.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9.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9.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9.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9.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9.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9.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9.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9.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9.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9.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9.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9.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9.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9.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9.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9.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9.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9.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9.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9.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9.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9.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9.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9.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9.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9.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9.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9.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9.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9.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9.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9.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9.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9.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9.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9.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9.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9.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9.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9.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9.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9.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9.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9.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9.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9.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9.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9.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9.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9.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9.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9.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9.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9.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9.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9.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9.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9.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9.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9.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9.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9.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9.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9.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9.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9.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9.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9.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9.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9.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9.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9.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9.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9.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9.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9.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9.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9.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9.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9.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9.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9.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9.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9.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9.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9.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9.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9.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9.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9.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9.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9.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9.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9.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9.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9.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9.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9.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9.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9.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9.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9.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9.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9.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9.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9.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9.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9.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9.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9.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9.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9.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9.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9.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9.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9.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9.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9.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9.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9.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9.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9.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9.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9.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9.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9.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9.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9.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9.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9.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9.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9.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9.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9.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9.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9.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9.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9.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9.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9.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9.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9.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9.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9.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9.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9.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9.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9.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9.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9.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9.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9.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9.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9.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9.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9.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9.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9.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9.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9.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9.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9.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9.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9.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9.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9.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9.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9.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9.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9.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9.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9.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9.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9.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9.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9.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9.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9.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9.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9.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9.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9.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9.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9.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9.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9.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9.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9.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9.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9.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9.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9.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9.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9.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9.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9.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9.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9.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9.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9.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9.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9.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9.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9.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9.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9.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9.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9.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9.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9.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9.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9.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9.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9.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9.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9.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9.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9.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9.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9.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9.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9.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9.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9.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9.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9.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9.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9.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9.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9.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9.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9.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9.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9.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9.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9.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9.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9.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9.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9.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9.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9.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9.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9.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9.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9.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9.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9.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9.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9.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9.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9.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9.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9.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9.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9.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9.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9.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9.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9.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9.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9.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9.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9.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9.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9.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9.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9.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9.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9.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9.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9.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9.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9.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9.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9.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9.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9.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9.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9.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9.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9.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9.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9.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9.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9.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9.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9.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9.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9.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9.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9.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9.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9.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9.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9.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9.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9.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9.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9.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9.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9.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9.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9.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9.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9.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9.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9.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9.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9.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9.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9.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9.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9.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9.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9.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9.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9.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9.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9.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9.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9.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9.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9.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9.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9.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9.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9.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9.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9.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9.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9.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9.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9.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9.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9.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9.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9.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9.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9.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9.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9.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9.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9.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9.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9.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9.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9.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9.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9.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9.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9.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9.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9.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9.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9.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9.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9.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9.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9.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9.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9.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9.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9.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9.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9.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9.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9.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9.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9.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9.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9.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9.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9.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9.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9.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9.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9.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9.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9.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9.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9.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9.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9.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9.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9.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9.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9.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9.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9.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9.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9.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9.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9.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9.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9.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9.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9.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9.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9.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9.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9.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9.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9.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9.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9.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9.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9.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9.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9.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9.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9.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9.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9.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9.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9.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9.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9.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9.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9.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9.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9.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9.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9.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9.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9.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9.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9.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9.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9.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9.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9.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9.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9.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9.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9.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9.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9.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9.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9.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9.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9.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9.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9.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9.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9.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9.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9.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9.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9.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9.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9.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9.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9.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9.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9.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9.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9.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9.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9.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9.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9.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9.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9.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9.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9.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9.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9.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9.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9.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9.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9.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9.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9.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9.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9.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9.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9.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9.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9.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9.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9.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9.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9.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9.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9.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9.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9.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9.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9.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9.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9.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9.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9.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9.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9.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9.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9.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9.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9.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9.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9.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9.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9.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9.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9.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9.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9.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9.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9.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9.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9.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9.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9.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9.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9.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9.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9.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9.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9.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9.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9.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9.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9.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9.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9.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9.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6">
    <mergeCell ref="C89:K89"/>
    <mergeCell ref="C90:K90"/>
    <mergeCell ref="C178:K178"/>
    <mergeCell ref="C179:K179"/>
    <mergeCell ref="C91:K91"/>
    <mergeCell ref="C92:K92"/>
    <mergeCell ref="C94:K94"/>
    <mergeCell ref="C174:K174"/>
    <mergeCell ref="C175:K175"/>
    <mergeCell ref="C176:K176"/>
    <mergeCell ref="C177:K177"/>
    <mergeCell ref="A1:L1"/>
    <mergeCell ref="C4:K4"/>
    <mergeCell ref="C5:K5"/>
    <mergeCell ref="C87:K87"/>
    <mergeCell ref="C88:K88"/>
  </mergeCells>
  <pageMargins left="1" right="1" top="1" bottom="1" header="0" footer="0"/>
  <pageSetup orientation="portrait"/>
  <headerFooter>
    <oddFooter>&amp;C 000000&amp;P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Z1000"/>
  <sheetViews>
    <sheetView showGridLines="0" workbookViewId="0">
      <pane ySplit="3" topLeftCell="A4" activePane="bottomLeft" state="frozen"/>
      <selection pane="bottomLeft" activeCell="B5" sqref="B5"/>
    </sheetView>
  </sheetViews>
  <sheetFormatPr baseColWidth="10" defaultColWidth="14.42578125" defaultRowHeight="15" customHeight="1"/>
  <cols>
    <col min="1" max="1" width="6.7109375" customWidth="1"/>
    <col min="2" max="3" width="33.28515625" customWidth="1"/>
    <col min="4" max="12" width="13.28515625" customWidth="1"/>
    <col min="13" max="26" width="16.28515625" customWidth="1"/>
  </cols>
  <sheetData>
    <row r="1" spans="1:26" ht="27" customHeight="1">
      <c r="A1" s="155" t="s">
        <v>1509</v>
      </c>
      <c r="B1" s="156"/>
      <c r="C1" s="156"/>
      <c r="D1" s="156"/>
      <c r="E1" s="156"/>
      <c r="F1" s="156"/>
      <c r="G1" s="156"/>
      <c r="H1" s="156"/>
      <c r="I1" s="156"/>
      <c r="J1" s="156"/>
      <c r="K1" s="156"/>
      <c r="L1" s="156"/>
      <c r="M1" s="1"/>
      <c r="N1" s="1"/>
      <c r="O1" s="1"/>
      <c r="P1" s="1"/>
      <c r="Q1" s="1"/>
      <c r="R1" s="1"/>
      <c r="S1" s="1"/>
      <c r="T1" s="1"/>
      <c r="U1" s="1"/>
      <c r="V1" s="1"/>
      <c r="W1" s="1"/>
      <c r="X1" s="1"/>
      <c r="Y1" s="1"/>
      <c r="Z1" s="1"/>
    </row>
    <row r="2" spans="1:26" ht="19.5" customHeight="1">
      <c r="A2" s="138"/>
      <c r="B2" s="138"/>
      <c r="C2" s="139" t="s">
        <v>1</v>
      </c>
      <c r="D2" s="139" t="s">
        <v>2</v>
      </c>
      <c r="E2" s="139" t="s">
        <v>3</v>
      </c>
      <c r="F2" s="139" t="s">
        <v>4</v>
      </c>
      <c r="G2" s="139" t="s">
        <v>5</v>
      </c>
      <c r="H2" s="139" t="s">
        <v>6</v>
      </c>
      <c r="I2" s="139" t="s">
        <v>7</v>
      </c>
      <c r="J2" s="139" t="s">
        <v>8</v>
      </c>
      <c r="K2" s="139" t="s">
        <v>9</v>
      </c>
      <c r="L2" s="138"/>
      <c r="M2" s="1"/>
      <c r="N2" s="1"/>
      <c r="O2" s="1"/>
      <c r="P2" s="1"/>
      <c r="Q2" s="1"/>
      <c r="R2" s="1"/>
      <c r="S2" s="1"/>
      <c r="T2" s="1"/>
      <c r="U2" s="1"/>
      <c r="V2" s="1"/>
      <c r="W2" s="1"/>
      <c r="X2" s="1"/>
      <c r="Y2" s="1"/>
      <c r="Z2" s="1"/>
    </row>
    <row r="3" spans="1:26" ht="32.25" customHeight="1">
      <c r="A3" s="140"/>
      <c r="B3" s="141" t="str">
        <f t="array" ref="B3">overview!C11&amp;" / "&amp;overview!C12</f>
        <v>FR / France</v>
      </c>
      <c r="C3" s="142" t="s">
        <v>10</v>
      </c>
      <c r="D3" s="142" t="s">
        <v>11</v>
      </c>
      <c r="E3" s="142" t="s">
        <v>12</v>
      </c>
      <c r="F3" s="142" t="s">
        <v>13</v>
      </c>
      <c r="G3" s="142" t="s">
        <v>14</v>
      </c>
      <c r="H3" s="142" t="s">
        <v>15</v>
      </c>
      <c r="I3" s="142" t="s">
        <v>16</v>
      </c>
      <c r="J3" s="142" t="s">
        <v>17</v>
      </c>
      <c r="K3" s="142" t="s">
        <v>18</v>
      </c>
      <c r="L3" s="142" t="s">
        <v>19</v>
      </c>
      <c r="M3" s="1"/>
      <c r="N3" s="1"/>
      <c r="O3" s="1"/>
      <c r="P3" s="1"/>
      <c r="Q3" s="1"/>
      <c r="R3" s="1"/>
      <c r="S3" s="1"/>
      <c r="T3" s="1"/>
      <c r="U3" s="1"/>
      <c r="V3" s="1"/>
      <c r="W3" s="1"/>
      <c r="X3" s="1"/>
      <c r="Y3" s="1"/>
      <c r="Z3" s="1"/>
    </row>
    <row r="4" spans="1:26" ht="33" customHeight="1">
      <c r="A4" s="93"/>
      <c r="B4" s="94" t="s">
        <v>93</v>
      </c>
      <c r="C4" s="189" t="s">
        <v>1510</v>
      </c>
      <c r="D4" s="190"/>
      <c r="E4" s="190"/>
      <c r="F4" s="190"/>
      <c r="G4" s="190"/>
      <c r="H4" s="190"/>
      <c r="I4" s="190"/>
      <c r="J4" s="190"/>
      <c r="K4" s="191"/>
      <c r="L4" s="50"/>
      <c r="M4" s="1"/>
      <c r="N4" s="1"/>
      <c r="O4" s="1"/>
      <c r="P4" s="1"/>
      <c r="Q4" s="1"/>
      <c r="R4" s="1"/>
      <c r="S4" s="1"/>
      <c r="T4" s="1"/>
      <c r="U4" s="1"/>
      <c r="V4" s="1"/>
      <c r="W4" s="1"/>
      <c r="X4" s="1"/>
      <c r="Y4" s="1"/>
      <c r="Z4" s="1"/>
    </row>
    <row r="5" spans="1:26" ht="26.25" customHeight="1">
      <c r="A5" s="19"/>
      <c r="B5" s="20" t="s">
        <v>1511</v>
      </c>
      <c r="C5" s="177"/>
      <c r="D5" s="164"/>
      <c r="E5" s="164"/>
      <c r="F5" s="164"/>
      <c r="G5" s="164"/>
      <c r="H5" s="164"/>
      <c r="I5" s="164"/>
      <c r="J5" s="164"/>
      <c r="K5" s="165"/>
      <c r="L5" s="21"/>
      <c r="M5" s="1"/>
      <c r="N5" s="1"/>
      <c r="O5" s="1"/>
      <c r="P5" s="1"/>
      <c r="Q5" s="1"/>
      <c r="R5" s="1"/>
      <c r="S5" s="1"/>
      <c r="T5" s="1"/>
      <c r="U5" s="1"/>
      <c r="V5" s="1"/>
      <c r="W5" s="1"/>
      <c r="X5" s="1"/>
      <c r="Y5" s="1"/>
      <c r="Z5" s="1"/>
    </row>
    <row r="6" spans="1:26" ht="19.5" customHeight="1">
      <c r="A6" s="139" t="str">
        <f t="array" ref="A6">overview!A11</f>
        <v>na</v>
      </c>
      <c r="B6" s="53"/>
      <c r="C6" s="125" t="str">
        <f t="array" ref="C6">overview!C11</f>
        <v>FR</v>
      </c>
      <c r="D6" s="55"/>
      <c r="E6" s="55"/>
      <c r="F6" s="55"/>
      <c r="G6" s="55"/>
      <c r="H6" s="55"/>
      <c r="I6" s="55"/>
      <c r="J6" s="55"/>
      <c r="K6" s="55"/>
      <c r="L6" s="55"/>
      <c r="M6" s="1"/>
      <c r="N6" s="1"/>
      <c r="O6" s="1"/>
      <c r="P6" s="1"/>
      <c r="Q6" s="1"/>
      <c r="R6" s="1"/>
      <c r="S6" s="1"/>
      <c r="T6" s="1"/>
      <c r="U6" s="1"/>
      <c r="V6" s="1"/>
      <c r="W6" s="1"/>
      <c r="X6" s="1"/>
      <c r="Y6" s="1"/>
      <c r="Z6" s="1"/>
    </row>
    <row r="7" spans="1:26" ht="19.5" customHeight="1">
      <c r="A7" s="139" t="str">
        <f t="array" ref="A7">overview!A12</f>
        <v>nn</v>
      </c>
      <c r="B7" s="53"/>
      <c r="C7" s="125" t="str">
        <f t="array" ref="C7">overview!C12</f>
        <v>France</v>
      </c>
      <c r="D7" s="55"/>
      <c r="E7" s="55"/>
      <c r="F7" s="55"/>
      <c r="G7" s="55"/>
      <c r="H7" s="55"/>
      <c r="I7" s="55"/>
      <c r="J7" s="55"/>
      <c r="K7" s="55"/>
      <c r="L7" s="55"/>
      <c r="M7" s="1"/>
      <c r="N7" s="1"/>
      <c r="O7" s="1"/>
      <c r="P7" s="1"/>
      <c r="Q7" s="1"/>
      <c r="R7" s="1"/>
      <c r="S7" s="1"/>
      <c r="T7" s="1"/>
      <c r="U7" s="1"/>
      <c r="V7" s="1"/>
      <c r="W7" s="1"/>
      <c r="X7" s="1"/>
      <c r="Y7" s="1"/>
      <c r="Z7" s="1"/>
    </row>
    <row r="8" spans="1:26" ht="19.5" customHeight="1">
      <c r="A8" s="139" t="str">
        <f t="array" ref="A8">overview!$A49</f>
        <v>i</v>
      </c>
      <c r="B8" s="55"/>
      <c r="C8" s="55" t="str">
        <f t="array" ref="C8">overview!C49</f>
        <v>MH i.w.S. nach INSEE-Definition: immigré (personne née étrangère à l'étranger et résidant en France; bleibt immigré auch nach Erwerb der frz. StAng) + descendant d'immigrés (en France geboren, mit mindestens einem immigré-Elternteil). 3. Generation nicht modelliert (V2-Thema TeO2).</v>
      </c>
      <c r="D8" s="55"/>
      <c r="E8" s="55"/>
      <c r="F8" s="55"/>
      <c r="G8" s="55"/>
      <c r="H8" s="55"/>
      <c r="I8" s="55"/>
      <c r="J8" s="55"/>
      <c r="K8" s="55"/>
      <c r="L8" s="55"/>
      <c r="M8" s="1"/>
      <c r="N8" s="1"/>
      <c r="O8" s="1"/>
      <c r="P8" s="1"/>
      <c r="Q8" s="1"/>
      <c r="R8" s="1"/>
      <c r="S8" s="1"/>
      <c r="T8" s="1"/>
      <c r="U8" s="1"/>
      <c r="V8" s="1"/>
      <c r="W8" s="1"/>
      <c r="X8" s="1"/>
      <c r="Y8" s="1"/>
      <c r="Z8" s="1"/>
    </row>
    <row r="9" spans="1:26" ht="43.5" customHeight="1">
      <c r="A9" s="143" t="str">
        <f t="array" ref="A9">overview!$A51</f>
        <v>is</v>
      </c>
      <c r="B9" s="106"/>
      <c r="C9" s="107" t="str">
        <f t="array" ref="C9">overview!C51</f>
        <v>https://www.insee.fr/fr/metadonnees/definition/c1676; downloaded 2026-05-22</v>
      </c>
      <c r="D9" s="106"/>
      <c r="E9" s="106"/>
      <c r="F9" s="106"/>
      <c r="G9" s="106"/>
      <c r="H9" s="106"/>
      <c r="I9" s="106"/>
      <c r="J9" s="106"/>
      <c r="K9" s="106"/>
      <c r="L9" s="55"/>
      <c r="M9" s="1"/>
      <c r="N9" s="1"/>
      <c r="O9" s="1"/>
      <c r="P9" s="1"/>
      <c r="Q9" s="1"/>
      <c r="R9" s="1"/>
      <c r="S9" s="1"/>
      <c r="T9" s="1"/>
      <c r="U9" s="1"/>
      <c r="V9" s="1"/>
      <c r="W9" s="1"/>
      <c r="X9" s="1"/>
      <c r="Y9" s="1"/>
      <c r="Z9" s="1"/>
    </row>
    <row r="10" spans="1:26" ht="19.5" customHeight="1">
      <c r="A10" s="144" t="str">
        <f t="array" ref="A10">overview!$A60</f>
        <v>l</v>
      </c>
      <c r="B10" s="145"/>
      <c r="C10" s="146">
        <f t="array" ref="C10">overview!C60</f>
        <v>82.933347768522097</v>
      </c>
      <c r="D10" s="146">
        <f t="array" ref="D10">overview!D60</f>
        <v>85.7</v>
      </c>
      <c r="E10" s="146">
        <f t="array" ref="E10">overview!E60</f>
        <v>80</v>
      </c>
      <c r="F10" s="146">
        <f t="array" ref="F10">overview!F60</f>
        <v>85.7</v>
      </c>
      <c r="G10" s="146">
        <f t="array" ref="G10">overview!G60</f>
        <v>80</v>
      </c>
      <c r="H10" s="146">
        <f t="array" ref="H10">overview!H60</f>
        <v>82.94608802418918</v>
      </c>
      <c r="I10" s="146">
        <f t="array" ref="I10">overview!I60</f>
        <v>82.887623837570672</v>
      </c>
      <c r="J10" s="146">
        <f t="array" ref="J10">overview!J60</f>
        <v>85.7</v>
      </c>
      <c r="K10" s="146">
        <f t="array" ref="K10">overview!K60</f>
        <v>80</v>
      </c>
      <c r="L10" s="55"/>
      <c r="M10" s="1"/>
      <c r="N10" s="1"/>
      <c r="O10" s="1"/>
      <c r="P10" s="1"/>
      <c r="Q10" s="1"/>
      <c r="R10" s="1"/>
      <c r="S10" s="1"/>
      <c r="T10" s="1"/>
      <c r="U10" s="1"/>
      <c r="V10" s="1"/>
      <c r="W10" s="1"/>
      <c r="X10" s="1"/>
      <c r="Y10" s="1"/>
      <c r="Z10" s="1"/>
    </row>
    <row r="11" spans="1:26" ht="43.5" customHeight="1">
      <c r="A11" s="147" t="str">
        <f t="array" ref="A11">overview!$A62</f>
        <v>ls</v>
      </c>
      <c r="B11" s="148"/>
      <c r="C11" s="109" t="str">
        <f t="array" ref="C11">overview!C62</f>
        <v>https://www.insee.fr/fr/statistiques/8719824, https://www.insee.fr/fr/statistiques/8313953; downloaded 2026-05-22</v>
      </c>
      <c r="D11" s="148"/>
      <c r="E11" s="148"/>
      <c r="F11" s="148"/>
      <c r="G11" s="148"/>
      <c r="H11" s="148"/>
      <c r="I11" s="148"/>
      <c r="J11" s="148"/>
      <c r="K11" s="148"/>
      <c r="L11" s="55"/>
      <c r="M11" s="1"/>
      <c r="N11" s="1"/>
      <c r="O11" s="1"/>
      <c r="P11" s="1"/>
      <c r="Q11" s="1"/>
      <c r="R11" s="1"/>
      <c r="S11" s="1"/>
      <c r="T11" s="1"/>
      <c r="U11" s="1"/>
      <c r="V11" s="1"/>
      <c r="W11" s="1"/>
      <c r="X11" s="1"/>
      <c r="Y11" s="1"/>
      <c r="Z11" s="1"/>
    </row>
    <row r="12" spans="1:26" ht="19.5" customHeight="1">
      <c r="A12" s="138"/>
      <c r="B12" s="55"/>
      <c r="C12" s="55"/>
      <c r="D12" s="55"/>
      <c r="E12" s="55"/>
      <c r="F12" s="55"/>
      <c r="G12" s="55"/>
      <c r="H12" s="55"/>
      <c r="I12" s="55"/>
      <c r="J12" s="55"/>
      <c r="K12" s="55"/>
      <c r="L12" s="55"/>
      <c r="M12" s="1"/>
      <c r="N12" s="1"/>
      <c r="O12" s="1"/>
      <c r="P12" s="1"/>
      <c r="Q12" s="1"/>
      <c r="R12" s="1"/>
      <c r="S12" s="1"/>
      <c r="T12" s="1"/>
      <c r="U12" s="1"/>
      <c r="V12" s="1"/>
      <c r="W12" s="1"/>
      <c r="X12" s="1"/>
      <c r="Y12" s="1"/>
      <c r="Z12" s="1"/>
    </row>
    <row r="13" spans="1:26" ht="26.25" customHeight="1">
      <c r="A13" s="19"/>
      <c r="B13" s="20" t="s">
        <v>95</v>
      </c>
      <c r="C13" s="177"/>
      <c r="D13" s="164"/>
      <c r="E13" s="164"/>
      <c r="F13" s="164"/>
      <c r="G13" s="164"/>
      <c r="H13" s="164"/>
      <c r="I13" s="164"/>
      <c r="J13" s="164"/>
      <c r="K13" s="165"/>
      <c r="L13" s="21"/>
      <c r="M13" s="1"/>
      <c r="N13" s="1"/>
      <c r="O13" s="1"/>
      <c r="P13" s="1"/>
      <c r="Q13" s="1"/>
      <c r="R13" s="1"/>
      <c r="S13" s="1"/>
      <c r="T13" s="1"/>
      <c r="U13" s="1"/>
      <c r="V13" s="1"/>
      <c r="W13" s="1"/>
      <c r="X13" s="1"/>
      <c r="Y13" s="1"/>
      <c r="Z13" s="1"/>
    </row>
    <row r="14" spans="1:26" ht="19.5" customHeight="1">
      <c r="A14" s="143" t="str">
        <f t="array" ref="A14">population!$A7</f>
        <v>py</v>
      </c>
      <c r="B14" s="106"/>
      <c r="C14" s="106">
        <f t="array" ref="C14">population!C7</f>
        <v>2025</v>
      </c>
      <c r="D14" s="106"/>
      <c r="E14" s="106"/>
      <c r="F14" s="106"/>
      <c r="G14" s="106"/>
      <c r="H14" s="106"/>
      <c r="I14" s="106"/>
      <c r="J14" s="106"/>
      <c r="K14" s="106"/>
      <c r="L14" s="55"/>
      <c r="M14" s="1"/>
      <c r="N14" s="1"/>
      <c r="O14" s="1"/>
      <c r="P14" s="1"/>
      <c r="Q14" s="1"/>
      <c r="R14" s="1"/>
      <c r="S14" s="1"/>
      <c r="T14" s="1"/>
      <c r="U14" s="1"/>
      <c r="V14" s="1"/>
      <c r="W14" s="1"/>
      <c r="X14" s="1"/>
      <c r="Y14" s="1"/>
      <c r="Z14" s="1"/>
    </row>
    <row r="15" spans="1:26" ht="19.5" customHeight="1">
      <c r="A15" s="144" t="str">
        <f t="array" ref="A15">population!$A9</f>
        <v>p00</v>
      </c>
      <c r="B15" s="145"/>
      <c r="C15" s="145">
        <f t="array" ref="C15">population!C9</f>
        <v>613930</v>
      </c>
      <c r="D15" s="145">
        <f t="array" ref="D15">population!D9</f>
        <v>223160</v>
      </c>
      <c r="E15" s="145">
        <f t="array" ref="E15">population!E9</f>
        <v>236773</v>
      </c>
      <c r="F15" s="145">
        <f t="array" ref="F15">population!F9</f>
        <v>76749</v>
      </c>
      <c r="G15" s="145">
        <f t="array" ref="G15">population!G9</f>
        <v>77248</v>
      </c>
      <c r="H15" s="145">
        <f t="array" ref="H15">population!H9</f>
        <v>459933</v>
      </c>
      <c r="I15" s="145">
        <f t="array" ref="I15">population!I9</f>
        <v>153997</v>
      </c>
      <c r="J15" s="145">
        <f t="array" ref="J15">population!J9</f>
        <v>299909</v>
      </c>
      <c r="K15" s="145">
        <f t="array" ref="K15">population!K9</f>
        <v>314021</v>
      </c>
      <c r="L15" s="55"/>
      <c r="M15" s="1"/>
      <c r="N15" s="1"/>
      <c r="O15" s="1"/>
      <c r="P15" s="1"/>
      <c r="Q15" s="1"/>
      <c r="R15" s="1"/>
      <c r="S15" s="1"/>
      <c r="T15" s="1"/>
      <c r="U15" s="1"/>
      <c r="V15" s="1"/>
      <c r="W15" s="1"/>
      <c r="X15" s="1"/>
      <c r="Y15" s="1"/>
      <c r="Z15" s="1"/>
    </row>
    <row r="16" spans="1:26" ht="19.5" customHeight="1">
      <c r="A16" s="147" t="str">
        <f t="array" ref="A16">population!$A10</f>
        <v>p01</v>
      </c>
      <c r="B16" s="148"/>
      <c r="C16" s="148">
        <f t="array" ref="C16">population!C10</f>
        <v>633124</v>
      </c>
      <c r="D16" s="148">
        <f t="array" ref="D16">population!D10</f>
        <v>230533</v>
      </c>
      <c r="E16" s="148">
        <f t="array" ref="E16">population!E10</f>
        <v>243780</v>
      </c>
      <c r="F16" s="148">
        <f t="array" ref="F16">population!F10</f>
        <v>79161</v>
      </c>
      <c r="G16" s="148">
        <f t="array" ref="G16">population!G10</f>
        <v>79650</v>
      </c>
      <c r="H16" s="148">
        <f t="array" ref="H16">population!H10</f>
        <v>474313</v>
      </c>
      <c r="I16" s="148">
        <f t="array" ref="I16">population!I10</f>
        <v>158811</v>
      </c>
      <c r="J16" s="148">
        <f t="array" ref="J16">population!J10</f>
        <v>309694</v>
      </c>
      <c r="K16" s="148">
        <f t="array" ref="K16">population!K10</f>
        <v>323430</v>
      </c>
      <c r="L16" s="55"/>
      <c r="M16" s="1"/>
      <c r="N16" s="1"/>
      <c r="O16" s="1"/>
      <c r="P16" s="1"/>
      <c r="Q16" s="1"/>
      <c r="R16" s="1"/>
      <c r="S16" s="1"/>
      <c r="T16" s="1"/>
      <c r="U16" s="1"/>
      <c r="V16" s="1"/>
      <c r="W16" s="1"/>
      <c r="X16" s="1"/>
      <c r="Y16" s="1"/>
      <c r="Z16" s="1"/>
    </row>
    <row r="17" spans="1:26" ht="19.5" customHeight="1">
      <c r="A17" s="139" t="str">
        <f t="array" ref="A17">population!$A11</f>
        <v>p02</v>
      </c>
      <c r="B17" s="55"/>
      <c r="C17" s="55">
        <f t="array" ref="C17">population!C11</f>
        <v>680945</v>
      </c>
      <c r="D17" s="55">
        <f t="array" ref="D17">population!D11</f>
        <v>247647</v>
      </c>
      <c r="E17" s="55">
        <f t="array" ref="E17">population!E11</f>
        <v>262491</v>
      </c>
      <c r="F17" s="55">
        <f t="array" ref="F17">population!F11</f>
        <v>85131</v>
      </c>
      <c r="G17" s="55">
        <f t="array" ref="G17">population!G11</f>
        <v>85676</v>
      </c>
      <c r="H17" s="55">
        <f t="array" ref="H17">population!H11</f>
        <v>510138</v>
      </c>
      <c r="I17" s="55">
        <f t="array" ref="I17">population!I11</f>
        <v>170807</v>
      </c>
      <c r="J17" s="55">
        <f t="array" ref="J17">population!J11</f>
        <v>332778</v>
      </c>
      <c r="K17" s="55">
        <f t="array" ref="K17">population!K11</f>
        <v>348167</v>
      </c>
      <c r="L17" s="55"/>
      <c r="M17" s="1"/>
      <c r="N17" s="1"/>
      <c r="O17" s="1"/>
      <c r="P17" s="1"/>
      <c r="Q17" s="1"/>
      <c r="R17" s="1"/>
      <c r="S17" s="1"/>
      <c r="T17" s="1"/>
      <c r="U17" s="1"/>
      <c r="V17" s="1"/>
      <c r="W17" s="1"/>
      <c r="X17" s="1"/>
      <c r="Y17" s="1"/>
      <c r="Z17" s="1"/>
    </row>
    <row r="18" spans="1:26" ht="19.5" customHeight="1">
      <c r="A18" s="139" t="str">
        <f t="array" ref="A18">population!$A12</f>
        <v>p03</v>
      </c>
      <c r="B18" s="55"/>
      <c r="C18" s="55">
        <f t="array" ref="C18">population!C12</f>
        <v>707427</v>
      </c>
      <c r="D18" s="55">
        <f t="array" ref="D18">population!D12</f>
        <v>258010</v>
      </c>
      <c r="E18" s="55">
        <f t="array" ref="E18">population!E12</f>
        <v>271968</v>
      </c>
      <c r="F18" s="55">
        <f t="array" ref="F18">population!F12</f>
        <v>88466</v>
      </c>
      <c r="G18" s="55">
        <f t="array" ref="G18">population!G12</f>
        <v>88983</v>
      </c>
      <c r="H18" s="55">
        <f t="array" ref="H18">population!H12</f>
        <v>529978</v>
      </c>
      <c r="I18" s="55">
        <f t="array" ref="I18">population!I12</f>
        <v>177449</v>
      </c>
      <c r="J18" s="55">
        <f t="array" ref="J18">population!J12</f>
        <v>346476</v>
      </c>
      <c r="K18" s="55">
        <f t="array" ref="K18">population!K12</f>
        <v>360951</v>
      </c>
      <c r="L18" s="55"/>
      <c r="M18" s="1"/>
      <c r="N18" s="1"/>
      <c r="O18" s="1"/>
      <c r="P18" s="1"/>
      <c r="Q18" s="1"/>
      <c r="R18" s="1"/>
      <c r="S18" s="1"/>
      <c r="T18" s="1"/>
      <c r="U18" s="1"/>
      <c r="V18" s="1"/>
      <c r="W18" s="1"/>
      <c r="X18" s="1"/>
      <c r="Y18" s="1"/>
      <c r="Z18" s="1"/>
    </row>
    <row r="19" spans="1:26" ht="19.5" customHeight="1">
      <c r="A19" s="139" t="str">
        <f t="array" ref="A19">population!$A13</f>
        <v>p04</v>
      </c>
      <c r="B19" s="55"/>
      <c r="C19" s="55">
        <f t="array" ref="C19">population!C13</f>
        <v>711837</v>
      </c>
      <c r="D19" s="55">
        <f t="array" ref="D19">population!D13</f>
        <v>259140</v>
      </c>
      <c r="E19" s="55">
        <f t="array" ref="E19">population!E13</f>
        <v>274142</v>
      </c>
      <c r="F19" s="55">
        <f t="array" ref="F19">population!F13</f>
        <v>89001</v>
      </c>
      <c r="G19" s="55">
        <f t="array" ref="G19">population!G13</f>
        <v>89554</v>
      </c>
      <c r="H19" s="55">
        <f t="array" ref="H19">population!H13</f>
        <v>533282</v>
      </c>
      <c r="I19" s="55">
        <f t="array" ref="I19">population!I13</f>
        <v>178555</v>
      </c>
      <c r="J19" s="55">
        <f t="array" ref="J19">population!J13</f>
        <v>348141</v>
      </c>
      <c r="K19" s="55">
        <f t="array" ref="K19">population!K13</f>
        <v>363696</v>
      </c>
      <c r="L19" s="55"/>
      <c r="M19" s="1"/>
      <c r="N19" s="1"/>
      <c r="O19" s="1"/>
      <c r="P19" s="1"/>
      <c r="Q19" s="1"/>
      <c r="R19" s="1"/>
      <c r="S19" s="1"/>
      <c r="T19" s="1"/>
      <c r="U19" s="1"/>
      <c r="V19" s="1"/>
      <c r="W19" s="1"/>
      <c r="X19" s="1"/>
      <c r="Y19" s="1"/>
      <c r="Z19" s="1"/>
    </row>
    <row r="20" spans="1:26" ht="19.5" customHeight="1">
      <c r="A20" s="139" t="str">
        <f t="array" ref="A20">population!$A14</f>
        <v>p05</v>
      </c>
      <c r="B20" s="55"/>
      <c r="C20" s="55">
        <f t="array" ref="C20">population!C14</f>
        <v>738384</v>
      </c>
      <c r="D20" s="55">
        <f t="array" ref="D20">population!D14</f>
        <v>267392</v>
      </c>
      <c r="E20" s="55">
        <f t="array" ref="E20">population!E14</f>
        <v>285777</v>
      </c>
      <c r="F20" s="55">
        <f t="array" ref="F20">population!F14</f>
        <v>92274</v>
      </c>
      <c r="G20" s="55">
        <f t="array" ref="G20">population!G14</f>
        <v>92941</v>
      </c>
      <c r="H20" s="55">
        <f t="array" ref="H20">population!H14</f>
        <v>553169</v>
      </c>
      <c r="I20" s="55">
        <f t="array" ref="I20">population!I14</f>
        <v>185215</v>
      </c>
      <c r="J20" s="55">
        <f t="array" ref="J20">population!J14</f>
        <v>359666</v>
      </c>
      <c r="K20" s="55">
        <f t="array" ref="K20">population!K14</f>
        <v>378718</v>
      </c>
      <c r="L20" s="55"/>
      <c r="M20" s="1"/>
      <c r="N20" s="1"/>
      <c r="O20" s="1"/>
      <c r="P20" s="1"/>
      <c r="Q20" s="1"/>
      <c r="R20" s="1"/>
      <c r="S20" s="1"/>
      <c r="T20" s="1"/>
      <c r="U20" s="1"/>
      <c r="V20" s="1"/>
      <c r="W20" s="1"/>
      <c r="X20" s="1"/>
      <c r="Y20" s="1"/>
      <c r="Z20" s="1"/>
    </row>
    <row r="21" spans="1:26" ht="19.5" customHeight="1">
      <c r="A21" s="139" t="str">
        <f t="array" ref="A21">population!$A15</f>
        <v>p06</v>
      </c>
      <c r="B21" s="55"/>
      <c r="C21" s="55">
        <f t="array" ref="C21">population!C15</f>
        <v>747315</v>
      </c>
      <c r="D21" s="55">
        <f t="array" ref="D21">population!D15</f>
        <v>271396</v>
      </c>
      <c r="E21" s="55">
        <f t="array" ref="E21">population!E15</f>
        <v>288465</v>
      </c>
      <c r="F21" s="55">
        <f t="array" ref="F21">population!F15</f>
        <v>93415</v>
      </c>
      <c r="G21" s="55">
        <f t="array" ref="G21">population!G15</f>
        <v>94039</v>
      </c>
      <c r="H21" s="55">
        <f t="array" ref="H21">population!H15</f>
        <v>559861</v>
      </c>
      <c r="I21" s="55">
        <f t="array" ref="I21">population!I15</f>
        <v>187454</v>
      </c>
      <c r="J21" s="55">
        <f t="array" ref="J21">population!J15</f>
        <v>364811</v>
      </c>
      <c r="K21" s="55">
        <f t="array" ref="K21">population!K15</f>
        <v>382504</v>
      </c>
      <c r="L21" s="55"/>
      <c r="M21" s="1"/>
      <c r="N21" s="1"/>
      <c r="O21" s="1"/>
      <c r="P21" s="1"/>
      <c r="Q21" s="1"/>
      <c r="R21" s="1"/>
      <c r="S21" s="1"/>
      <c r="T21" s="1"/>
      <c r="U21" s="1"/>
      <c r="V21" s="1"/>
      <c r="W21" s="1"/>
      <c r="X21" s="1"/>
      <c r="Y21" s="1"/>
      <c r="Z21" s="1"/>
    </row>
    <row r="22" spans="1:26" ht="19.5" customHeight="1">
      <c r="A22" s="139" t="str">
        <f t="array" ref="A22">population!$A16</f>
        <v>p07</v>
      </c>
      <c r="B22" s="55"/>
      <c r="C22" s="55">
        <f t="array" ref="C22">population!C16</f>
        <v>762141</v>
      </c>
      <c r="D22" s="55">
        <f t="array" ref="D22">population!D16</f>
        <v>274735</v>
      </c>
      <c r="E22" s="55">
        <f t="array" ref="E22">population!E16</f>
        <v>296232</v>
      </c>
      <c r="F22" s="55">
        <f t="array" ref="F22">population!F16</f>
        <v>95201</v>
      </c>
      <c r="G22" s="55">
        <f t="array" ref="G22">population!G16</f>
        <v>95973</v>
      </c>
      <c r="H22" s="55">
        <f t="array" ref="H22">population!H16</f>
        <v>570967</v>
      </c>
      <c r="I22" s="55">
        <f t="array" ref="I22">population!I16</f>
        <v>191174</v>
      </c>
      <c r="J22" s="55">
        <f t="array" ref="J22">population!J16</f>
        <v>369936</v>
      </c>
      <c r="K22" s="55">
        <f t="array" ref="K22">population!K16</f>
        <v>392205</v>
      </c>
      <c r="L22" s="55"/>
      <c r="M22" s="1"/>
      <c r="N22" s="1"/>
      <c r="O22" s="1"/>
      <c r="P22" s="1"/>
      <c r="Q22" s="1"/>
      <c r="R22" s="1"/>
      <c r="S22" s="1"/>
      <c r="T22" s="1"/>
      <c r="U22" s="1"/>
      <c r="V22" s="1"/>
      <c r="W22" s="1"/>
      <c r="X22" s="1"/>
      <c r="Y22" s="1"/>
      <c r="Z22" s="1"/>
    </row>
    <row r="23" spans="1:26" ht="19.5" customHeight="1">
      <c r="A23" s="139" t="str">
        <f t="array" ref="A23">population!$A17</f>
        <v>p08</v>
      </c>
      <c r="B23" s="55"/>
      <c r="C23" s="55">
        <f t="array" ref="C23">population!C17</f>
        <v>783490</v>
      </c>
      <c r="D23" s="55">
        <f t="array" ref="D23">population!D17</f>
        <v>283507</v>
      </c>
      <c r="E23" s="55">
        <f t="array" ref="E23">population!E17</f>
        <v>303454</v>
      </c>
      <c r="F23" s="55">
        <f t="array" ref="F23">population!F17</f>
        <v>97903</v>
      </c>
      <c r="G23" s="55">
        <f t="array" ref="G23">population!G17</f>
        <v>98626</v>
      </c>
      <c r="H23" s="55">
        <f t="array" ref="H23">population!H17</f>
        <v>586961</v>
      </c>
      <c r="I23" s="55">
        <f t="array" ref="I23">population!I17</f>
        <v>196529</v>
      </c>
      <c r="J23" s="55">
        <f t="array" ref="J23">population!J17</f>
        <v>381410</v>
      </c>
      <c r="K23" s="55">
        <f t="array" ref="K23">population!K17</f>
        <v>402080</v>
      </c>
      <c r="L23" s="55"/>
      <c r="M23" s="1"/>
      <c r="N23" s="1"/>
      <c r="O23" s="1"/>
      <c r="P23" s="1"/>
      <c r="Q23" s="1"/>
      <c r="R23" s="1"/>
      <c r="S23" s="1"/>
      <c r="T23" s="1"/>
      <c r="U23" s="1"/>
      <c r="V23" s="1"/>
      <c r="W23" s="1"/>
      <c r="X23" s="1"/>
      <c r="Y23" s="1"/>
      <c r="Z23" s="1"/>
    </row>
    <row r="24" spans="1:26" ht="19.5" customHeight="1">
      <c r="A24" s="139" t="str">
        <f t="array" ref="A24">population!$A18</f>
        <v>p09</v>
      </c>
      <c r="B24" s="55"/>
      <c r="C24" s="55">
        <f t="array" ref="C24">population!C18</f>
        <v>805772</v>
      </c>
      <c r="D24" s="55">
        <f t="array" ref="D24">population!D18</f>
        <v>292809</v>
      </c>
      <c r="E24" s="55">
        <f t="array" ref="E24">population!E18</f>
        <v>310845</v>
      </c>
      <c r="F24" s="55">
        <f t="array" ref="F24">population!F18</f>
        <v>100729</v>
      </c>
      <c r="G24" s="55">
        <f t="array" ref="G24">population!G18</f>
        <v>101389</v>
      </c>
      <c r="H24" s="55">
        <f t="array" ref="H24">population!H18</f>
        <v>603654</v>
      </c>
      <c r="I24" s="55">
        <f t="array" ref="I24">population!I18</f>
        <v>202118</v>
      </c>
      <c r="J24" s="55">
        <f t="array" ref="J24">population!J18</f>
        <v>393538</v>
      </c>
      <c r="K24" s="55">
        <f t="array" ref="K24">population!K18</f>
        <v>412234</v>
      </c>
      <c r="L24" s="55"/>
      <c r="M24" s="1"/>
      <c r="N24" s="1"/>
      <c r="O24" s="1"/>
      <c r="P24" s="1"/>
      <c r="Q24" s="1"/>
      <c r="R24" s="1"/>
      <c r="S24" s="1"/>
      <c r="T24" s="1"/>
      <c r="U24" s="1"/>
      <c r="V24" s="1"/>
      <c r="W24" s="1"/>
      <c r="X24" s="1"/>
      <c r="Y24" s="1"/>
      <c r="Z24" s="1"/>
    </row>
    <row r="25" spans="1:26" ht="19.5" customHeight="1">
      <c r="A25" s="139" t="str">
        <f t="array" ref="A25">population!$A19</f>
        <v>p10</v>
      </c>
      <c r="B25" s="55"/>
      <c r="C25" s="55">
        <f t="array" ref="C25">population!C19</f>
        <v>828311</v>
      </c>
      <c r="D25" s="55">
        <f t="array" ref="D25">population!D19</f>
        <v>301901</v>
      </c>
      <c r="E25" s="55">
        <f t="array" ref="E25">population!E19</f>
        <v>318639</v>
      </c>
      <c r="F25" s="55">
        <f t="array" ref="F25">population!F19</f>
        <v>103576</v>
      </c>
      <c r="G25" s="55">
        <f t="array" ref="G25">population!G19</f>
        <v>104195</v>
      </c>
      <c r="H25" s="55">
        <f t="array" ref="H25">population!H19</f>
        <v>620540</v>
      </c>
      <c r="I25" s="55">
        <f t="array" ref="I25">population!I19</f>
        <v>207771</v>
      </c>
      <c r="J25" s="55">
        <f t="array" ref="J25">population!J19</f>
        <v>405477</v>
      </c>
      <c r="K25" s="55">
        <f t="array" ref="K25">population!K19</f>
        <v>422834</v>
      </c>
      <c r="L25" s="55"/>
      <c r="M25" s="1"/>
      <c r="N25" s="1"/>
      <c r="O25" s="1"/>
      <c r="P25" s="1"/>
      <c r="Q25" s="1"/>
      <c r="R25" s="1"/>
      <c r="S25" s="1"/>
      <c r="T25" s="1"/>
      <c r="U25" s="1"/>
      <c r="V25" s="1"/>
      <c r="W25" s="1"/>
      <c r="X25" s="1"/>
      <c r="Y25" s="1"/>
      <c r="Z25" s="1"/>
    </row>
    <row r="26" spans="1:26" ht="19.5" customHeight="1">
      <c r="A26" s="139" t="str">
        <f t="array" ref="A26">population!$A20</f>
        <v>p11</v>
      </c>
      <c r="B26" s="55"/>
      <c r="C26" s="55">
        <f t="array" ref="C26">population!C20</f>
        <v>834912</v>
      </c>
      <c r="D26" s="55">
        <f t="array" ref="D26">population!D20</f>
        <v>303966</v>
      </c>
      <c r="E26" s="55">
        <f t="array" ref="E26">population!E20</f>
        <v>321519</v>
      </c>
      <c r="F26" s="55">
        <f t="array" ref="F26">population!F20</f>
        <v>104390</v>
      </c>
      <c r="G26" s="55">
        <f t="array" ref="G26">population!G20</f>
        <v>105037</v>
      </c>
      <c r="H26" s="55">
        <f t="array" ref="H26">population!H20</f>
        <v>625485</v>
      </c>
      <c r="I26" s="55">
        <f t="array" ref="I26">population!I20</f>
        <v>209427</v>
      </c>
      <c r="J26" s="55">
        <f t="array" ref="J26">population!J20</f>
        <v>408356</v>
      </c>
      <c r="K26" s="55">
        <f t="array" ref="K26">population!K20</f>
        <v>426556</v>
      </c>
      <c r="L26" s="55"/>
      <c r="M26" s="1"/>
      <c r="N26" s="1"/>
      <c r="O26" s="1"/>
      <c r="P26" s="1"/>
      <c r="Q26" s="1"/>
      <c r="R26" s="1"/>
      <c r="S26" s="1"/>
      <c r="T26" s="1"/>
      <c r="U26" s="1"/>
      <c r="V26" s="1"/>
      <c r="W26" s="1"/>
      <c r="X26" s="1"/>
      <c r="Y26" s="1"/>
      <c r="Z26" s="1"/>
    </row>
    <row r="27" spans="1:26" ht="19.5" customHeight="1">
      <c r="A27" s="139" t="str">
        <f t="array" ref="A27">population!$A21</f>
        <v>p12</v>
      </c>
      <c r="B27" s="55"/>
      <c r="C27" s="55">
        <f t="array" ref="C27">population!C21</f>
        <v>850791</v>
      </c>
      <c r="D27" s="55">
        <f t="array" ref="D27">population!D21</f>
        <v>309240</v>
      </c>
      <c r="E27" s="55">
        <f t="array" ref="E27">population!E21</f>
        <v>328141</v>
      </c>
      <c r="F27" s="55">
        <f t="array" ref="F27">population!F21</f>
        <v>106359</v>
      </c>
      <c r="G27" s="55">
        <f t="array" ref="G27">population!G21</f>
        <v>107051</v>
      </c>
      <c r="H27" s="55">
        <f t="array" ref="H27">population!H21</f>
        <v>637381</v>
      </c>
      <c r="I27" s="55">
        <f t="array" ref="I27">population!I21</f>
        <v>213410</v>
      </c>
      <c r="J27" s="55">
        <f t="array" ref="J27">population!J21</f>
        <v>415599</v>
      </c>
      <c r="K27" s="55">
        <f t="array" ref="K27">population!K21</f>
        <v>435192</v>
      </c>
      <c r="L27" s="55"/>
      <c r="M27" s="1"/>
      <c r="N27" s="1"/>
      <c r="O27" s="1"/>
      <c r="P27" s="1"/>
      <c r="Q27" s="1"/>
      <c r="R27" s="1"/>
      <c r="S27" s="1"/>
      <c r="T27" s="1"/>
      <c r="U27" s="1"/>
      <c r="V27" s="1"/>
      <c r="W27" s="1"/>
      <c r="X27" s="1"/>
      <c r="Y27" s="1"/>
      <c r="Z27" s="1"/>
    </row>
    <row r="28" spans="1:26" ht="19.5" customHeight="1">
      <c r="A28" s="139" t="str">
        <f t="array" ref="A28">population!$A22</f>
        <v>p13</v>
      </c>
      <c r="B28" s="55"/>
      <c r="C28" s="55">
        <f t="array" ref="C28">population!C22</f>
        <v>853400</v>
      </c>
      <c r="D28" s="55">
        <f t="array" ref="D28">population!D22</f>
        <v>310334</v>
      </c>
      <c r="E28" s="55">
        <f t="array" ref="E28">population!E22</f>
        <v>329001</v>
      </c>
      <c r="F28" s="55">
        <f t="array" ref="F28">population!F22</f>
        <v>106690</v>
      </c>
      <c r="G28" s="55">
        <f t="array" ref="G28">population!G22</f>
        <v>107375</v>
      </c>
      <c r="H28" s="55">
        <f t="array" ref="H28">population!H22</f>
        <v>639335</v>
      </c>
      <c r="I28" s="55">
        <f t="array" ref="I28">population!I22</f>
        <v>214065</v>
      </c>
      <c r="J28" s="55">
        <f t="array" ref="J28">population!J22</f>
        <v>417024</v>
      </c>
      <c r="K28" s="55">
        <f t="array" ref="K28">population!K22</f>
        <v>436376</v>
      </c>
      <c r="L28" s="55"/>
      <c r="M28" s="1"/>
      <c r="N28" s="1"/>
      <c r="O28" s="1"/>
      <c r="P28" s="1"/>
      <c r="Q28" s="1"/>
      <c r="R28" s="1"/>
      <c r="S28" s="1"/>
      <c r="T28" s="1"/>
      <c r="U28" s="1"/>
      <c r="V28" s="1"/>
      <c r="W28" s="1"/>
      <c r="X28" s="1"/>
      <c r="Y28" s="1"/>
      <c r="Z28" s="1"/>
    </row>
    <row r="29" spans="1:26" ht="19.5" customHeight="1">
      <c r="A29" s="139" t="str">
        <f t="array" ref="A29">population!$A23</f>
        <v>p14</v>
      </c>
      <c r="B29" s="55"/>
      <c r="C29" s="55">
        <f t="array" ref="C29">population!C23</f>
        <v>877526</v>
      </c>
      <c r="D29" s="55">
        <f t="array" ref="D29">population!D23</f>
        <v>317206</v>
      </c>
      <c r="E29" s="55">
        <f t="array" ref="E29">population!E23</f>
        <v>340203</v>
      </c>
      <c r="F29" s="55">
        <f t="array" ref="F29">population!F23</f>
        <v>109643</v>
      </c>
      <c r="G29" s="55">
        <f t="array" ref="G29">population!G23</f>
        <v>110474</v>
      </c>
      <c r="H29" s="55">
        <f t="array" ref="H29">population!H23</f>
        <v>657409</v>
      </c>
      <c r="I29" s="55">
        <f t="array" ref="I29">population!I23</f>
        <v>220117</v>
      </c>
      <c r="J29" s="55">
        <f t="array" ref="J29">population!J23</f>
        <v>426849</v>
      </c>
      <c r="K29" s="55">
        <f t="array" ref="K29">population!K23</f>
        <v>450677</v>
      </c>
      <c r="L29" s="55"/>
      <c r="M29" s="1"/>
      <c r="N29" s="1"/>
      <c r="O29" s="1"/>
      <c r="P29" s="1"/>
      <c r="Q29" s="1"/>
      <c r="R29" s="1"/>
      <c r="S29" s="1"/>
      <c r="T29" s="1"/>
      <c r="U29" s="1"/>
      <c r="V29" s="1"/>
      <c r="W29" s="1"/>
      <c r="X29" s="1"/>
      <c r="Y29" s="1"/>
      <c r="Z29" s="1"/>
    </row>
    <row r="30" spans="1:26" ht="19.5" customHeight="1">
      <c r="A30" s="139" t="str">
        <f t="array" ref="A30">population!$A24</f>
        <v>p15</v>
      </c>
      <c r="B30" s="55"/>
      <c r="C30" s="55">
        <f t="array" ref="C30">population!C24</f>
        <v>871050</v>
      </c>
      <c r="D30" s="55">
        <f t="array" ref="D30">population!D24</f>
        <v>315710</v>
      </c>
      <c r="E30" s="55">
        <f t="array" ref="E30">population!E24</f>
        <v>337100</v>
      </c>
      <c r="F30" s="55">
        <f t="array" ref="F30">population!F24</f>
        <v>107667</v>
      </c>
      <c r="G30" s="55">
        <f t="array" ref="G30">population!G24</f>
        <v>110573</v>
      </c>
      <c r="H30" s="55">
        <f t="array" ref="H30">population!H24</f>
        <v>652810</v>
      </c>
      <c r="I30" s="55">
        <f t="array" ref="I30">population!I24</f>
        <v>218240</v>
      </c>
      <c r="J30" s="55">
        <f t="array" ref="J30">population!J24</f>
        <v>423377</v>
      </c>
      <c r="K30" s="55">
        <f t="array" ref="K30">population!K24</f>
        <v>447673</v>
      </c>
      <c r="L30" s="55"/>
      <c r="M30" s="1"/>
      <c r="N30" s="1"/>
      <c r="O30" s="1"/>
      <c r="P30" s="1"/>
      <c r="Q30" s="1"/>
      <c r="R30" s="1"/>
      <c r="S30" s="1"/>
      <c r="T30" s="1"/>
      <c r="U30" s="1"/>
      <c r="V30" s="1"/>
      <c r="W30" s="1"/>
      <c r="X30" s="1"/>
      <c r="Y30" s="1"/>
      <c r="Z30" s="1"/>
    </row>
    <row r="31" spans="1:26" ht="19.5" customHeight="1">
      <c r="A31" s="139" t="str">
        <f t="array" ref="A31">population!$A25</f>
        <v>p16</v>
      </c>
      <c r="B31" s="55"/>
      <c r="C31" s="55">
        <f t="array" ref="C31">population!C25</f>
        <v>873075</v>
      </c>
      <c r="D31" s="55">
        <f t="array" ref="D31">population!D25</f>
        <v>314551</v>
      </c>
      <c r="E31" s="55">
        <f t="array" ref="E31">population!E25</f>
        <v>339772</v>
      </c>
      <c r="F31" s="55">
        <f t="array" ref="F31">population!F25</f>
        <v>107764</v>
      </c>
      <c r="G31" s="55">
        <f t="array" ref="G31">population!G25</f>
        <v>110988</v>
      </c>
      <c r="H31" s="55">
        <f t="array" ref="H31">population!H25</f>
        <v>654323</v>
      </c>
      <c r="I31" s="55">
        <f t="array" ref="I31">population!I25</f>
        <v>218752</v>
      </c>
      <c r="J31" s="55">
        <f t="array" ref="J31">population!J25</f>
        <v>422315</v>
      </c>
      <c r="K31" s="55">
        <f t="array" ref="K31">population!K25</f>
        <v>450760</v>
      </c>
      <c r="L31" s="55"/>
      <c r="M31" s="1"/>
      <c r="N31" s="1"/>
      <c r="O31" s="1"/>
      <c r="P31" s="1"/>
      <c r="Q31" s="1"/>
      <c r="R31" s="1"/>
      <c r="S31" s="1"/>
      <c r="T31" s="1"/>
      <c r="U31" s="1"/>
      <c r="V31" s="1"/>
      <c r="W31" s="1"/>
      <c r="X31" s="1"/>
      <c r="Y31" s="1"/>
      <c r="Z31" s="1"/>
    </row>
    <row r="32" spans="1:26" ht="19.5" customHeight="1">
      <c r="A32" s="139" t="str">
        <f t="array" ref="A32">population!$A26</f>
        <v>p17</v>
      </c>
      <c r="B32" s="55"/>
      <c r="C32" s="55">
        <f t="array" ref="C32">population!C26</f>
        <v>854120</v>
      </c>
      <c r="D32" s="55">
        <f t="array" ref="D32">population!D26</f>
        <v>307781</v>
      </c>
      <c r="E32" s="55">
        <f t="array" ref="E32">population!E26</f>
        <v>332336</v>
      </c>
      <c r="F32" s="55">
        <f t="array" ref="F32">population!F26</f>
        <v>105429</v>
      </c>
      <c r="G32" s="55">
        <f t="array" ref="G32">population!G26</f>
        <v>108574</v>
      </c>
      <c r="H32" s="55">
        <f t="array" ref="H32">population!H26</f>
        <v>640117</v>
      </c>
      <c r="I32" s="55">
        <f t="array" ref="I32">population!I26</f>
        <v>214003</v>
      </c>
      <c r="J32" s="55">
        <f t="array" ref="J32">population!J26</f>
        <v>413210</v>
      </c>
      <c r="K32" s="55">
        <f t="array" ref="K32">population!K26</f>
        <v>440910</v>
      </c>
      <c r="L32" s="55"/>
      <c r="M32" s="1"/>
      <c r="N32" s="1"/>
      <c r="O32" s="1"/>
      <c r="P32" s="1"/>
      <c r="Q32" s="1"/>
      <c r="R32" s="1"/>
      <c r="S32" s="1"/>
      <c r="T32" s="1"/>
      <c r="U32" s="1"/>
      <c r="V32" s="1"/>
      <c r="W32" s="1"/>
      <c r="X32" s="1"/>
      <c r="Y32" s="1"/>
      <c r="Z32" s="1"/>
    </row>
    <row r="33" spans="1:26" ht="19.5" customHeight="1">
      <c r="A33" s="139" t="str">
        <f t="array" ref="A33">population!$A27</f>
        <v>p18</v>
      </c>
      <c r="B33" s="55"/>
      <c r="C33" s="55">
        <f t="array" ref="C33">population!C27</f>
        <v>848632</v>
      </c>
      <c r="D33" s="55">
        <f t="array" ref="D33">population!D27</f>
        <v>303657</v>
      </c>
      <c r="E33" s="55">
        <f t="array" ref="E33">population!E27</f>
        <v>332341</v>
      </c>
      <c r="F33" s="55">
        <f t="array" ref="F33">population!F27</f>
        <v>104579</v>
      </c>
      <c r="G33" s="55">
        <f t="array" ref="G33">population!G27</f>
        <v>108055</v>
      </c>
      <c r="H33" s="55">
        <f t="array" ref="H33">population!H27</f>
        <v>635998</v>
      </c>
      <c r="I33" s="55">
        <f t="array" ref="I33">population!I27</f>
        <v>212634</v>
      </c>
      <c r="J33" s="55">
        <f t="array" ref="J33">population!J27</f>
        <v>408236</v>
      </c>
      <c r="K33" s="55">
        <f t="array" ref="K33">population!K27</f>
        <v>440396</v>
      </c>
      <c r="L33" s="55"/>
      <c r="M33" s="1"/>
      <c r="N33" s="1"/>
      <c r="O33" s="1"/>
      <c r="P33" s="1"/>
      <c r="Q33" s="1"/>
      <c r="R33" s="1"/>
      <c r="S33" s="1"/>
      <c r="T33" s="1"/>
      <c r="U33" s="1"/>
      <c r="V33" s="1"/>
      <c r="W33" s="1"/>
      <c r="X33" s="1"/>
      <c r="Y33" s="1"/>
      <c r="Z33" s="1"/>
    </row>
    <row r="34" spans="1:26" ht="19.5" customHeight="1">
      <c r="A34" s="139" t="str">
        <f t="array" ref="A34">population!$A28</f>
        <v>p19</v>
      </c>
      <c r="B34" s="55"/>
      <c r="C34" s="55">
        <f t="array" ref="C34">population!C28</f>
        <v>812932</v>
      </c>
      <c r="D34" s="55">
        <f t="array" ref="D34">population!D28</f>
        <v>292298</v>
      </c>
      <c r="E34" s="55">
        <f t="array" ref="E34">population!E28</f>
        <v>316949</v>
      </c>
      <c r="F34" s="55">
        <f t="array" ref="F34">population!F28</f>
        <v>100294</v>
      </c>
      <c r="G34" s="55">
        <f t="array" ref="G34">population!G28</f>
        <v>103391</v>
      </c>
      <c r="H34" s="55">
        <f t="array" ref="H34">population!H28</f>
        <v>609247</v>
      </c>
      <c r="I34" s="55">
        <f t="array" ref="I34">population!I28</f>
        <v>203685</v>
      </c>
      <c r="J34" s="55">
        <f t="array" ref="J34">population!J28</f>
        <v>392592</v>
      </c>
      <c r="K34" s="55">
        <f t="array" ref="K34">population!K28</f>
        <v>420340</v>
      </c>
      <c r="L34" s="55"/>
      <c r="M34" s="1"/>
      <c r="N34" s="1"/>
      <c r="O34" s="1"/>
      <c r="P34" s="1"/>
      <c r="Q34" s="1"/>
      <c r="R34" s="1"/>
      <c r="S34" s="1"/>
      <c r="T34" s="1"/>
      <c r="U34" s="1"/>
      <c r="V34" s="1"/>
      <c r="W34" s="1"/>
      <c r="X34" s="1"/>
      <c r="Y34" s="1"/>
      <c r="Z34" s="1"/>
    </row>
    <row r="35" spans="1:26" ht="19.5" customHeight="1">
      <c r="A35" s="139" t="str">
        <f t="array" ref="A35">population!$A29</f>
        <v>p20</v>
      </c>
      <c r="B35" s="55"/>
      <c r="C35" s="55">
        <f t="array" ref="C35">population!C29</f>
        <v>794105</v>
      </c>
      <c r="D35" s="55">
        <f t="array" ref="D35">population!D29</f>
        <v>285763</v>
      </c>
      <c r="E35" s="55">
        <f t="array" ref="E35">population!E29</f>
        <v>309375</v>
      </c>
      <c r="F35" s="55">
        <f t="array" ref="F35">population!F29</f>
        <v>97990</v>
      </c>
      <c r="G35" s="55">
        <f t="array" ref="G35">population!G29</f>
        <v>100977</v>
      </c>
      <c r="H35" s="55">
        <f t="array" ref="H35">population!H29</f>
        <v>595138</v>
      </c>
      <c r="I35" s="55">
        <f t="array" ref="I35">population!I29</f>
        <v>198967</v>
      </c>
      <c r="J35" s="55">
        <f t="array" ref="J35">population!J29</f>
        <v>383753</v>
      </c>
      <c r="K35" s="55">
        <f t="array" ref="K35">population!K29</f>
        <v>410352</v>
      </c>
      <c r="L35" s="55"/>
      <c r="M35" s="1"/>
      <c r="N35" s="1"/>
      <c r="O35" s="1"/>
      <c r="P35" s="1"/>
      <c r="Q35" s="1"/>
      <c r="R35" s="1"/>
      <c r="S35" s="1"/>
      <c r="T35" s="1"/>
      <c r="U35" s="1"/>
      <c r="V35" s="1"/>
      <c r="W35" s="1"/>
      <c r="X35" s="1"/>
      <c r="Y35" s="1"/>
      <c r="Z35" s="1"/>
    </row>
    <row r="36" spans="1:26" ht="19.5" customHeight="1">
      <c r="A36" s="139" t="str">
        <f t="array" ref="A36">population!$A30</f>
        <v>p21</v>
      </c>
      <c r="B36" s="55"/>
      <c r="C36" s="55">
        <f t="array" ref="C36">population!C30</f>
        <v>777960</v>
      </c>
      <c r="D36" s="55">
        <f t="array" ref="D36">population!D30</f>
        <v>281933</v>
      </c>
      <c r="E36" s="55">
        <f t="array" ref="E36">population!E30</f>
        <v>301111</v>
      </c>
      <c r="F36" s="55">
        <f t="array" ref="F36">population!F30</f>
        <v>96157</v>
      </c>
      <c r="G36" s="55">
        <f t="array" ref="G36">population!G30</f>
        <v>98759</v>
      </c>
      <c r="H36" s="55">
        <f t="array" ref="H36">population!H30</f>
        <v>583044</v>
      </c>
      <c r="I36" s="55">
        <f t="array" ref="I36">population!I30</f>
        <v>194916</v>
      </c>
      <c r="J36" s="55">
        <f t="array" ref="J36">population!J30</f>
        <v>378090</v>
      </c>
      <c r="K36" s="55">
        <f t="array" ref="K36">population!K30</f>
        <v>399870</v>
      </c>
      <c r="L36" s="55"/>
      <c r="M36" s="1"/>
      <c r="N36" s="1"/>
      <c r="O36" s="1"/>
      <c r="P36" s="1"/>
      <c r="Q36" s="1"/>
      <c r="R36" s="1"/>
      <c r="S36" s="1"/>
      <c r="T36" s="1"/>
      <c r="U36" s="1"/>
      <c r="V36" s="1"/>
      <c r="W36" s="1"/>
      <c r="X36" s="1"/>
      <c r="Y36" s="1"/>
      <c r="Z36" s="1"/>
    </row>
    <row r="37" spans="1:26" ht="19.5" customHeight="1">
      <c r="A37" s="139" t="str">
        <f t="array" ref="A37">population!$A31</f>
        <v>p22</v>
      </c>
      <c r="B37" s="55"/>
      <c r="C37" s="55">
        <f t="array" ref="C37">population!C31</f>
        <v>782428</v>
      </c>
      <c r="D37" s="55">
        <f t="array" ref="D37">population!D31</f>
        <v>285699</v>
      </c>
      <c r="E37" s="55">
        <f t="array" ref="E37">population!E31</f>
        <v>300698</v>
      </c>
      <c r="F37" s="55">
        <f t="array" ref="F37">population!F31</f>
        <v>96883</v>
      </c>
      <c r="G37" s="55">
        <f t="array" ref="G37">population!G31</f>
        <v>99148</v>
      </c>
      <c r="H37" s="55">
        <f t="array" ref="H37">population!H31</f>
        <v>586397</v>
      </c>
      <c r="I37" s="55">
        <f t="array" ref="I37">population!I31</f>
        <v>196031</v>
      </c>
      <c r="J37" s="55">
        <f t="array" ref="J37">population!J31</f>
        <v>382582</v>
      </c>
      <c r="K37" s="55">
        <f t="array" ref="K37">population!K31</f>
        <v>399846</v>
      </c>
      <c r="L37" s="55"/>
      <c r="M37" s="1"/>
      <c r="N37" s="1"/>
      <c r="O37" s="1"/>
      <c r="P37" s="1"/>
      <c r="Q37" s="1"/>
      <c r="R37" s="1"/>
      <c r="S37" s="1"/>
      <c r="T37" s="1"/>
      <c r="U37" s="1"/>
      <c r="V37" s="1"/>
      <c r="W37" s="1"/>
      <c r="X37" s="1"/>
      <c r="Y37" s="1"/>
      <c r="Z37" s="1"/>
    </row>
    <row r="38" spans="1:26" ht="19.5" customHeight="1">
      <c r="A38" s="139" t="str">
        <f t="array" ref="A38">population!$A32</f>
        <v>p23</v>
      </c>
      <c r="B38" s="55"/>
      <c r="C38" s="55">
        <f t="array" ref="C38">population!C32</f>
        <v>796489</v>
      </c>
      <c r="D38" s="55">
        <f t="array" ref="D38">population!D32</f>
        <v>292506</v>
      </c>
      <c r="E38" s="55">
        <f t="array" ref="E38">population!E32</f>
        <v>304434</v>
      </c>
      <c r="F38" s="55">
        <f t="array" ref="F38">population!F32</f>
        <v>98759</v>
      </c>
      <c r="G38" s="55">
        <f t="array" ref="G38">population!G32</f>
        <v>100790</v>
      </c>
      <c r="H38" s="55">
        <f t="array" ref="H38">population!H32</f>
        <v>596940</v>
      </c>
      <c r="I38" s="55">
        <f t="array" ref="I38">population!I32</f>
        <v>199549</v>
      </c>
      <c r="J38" s="55">
        <f t="array" ref="J38">population!J32</f>
        <v>391265</v>
      </c>
      <c r="K38" s="55">
        <f t="array" ref="K38">population!K32</f>
        <v>405224</v>
      </c>
      <c r="L38" s="55"/>
      <c r="M38" s="1"/>
      <c r="N38" s="1"/>
      <c r="O38" s="1"/>
      <c r="P38" s="1"/>
      <c r="Q38" s="1"/>
      <c r="R38" s="1"/>
      <c r="S38" s="1"/>
      <c r="T38" s="1"/>
      <c r="U38" s="1"/>
      <c r="V38" s="1"/>
      <c r="W38" s="1"/>
      <c r="X38" s="1"/>
      <c r="Y38" s="1"/>
      <c r="Z38" s="1"/>
    </row>
    <row r="39" spans="1:26" ht="19.5" customHeight="1">
      <c r="A39" s="139" t="str">
        <f t="array" ref="A39">population!$A33</f>
        <v>p24</v>
      </c>
      <c r="B39" s="55"/>
      <c r="C39" s="55">
        <f t="array" ref="C39">population!C33</f>
        <v>816131</v>
      </c>
      <c r="D39" s="55">
        <f t="array" ref="D39">population!D33</f>
        <v>302126</v>
      </c>
      <c r="E39" s="55">
        <f t="array" ref="E39">population!E33</f>
        <v>309541</v>
      </c>
      <c r="F39" s="55">
        <f t="array" ref="F39">population!F33</f>
        <v>101388</v>
      </c>
      <c r="G39" s="55">
        <f t="array" ref="G39">population!G33</f>
        <v>103076</v>
      </c>
      <c r="H39" s="55">
        <f t="array" ref="H39">population!H33</f>
        <v>611667</v>
      </c>
      <c r="I39" s="55">
        <f t="array" ref="I39">population!I33</f>
        <v>204464</v>
      </c>
      <c r="J39" s="55">
        <f t="array" ref="J39">population!J33</f>
        <v>403514</v>
      </c>
      <c r="K39" s="55">
        <f t="array" ref="K39">population!K33</f>
        <v>412617</v>
      </c>
      <c r="L39" s="55"/>
      <c r="M39" s="1"/>
      <c r="N39" s="1"/>
      <c r="O39" s="1"/>
      <c r="P39" s="1"/>
      <c r="Q39" s="1"/>
      <c r="R39" s="1"/>
      <c r="S39" s="1"/>
      <c r="T39" s="1"/>
      <c r="U39" s="1"/>
      <c r="V39" s="1"/>
      <c r="W39" s="1"/>
      <c r="X39" s="1"/>
      <c r="Y39" s="1"/>
      <c r="Z39" s="1"/>
    </row>
    <row r="40" spans="1:26" ht="19.5" customHeight="1">
      <c r="A40" s="139" t="str">
        <f t="array" ref="A40">population!$A34</f>
        <v>p25</v>
      </c>
      <c r="B40" s="55"/>
      <c r="C40" s="55">
        <f t="array" ref="C40">population!C34</f>
        <v>783800</v>
      </c>
      <c r="D40" s="55">
        <f t="array" ref="D40">population!D34</f>
        <v>290928</v>
      </c>
      <c r="E40" s="55">
        <f t="array" ref="E40">population!E34</f>
        <v>302282</v>
      </c>
      <c r="F40" s="55">
        <f t="array" ref="F40">population!F34</f>
        <v>96530</v>
      </c>
      <c r="G40" s="55">
        <f t="array" ref="G40">population!G34</f>
        <v>94060</v>
      </c>
      <c r="H40" s="55">
        <f t="array" ref="H40">population!H34</f>
        <v>593210</v>
      </c>
      <c r="I40" s="55">
        <f t="array" ref="I40">population!I34</f>
        <v>190590</v>
      </c>
      <c r="J40" s="55">
        <f t="array" ref="J40">population!J34</f>
        <v>387458</v>
      </c>
      <c r="K40" s="55">
        <f t="array" ref="K40">population!K34</f>
        <v>396342</v>
      </c>
      <c r="L40" s="55"/>
      <c r="M40" s="1"/>
      <c r="N40" s="1"/>
      <c r="O40" s="1"/>
      <c r="P40" s="1"/>
      <c r="Q40" s="1"/>
      <c r="R40" s="1"/>
      <c r="S40" s="1"/>
      <c r="T40" s="1"/>
      <c r="U40" s="1"/>
      <c r="V40" s="1"/>
      <c r="W40" s="1"/>
      <c r="X40" s="1"/>
      <c r="Y40" s="1"/>
      <c r="Z40" s="1"/>
    </row>
    <row r="41" spans="1:26" ht="19.5" customHeight="1">
      <c r="A41" s="139" t="str">
        <f t="array" ref="A41">population!$A35</f>
        <v>p26</v>
      </c>
      <c r="B41" s="55"/>
      <c r="C41" s="55">
        <f t="array" ref="C41">population!C35</f>
        <v>785902</v>
      </c>
      <c r="D41" s="55">
        <f t="array" ref="D41">population!D35</f>
        <v>295098</v>
      </c>
      <c r="E41" s="55">
        <f t="array" ref="E41">population!E35</f>
        <v>299665</v>
      </c>
      <c r="F41" s="55">
        <f t="array" ref="F41">population!F35</f>
        <v>97387</v>
      </c>
      <c r="G41" s="55">
        <f t="array" ref="G41">population!G35</f>
        <v>93752</v>
      </c>
      <c r="H41" s="55">
        <f t="array" ref="H41">population!H35</f>
        <v>594763</v>
      </c>
      <c r="I41" s="55">
        <f t="array" ref="I41">population!I35</f>
        <v>191139</v>
      </c>
      <c r="J41" s="55">
        <f t="array" ref="J41">population!J35</f>
        <v>392485</v>
      </c>
      <c r="K41" s="55">
        <f t="array" ref="K41">population!K35</f>
        <v>393417</v>
      </c>
      <c r="L41" s="55"/>
      <c r="M41" s="1"/>
      <c r="N41" s="1"/>
      <c r="O41" s="1"/>
      <c r="P41" s="1"/>
      <c r="Q41" s="1"/>
      <c r="R41" s="1"/>
      <c r="S41" s="1"/>
      <c r="T41" s="1"/>
      <c r="U41" s="1"/>
      <c r="V41" s="1"/>
      <c r="W41" s="1"/>
      <c r="X41" s="1"/>
      <c r="Y41" s="1"/>
      <c r="Z41" s="1"/>
    </row>
    <row r="42" spans="1:26" ht="19.5" customHeight="1">
      <c r="A42" s="139" t="str">
        <f t="array" ref="A42">population!$A36</f>
        <v>p27</v>
      </c>
      <c r="B42" s="55"/>
      <c r="C42" s="55">
        <f t="array" ref="C42">population!C36</f>
        <v>778127</v>
      </c>
      <c r="D42" s="55">
        <f t="array" ref="D42">population!D36</f>
        <v>292442</v>
      </c>
      <c r="E42" s="55">
        <f t="array" ref="E42">population!E36</f>
        <v>296434</v>
      </c>
      <c r="F42" s="55">
        <f t="array" ref="F42">population!F36</f>
        <v>96470</v>
      </c>
      <c r="G42" s="55">
        <f t="array" ref="G42">population!G36</f>
        <v>92781</v>
      </c>
      <c r="H42" s="55">
        <f t="array" ref="H42">population!H36</f>
        <v>588876</v>
      </c>
      <c r="I42" s="55">
        <f t="array" ref="I42">population!I36</f>
        <v>189251</v>
      </c>
      <c r="J42" s="55">
        <f t="array" ref="J42">population!J36</f>
        <v>388912</v>
      </c>
      <c r="K42" s="55">
        <f t="array" ref="K42">population!K36</f>
        <v>389215</v>
      </c>
      <c r="L42" s="55"/>
      <c r="M42" s="1"/>
      <c r="N42" s="1"/>
      <c r="O42" s="1"/>
      <c r="P42" s="1"/>
      <c r="Q42" s="1"/>
      <c r="R42" s="1"/>
      <c r="S42" s="1"/>
      <c r="T42" s="1"/>
      <c r="U42" s="1"/>
      <c r="V42" s="1"/>
      <c r="W42" s="1"/>
      <c r="X42" s="1"/>
      <c r="Y42" s="1"/>
      <c r="Z42" s="1"/>
    </row>
    <row r="43" spans="1:26" ht="19.5" customHeight="1">
      <c r="A43" s="139" t="str">
        <f t="array" ref="A43">population!$A37</f>
        <v>p28</v>
      </c>
      <c r="B43" s="55"/>
      <c r="C43" s="55">
        <f t="array" ref="C43">population!C37</f>
        <v>786300</v>
      </c>
      <c r="D43" s="55">
        <f t="array" ref="D43">population!D37</f>
        <v>297049</v>
      </c>
      <c r="E43" s="55">
        <f t="array" ref="E43">population!E37</f>
        <v>297995</v>
      </c>
      <c r="F43" s="55">
        <f t="array" ref="F43">population!F37</f>
        <v>97754</v>
      </c>
      <c r="G43" s="55">
        <f t="array" ref="G43">population!G37</f>
        <v>93502</v>
      </c>
      <c r="H43" s="55">
        <f t="array" ref="H43">population!H37</f>
        <v>595044</v>
      </c>
      <c r="I43" s="55">
        <f t="array" ref="I43">population!I37</f>
        <v>191256</v>
      </c>
      <c r="J43" s="55">
        <f t="array" ref="J43">population!J37</f>
        <v>394803</v>
      </c>
      <c r="K43" s="55">
        <f t="array" ref="K43">population!K37</f>
        <v>391497</v>
      </c>
      <c r="L43" s="55"/>
      <c r="M43" s="1"/>
      <c r="N43" s="1"/>
      <c r="O43" s="1"/>
      <c r="P43" s="1"/>
      <c r="Q43" s="1"/>
      <c r="R43" s="1"/>
      <c r="S43" s="1"/>
      <c r="T43" s="1"/>
      <c r="U43" s="1"/>
      <c r="V43" s="1"/>
      <c r="W43" s="1"/>
      <c r="X43" s="1"/>
      <c r="Y43" s="1"/>
      <c r="Z43" s="1"/>
    </row>
    <row r="44" spans="1:26" ht="19.5" customHeight="1">
      <c r="A44" s="139" t="str">
        <f t="array" ref="A44">population!$A38</f>
        <v>p29</v>
      </c>
      <c r="B44" s="55"/>
      <c r="C44" s="55">
        <f t="array" ref="C44">population!C38</f>
        <v>789717</v>
      </c>
      <c r="D44" s="55">
        <f t="array" ref="D44">population!D38</f>
        <v>299038</v>
      </c>
      <c r="E44" s="55">
        <f t="array" ref="E44">population!E38</f>
        <v>298583</v>
      </c>
      <c r="F44" s="55">
        <f t="array" ref="F44">population!F38</f>
        <v>98303</v>
      </c>
      <c r="G44" s="55">
        <f t="array" ref="G44">population!G38</f>
        <v>93793</v>
      </c>
      <c r="H44" s="55">
        <f t="array" ref="H44">population!H38</f>
        <v>597621</v>
      </c>
      <c r="I44" s="55">
        <f t="array" ref="I44">population!I38</f>
        <v>192096</v>
      </c>
      <c r="J44" s="55">
        <f t="array" ref="J44">population!J38</f>
        <v>397341</v>
      </c>
      <c r="K44" s="55">
        <f t="array" ref="K44">population!K38</f>
        <v>392376</v>
      </c>
      <c r="L44" s="55"/>
      <c r="M44" s="1"/>
      <c r="N44" s="1"/>
      <c r="O44" s="1"/>
      <c r="P44" s="1"/>
      <c r="Q44" s="1"/>
      <c r="R44" s="1"/>
      <c r="S44" s="1"/>
      <c r="T44" s="1"/>
      <c r="U44" s="1"/>
      <c r="V44" s="1"/>
      <c r="W44" s="1"/>
      <c r="X44" s="1"/>
      <c r="Y44" s="1"/>
      <c r="Z44" s="1"/>
    </row>
    <row r="45" spans="1:26" ht="19.5" customHeight="1">
      <c r="A45" s="139" t="str">
        <f t="array" ref="A45">population!$A39</f>
        <v>p30</v>
      </c>
      <c r="B45" s="55"/>
      <c r="C45" s="55">
        <f t="array" ref="C45">population!C39</f>
        <v>779877</v>
      </c>
      <c r="D45" s="55">
        <f t="array" ref="D45">population!D39</f>
        <v>297691</v>
      </c>
      <c r="E45" s="55">
        <f t="array" ref="E45">population!E39</f>
        <v>292458</v>
      </c>
      <c r="F45" s="55">
        <f t="array" ref="F45">population!F39</f>
        <v>97497</v>
      </c>
      <c r="G45" s="55">
        <f t="array" ref="G45">population!G39</f>
        <v>92231</v>
      </c>
      <c r="H45" s="55">
        <f t="array" ref="H45">population!H39</f>
        <v>590149</v>
      </c>
      <c r="I45" s="55">
        <f t="array" ref="I45">population!I39</f>
        <v>189728</v>
      </c>
      <c r="J45" s="55">
        <f t="array" ref="J45">population!J39</f>
        <v>395188</v>
      </c>
      <c r="K45" s="55">
        <f t="array" ref="K45">population!K39</f>
        <v>384689</v>
      </c>
      <c r="L45" s="55"/>
      <c r="M45" s="1"/>
      <c r="N45" s="1"/>
      <c r="O45" s="1"/>
      <c r="P45" s="1"/>
      <c r="Q45" s="1"/>
      <c r="R45" s="1"/>
      <c r="S45" s="1"/>
      <c r="T45" s="1"/>
      <c r="U45" s="1"/>
      <c r="V45" s="1"/>
      <c r="W45" s="1"/>
      <c r="X45" s="1"/>
      <c r="Y45" s="1"/>
      <c r="Z45" s="1"/>
    </row>
    <row r="46" spans="1:26" ht="19.5" customHeight="1">
      <c r="A46" s="139" t="str">
        <f t="array" ref="A46">population!$A40</f>
        <v>p31</v>
      </c>
      <c r="B46" s="55"/>
      <c r="C46" s="55">
        <f t="array" ref="C46">population!C40</f>
        <v>785370</v>
      </c>
      <c r="D46" s="55">
        <f t="array" ref="D46">population!D40</f>
        <v>299562</v>
      </c>
      <c r="E46" s="55">
        <f t="array" ref="E46">population!E40</f>
        <v>294746</v>
      </c>
      <c r="F46" s="55">
        <f t="array" ref="F46">population!F40</f>
        <v>98144</v>
      </c>
      <c r="G46" s="55">
        <f t="array" ref="G46">population!G40</f>
        <v>92918</v>
      </c>
      <c r="H46" s="55">
        <f t="array" ref="H46">population!H40</f>
        <v>594308</v>
      </c>
      <c r="I46" s="55">
        <f t="array" ref="I46">population!I40</f>
        <v>191062</v>
      </c>
      <c r="J46" s="55">
        <f t="array" ref="J46">population!J40</f>
        <v>397706</v>
      </c>
      <c r="K46" s="55">
        <f t="array" ref="K46">population!K40</f>
        <v>387664</v>
      </c>
      <c r="L46" s="55"/>
      <c r="M46" s="1"/>
      <c r="N46" s="1"/>
      <c r="O46" s="1"/>
      <c r="P46" s="1"/>
      <c r="Q46" s="1"/>
      <c r="R46" s="1"/>
      <c r="S46" s="1"/>
      <c r="T46" s="1"/>
      <c r="U46" s="1"/>
      <c r="V46" s="1"/>
      <c r="W46" s="1"/>
      <c r="X46" s="1"/>
      <c r="Y46" s="1"/>
      <c r="Z46" s="1"/>
    </row>
    <row r="47" spans="1:26" ht="19.5" customHeight="1">
      <c r="A47" s="139" t="str">
        <f t="array" ref="A47">population!$A41</f>
        <v>p32</v>
      </c>
      <c r="B47" s="55"/>
      <c r="C47" s="55">
        <f t="array" ref="C47">population!C41</f>
        <v>823029</v>
      </c>
      <c r="D47" s="55">
        <f t="array" ref="D47">population!D41</f>
        <v>314915</v>
      </c>
      <c r="E47" s="55">
        <f t="array" ref="E47">population!E41</f>
        <v>307879</v>
      </c>
      <c r="F47" s="55">
        <f t="array" ref="F47">population!F41</f>
        <v>103025</v>
      </c>
      <c r="G47" s="55">
        <f t="array" ref="G47">population!G41</f>
        <v>97210</v>
      </c>
      <c r="H47" s="55">
        <f t="array" ref="H47">population!H41</f>
        <v>622794</v>
      </c>
      <c r="I47" s="55">
        <f t="array" ref="I47">population!I41</f>
        <v>200235</v>
      </c>
      <c r="J47" s="55">
        <f t="array" ref="J47">population!J41</f>
        <v>417940</v>
      </c>
      <c r="K47" s="55">
        <f t="array" ref="K47">population!K41</f>
        <v>405089</v>
      </c>
      <c r="L47" s="55"/>
      <c r="M47" s="1"/>
      <c r="N47" s="1"/>
      <c r="O47" s="1"/>
      <c r="P47" s="1"/>
      <c r="Q47" s="1"/>
      <c r="R47" s="1"/>
      <c r="S47" s="1"/>
      <c r="T47" s="1"/>
      <c r="U47" s="1"/>
      <c r="V47" s="1"/>
      <c r="W47" s="1"/>
      <c r="X47" s="1"/>
      <c r="Y47" s="1"/>
      <c r="Z47" s="1"/>
    </row>
    <row r="48" spans="1:26" ht="19.5" customHeight="1">
      <c r="A48" s="139" t="str">
        <f t="array" ref="A48">population!$A42</f>
        <v>p33</v>
      </c>
      <c r="B48" s="55"/>
      <c r="C48" s="55">
        <f t="array" ref="C48">population!C42</f>
        <v>832229</v>
      </c>
      <c r="D48" s="55">
        <f t="array" ref="D48">population!D42</f>
        <v>318592</v>
      </c>
      <c r="E48" s="55">
        <f t="array" ref="E48">population!E42</f>
        <v>311162</v>
      </c>
      <c r="F48" s="55">
        <f t="array" ref="F48">population!F42</f>
        <v>104204</v>
      </c>
      <c r="G48" s="55">
        <f t="array" ref="G48">population!G42</f>
        <v>98271</v>
      </c>
      <c r="H48" s="55">
        <f t="array" ref="H48">population!H42</f>
        <v>629754</v>
      </c>
      <c r="I48" s="55">
        <f t="array" ref="I48">population!I42</f>
        <v>202475</v>
      </c>
      <c r="J48" s="55">
        <f t="array" ref="J48">population!J42</f>
        <v>422796</v>
      </c>
      <c r="K48" s="55">
        <f t="array" ref="K48">population!K42</f>
        <v>409433</v>
      </c>
      <c r="L48" s="55"/>
      <c r="M48" s="1"/>
      <c r="N48" s="1"/>
      <c r="O48" s="1"/>
      <c r="P48" s="1"/>
      <c r="Q48" s="1"/>
      <c r="R48" s="1"/>
      <c r="S48" s="1"/>
      <c r="T48" s="1"/>
      <c r="U48" s="1"/>
      <c r="V48" s="1"/>
      <c r="W48" s="1"/>
      <c r="X48" s="1"/>
      <c r="Y48" s="1"/>
      <c r="Z48" s="1"/>
    </row>
    <row r="49" spans="1:26" ht="19.5" customHeight="1">
      <c r="A49" s="139" t="str">
        <f t="array" ref="A49">population!$A43</f>
        <v>p34</v>
      </c>
      <c r="B49" s="55"/>
      <c r="C49" s="55">
        <f t="array" ref="C49">population!C43</f>
        <v>856432</v>
      </c>
      <c r="D49" s="55">
        <f t="array" ref="D49">population!D43</f>
        <v>327516</v>
      </c>
      <c r="E49" s="55">
        <f t="array" ref="E49">population!E43</f>
        <v>320556</v>
      </c>
      <c r="F49" s="55">
        <f t="array" ref="F49">population!F43</f>
        <v>107174</v>
      </c>
      <c r="G49" s="55">
        <f t="array" ref="G49">population!G43</f>
        <v>101186</v>
      </c>
      <c r="H49" s="55">
        <f t="array" ref="H49">population!H43</f>
        <v>648072</v>
      </c>
      <c r="I49" s="55">
        <f t="array" ref="I49">population!I43</f>
        <v>208360</v>
      </c>
      <c r="J49" s="55">
        <f t="array" ref="J49">population!J43</f>
        <v>434690</v>
      </c>
      <c r="K49" s="55">
        <f t="array" ref="K49">population!K43</f>
        <v>421742</v>
      </c>
      <c r="L49" s="55"/>
      <c r="M49" s="1"/>
      <c r="N49" s="1"/>
      <c r="O49" s="1"/>
      <c r="P49" s="1"/>
      <c r="Q49" s="1"/>
      <c r="R49" s="1"/>
      <c r="S49" s="1"/>
      <c r="T49" s="1"/>
      <c r="U49" s="1"/>
      <c r="V49" s="1"/>
      <c r="W49" s="1"/>
      <c r="X49" s="1"/>
      <c r="Y49" s="1"/>
      <c r="Z49" s="1"/>
    </row>
    <row r="50" spans="1:26" ht="19.5" customHeight="1">
      <c r="A50" s="139" t="str">
        <f t="array" ref="A50">population!$A44</f>
        <v>p35</v>
      </c>
      <c r="B50" s="55"/>
      <c r="C50" s="55">
        <f t="array" ref="C50">population!C44</f>
        <v>856531</v>
      </c>
      <c r="D50" s="55">
        <f t="array" ref="D50">population!D44</f>
        <v>328643</v>
      </c>
      <c r="E50" s="55">
        <f t="array" ref="E50">population!E44</f>
        <v>319492</v>
      </c>
      <c r="F50" s="55">
        <f t="array" ref="F50">population!F44</f>
        <v>107379</v>
      </c>
      <c r="G50" s="55">
        <f t="array" ref="G50">population!G44</f>
        <v>101017</v>
      </c>
      <c r="H50" s="55">
        <f t="array" ref="H50">population!H44</f>
        <v>648135</v>
      </c>
      <c r="I50" s="55">
        <f t="array" ref="I50">population!I44</f>
        <v>208396</v>
      </c>
      <c r="J50" s="55">
        <f t="array" ref="J50">population!J44</f>
        <v>436022</v>
      </c>
      <c r="K50" s="55">
        <f t="array" ref="K50">population!K44</f>
        <v>420509</v>
      </c>
      <c r="L50" s="55"/>
      <c r="M50" s="1"/>
      <c r="N50" s="1"/>
      <c r="O50" s="1"/>
      <c r="P50" s="1"/>
      <c r="Q50" s="1"/>
      <c r="R50" s="1"/>
      <c r="S50" s="1"/>
      <c r="T50" s="1"/>
      <c r="U50" s="1"/>
      <c r="V50" s="1"/>
      <c r="W50" s="1"/>
      <c r="X50" s="1"/>
      <c r="Y50" s="1"/>
      <c r="Z50" s="1"/>
    </row>
    <row r="51" spans="1:26" ht="19.5" customHeight="1">
      <c r="A51" s="139" t="str">
        <f t="array" ref="A51">population!$A45</f>
        <v>p36</v>
      </c>
      <c r="B51" s="55"/>
      <c r="C51" s="55">
        <f t="array" ref="C51">population!C45</f>
        <v>865411</v>
      </c>
      <c r="D51" s="55">
        <f t="array" ref="D51">population!D45</f>
        <v>332723</v>
      </c>
      <c r="E51" s="55">
        <f t="array" ref="E51">population!E45</f>
        <v>322124</v>
      </c>
      <c r="F51" s="55">
        <f t="array" ref="F51">population!F45</f>
        <v>108611</v>
      </c>
      <c r="G51" s="55">
        <f t="array" ref="G51">population!G45</f>
        <v>101953</v>
      </c>
      <c r="H51" s="55">
        <f t="array" ref="H51">population!H45</f>
        <v>654847</v>
      </c>
      <c r="I51" s="55">
        <f t="array" ref="I51">population!I45</f>
        <v>210564</v>
      </c>
      <c r="J51" s="55">
        <f t="array" ref="J51">population!J45</f>
        <v>441334</v>
      </c>
      <c r="K51" s="55">
        <f t="array" ref="K51">population!K45</f>
        <v>424077</v>
      </c>
      <c r="L51" s="55"/>
      <c r="M51" s="1"/>
      <c r="N51" s="1"/>
      <c r="O51" s="1"/>
      <c r="P51" s="1"/>
      <c r="Q51" s="1"/>
      <c r="R51" s="1"/>
      <c r="S51" s="1"/>
      <c r="T51" s="1"/>
      <c r="U51" s="1"/>
      <c r="V51" s="1"/>
      <c r="W51" s="1"/>
      <c r="X51" s="1"/>
      <c r="Y51" s="1"/>
      <c r="Z51" s="1"/>
    </row>
    <row r="52" spans="1:26" ht="19.5" customHeight="1">
      <c r="A52" s="139" t="str">
        <f t="array" ref="A52">population!$A46</f>
        <v>p37</v>
      </c>
      <c r="B52" s="55"/>
      <c r="C52" s="55">
        <f t="array" ref="C52">population!C46</f>
        <v>867356</v>
      </c>
      <c r="D52" s="55">
        <f t="array" ref="D52">population!D46</f>
        <v>335031</v>
      </c>
      <c r="E52" s="55">
        <f t="array" ref="E52">population!E46</f>
        <v>321270</v>
      </c>
      <c r="F52" s="55">
        <f t="array" ref="F52">population!F46</f>
        <v>109130</v>
      </c>
      <c r="G52" s="55">
        <f t="array" ref="G52">population!G46</f>
        <v>101925</v>
      </c>
      <c r="H52" s="55">
        <f t="array" ref="H52">population!H46</f>
        <v>656301</v>
      </c>
      <c r="I52" s="55">
        <f t="array" ref="I52">population!I46</f>
        <v>211055</v>
      </c>
      <c r="J52" s="55">
        <f t="array" ref="J52">population!J46</f>
        <v>444161</v>
      </c>
      <c r="K52" s="55">
        <f t="array" ref="K52">population!K46</f>
        <v>423195</v>
      </c>
      <c r="L52" s="55"/>
      <c r="M52" s="1"/>
      <c r="N52" s="1"/>
      <c r="O52" s="1"/>
      <c r="P52" s="1"/>
      <c r="Q52" s="1"/>
      <c r="R52" s="1"/>
      <c r="S52" s="1"/>
      <c r="T52" s="1"/>
      <c r="U52" s="1"/>
      <c r="V52" s="1"/>
      <c r="W52" s="1"/>
      <c r="X52" s="1"/>
      <c r="Y52" s="1"/>
      <c r="Z52" s="1"/>
    </row>
    <row r="53" spans="1:26" ht="19.5" customHeight="1">
      <c r="A53" s="139" t="str">
        <f t="array" ref="A53">population!$A47</f>
        <v>p38</v>
      </c>
      <c r="B53" s="55"/>
      <c r="C53" s="55">
        <f t="array" ref="C53">population!C47</f>
        <v>873874</v>
      </c>
      <c r="D53" s="55">
        <f t="array" ref="D53">population!D47</f>
        <v>337894</v>
      </c>
      <c r="E53" s="55">
        <f t="array" ref="E53">population!E47</f>
        <v>323334</v>
      </c>
      <c r="F53" s="55">
        <f t="array" ref="F53">population!F47</f>
        <v>110012</v>
      </c>
      <c r="G53" s="55">
        <f t="array" ref="G53">population!G47</f>
        <v>102634</v>
      </c>
      <c r="H53" s="55">
        <f t="array" ref="H53">population!H47</f>
        <v>661228</v>
      </c>
      <c r="I53" s="55">
        <f t="array" ref="I53">population!I47</f>
        <v>212646</v>
      </c>
      <c r="J53" s="55">
        <f t="array" ref="J53">population!J47</f>
        <v>447906</v>
      </c>
      <c r="K53" s="55">
        <f t="array" ref="K53">population!K47</f>
        <v>425968</v>
      </c>
      <c r="L53" s="55"/>
      <c r="M53" s="1"/>
      <c r="N53" s="1"/>
      <c r="O53" s="1"/>
      <c r="P53" s="1"/>
      <c r="Q53" s="1"/>
      <c r="R53" s="1"/>
      <c r="S53" s="1"/>
      <c r="T53" s="1"/>
      <c r="U53" s="1"/>
      <c r="V53" s="1"/>
      <c r="W53" s="1"/>
      <c r="X53" s="1"/>
      <c r="Y53" s="1"/>
      <c r="Z53" s="1"/>
    </row>
    <row r="54" spans="1:26" ht="19.5" customHeight="1">
      <c r="A54" s="139" t="str">
        <f t="array" ref="A54">population!$A48</f>
        <v>p39</v>
      </c>
      <c r="B54" s="55"/>
      <c r="C54" s="55">
        <f t="array" ref="C54">population!C48</f>
        <v>870781</v>
      </c>
      <c r="D54" s="55">
        <f t="array" ref="D54">population!D48</f>
        <v>336806</v>
      </c>
      <c r="E54" s="55">
        <f t="array" ref="E54">population!E48</f>
        <v>322081</v>
      </c>
      <c r="F54" s="55">
        <f t="array" ref="F54">population!F48</f>
        <v>109641</v>
      </c>
      <c r="G54" s="55">
        <f t="array" ref="G54">population!G48</f>
        <v>102253</v>
      </c>
      <c r="H54" s="55">
        <f t="array" ref="H54">population!H48</f>
        <v>658887</v>
      </c>
      <c r="I54" s="55">
        <f t="array" ref="I54">population!I48</f>
        <v>211894</v>
      </c>
      <c r="J54" s="55">
        <f t="array" ref="J54">population!J48</f>
        <v>446447</v>
      </c>
      <c r="K54" s="55">
        <f t="array" ref="K54">population!K48</f>
        <v>424334</v>
      </c>
      <c r="L54" s="55"/>
      <c r="M54" s="1"/>
      <c r="N54" s="1"/>
      <c r="O54" s="1"/>
      <c r="P54" s="1"/>
      <c r="Q54" s="1"/>
      <c r="R54" s="1"/>
      <c r="S54" s="1"/>
      <c r="T54" s="1"/>
      <c r="U54" s="1"/>
      <c r="V54" s="1"/>
      <c r="W54" s="1"/>
      <c r="X54" s="1"/>
      <c r="Y54" s="1"/>
      <c r="Z54" s="1"/>
    </row>
    <row r="55" spans="1:26" ht="19.5" customHeight="1">
      <c r="A55" s="139" t="str">
        <f t="array" ref="A55">population!$A49</f>
        <v>p40</v>
      </c>
      <c r="B55" s="55"/>
      <c r="C55" s="55">
        <f t="array" ref="C55">population!C49</f>
        <v>858171</v>
      </c>
      <c r="D55" s="55">
        <f t="array" ref="D55">population!D49</f>
        <v>333571</v>
      </c>
      <c r="E55" s="55">
        <f t="array" ref="E55">population!E49</f>
        <v>315756</v>
      </c>
      <c r="F55" s="55">
        <f t="array" ref="F55">population!F49</f>
        <v>108343</v>
      </c>
      <c r="G55" s="55">
        <f t="array" ref="G55">population!G49</f>
        <v>100501</v>
      </c>
      <c r="H55" s="55">
        <f t="array" ref="H55">population!H49</f>
        <v>649327</v>
      </c>
      <c r="I55" s="55">
        <f t="array" ref="I55">population!I49</f>
        <v>208844</v>
      </c>
      <c r="J55" s="55">
        <f t="array" ref="J55">population!J49</f>
        <v>441914</v>
      </c>
      <c r="K55" s="55">
        <f t="array" ref="K55">population!K49</f>
        <v>416257</v>
      </c>
      <c r="L55" s="55"/>
      <c r="M55" s="1"/>
      <c r="N55" s="1"/>
      <c r="O55" s="1"/>
      <c r="P55" s="1"/>
      <c r="Q55" s="1"/>
      <c r="R55" s="1"/>
      <c r="S55" s="1"/>
      <c r="T55" s="1"/>
      <c r="U55" s="1"/>
      <c r="V55" s="1"/>
      <c r="W55" s="1"/>
      <c r="X55" s="1"/>
      <c r="Y55" s="1"/>
      <c r="Z55" s="1"/>
    </row>
    <row r="56" spans="1:26" ht="19.5" customHeight="1">
      <c r="A56" s="139" t="str">
        <f t="array" ref="A56">population!$A50</f>
        <v>p41</v>
      </c>
      <c r="B56" s="55"/>
      <c r="C56" s="55">
        <f t="array" ref="C56">population!C50</f>
        <v>846701</v>
      </c>
      <c r="D56" s="55">
        <f t="array" ref="D56">population!D50</f>
        <v>329041</v>
      </c>
      <c r="E56" s="55">
        <f t="array" ref="E56">population!E50</f>
        <v>311608</v>
      </c>
      <c r="F56" s="55">
        <f t="array" ref="F56">population!F50</f>
        <v>106883</v>
      </c>
      <c r="G56" s="55">
        <f t="array" ref="G56">population!G50</f>
        <v>99169</v>
      </c>
      <c r="H56" s="55">
        <f t="array" ref="H56">population!H50</f>
        <v>640649</v>
      </c>
      <c r="I56" s="55">
        <f t="array" ref="I56">population!I50</f>
        <v>206052</v>
      </c>
      <c r="J56" s="55">
        <f t="array" ref="J56">population!J50</f>
        <v>435924</v>
      </c>
      <c r="K56" s="55">
        <f t="array" ref="K56">population!K50</f>
        <v>410777</v>
      </c>
      <c r="L56" s="55"/>
      <c r="M56" s="1"/>
      <c r="N56" s="1"/>
      <c r="O56" s="1"/>
      <c r="P56" s="1"/>
      <c r="Q56" s="1"/>
      <c r="R56" s="1"/>
      <c r="S56" s="1"/>
      <c r="T56" s="1"/>
      <c r="U56" s="1"/>
      <c r="V56" s="1"/>
      <c r="W56" s="1"/>
      <c r="X56" s="1"/>
      <c r="Y56" s="1"/>
      <c r="Z56" s="1"/>
    </row>
    <row r="57" spans="1:26" ht="19.5" customHeight="1">
      <c r="A57" s="139" t="str">
        <f t="array" ref="A57">population!$A51</f>
        <v>p42</v>
      </c>
      <c r="B57" s="55"/>
      <c r="C57" s="55">
        <f t="array" ref="C57">population!C51</f>
        <v>889902</v>
      </c>
      <c r="D57" s="55">
        <f t="array" ref="D57">population!D51</f>
        <v>343127</v>
      </c>
      <c r="E57" s="55">
        <f t="array" ref="E57">population!E51</f>
        <v>330241</v>
      </c>
      <c r="F57" s="55">
        <f t="array" ref="F57">population!F51</f>
        <v>111859</v>
      </c>
      <c r="G57" s="55">
        <f t="array" ref="G57">population!G51</f>
        <v>104675</v>
      </c>
      <c r="H57" s="55">
        <f t="array" ref="H57">population!H51</f>
        <v>673368</v>
      </c>
      <c r="I57" s="55">
        <f t="array" ref="I57">population!I51</f>
        <v>216534</v>
      </c>
      <c r="J57" s="55">
        <f t="array" ref="J57">population!J51</f>
        <v>454986</v>
      </c>
      <c r="K57" s="55">
        <f t="array" ref="K57">population!K51</f>
        <v>434916</v>
      </c>
      <c r="L57" s="55"/>
      <c r="M57" s="1"/>
      <c r="N57" s="1"/>
      <c r="O57" s="1"/>
      <c r="P57" s="1"/>
      <c r="Q57" s="1"/>
      <c r="R57" s="1"/>
      <c r="S57" s="1"/>
      <c r="T57" s="1"/>
      <c r="U57" s="1"/>
      <c r="V57" s="1"/>
      <c r="W57" s="1"/>
      <c r="X57" s="1"/>
      <c r="Y57" s="1"/>
      <c r="Z57" s="1"/>
    </row>
    <row r="58" spans="1:26" ht="19.5" customHeight="1">
      <c r="A58" s="139" t="str">
        <f t="array" ref="A58">population!$A52</f>
        <v>p43</v>
      </c>
      <c r="B58" s="55"/>
      <c r="C58" s="55">
        <f t="array" ref="C58">population!C52</f>
        <v>890740</v>
      </c>
      <c r="D58" s="55">
        <f t="array" ref="D58">population!D52</f>
        <v>343116</v>
      </c>
      <c r="E58" s="55">
        <f t="array" ref="E58">population!E52</f>
        <v>330890</v>
      </c>
      <c r="F58" s="55">
        <f t="array" ref="F58">population!F52</f>
        <v>111905</v>
      </c>
      <c r="G58" s="55">
        <f t="array" ref="G58">population!G52</f>
        <v>104829</v>
      </c>
      <c r="H58" s="55">
        <f t="array" ref="H58">population!H52</f>
        <v>674006</v>
      </c>
      <c r="I58" s="55">
        <f t="array" ref="I58">population!I52</f>
        <v>216734</v>
      </c>
      <c r="J58" s="55">
        <f t="array" ref="J58">population!J52</f>
        <v>455021</v>
      </c>
      <c r="K58" s="55">
        <f t="array" ref="K58">population!K52</f>
        <v>435719</v>
      </c>
      <c r="L58" s="55"/>
      <c r="M58" s="1"/>
      <c r="N58" s="1"/>
      <c r="O58" s="1"/>
      <c r="P58" s="1"/>
      <c r="Q58" s="1"/>
      <c r="R58" s="1"/>
      <c r="S58" s="1"/>
      <c r="T58" s="1"/>
      <c r="U58" s="1"/>
      <c r="V58" s="1"/>
      <c r="W58" s="1"/>
      <c r="X58" s="1"/>
      <c r="Y58" s="1"/>
      <c r="Z58" s="1"/>
    </row>
    <row r="59" spans="1:26" ht="19.5" customHeight="1">
      <c r="A59" s="139" t="str">
        <f t="array" ref="A59">population!$A53</f>
        <v>p44</v>
      </c>
      <c r="B59" s="55"/>
      <c r="C59" s="55">
        <f t="array" ref="C59">population!C53</f>
        <v>908103</v>
      </c>
      <c r="D59" s="55">
        <f t="array" ref="D59">population!D53</f>
        <v>349801</v>
      </c>
      <c r="E59" s="55">
        <f t="array" ref="E59">population!E53</f>
        <v>337343</v>
      </c>
      <c r="F59" s="55">
        <f t="array" ref="F59">population!F53</f>
        <v>114086</v>
      </c>
      <c r="G59" s="55">
        <f t="array" ref="G59">population!G53</f>
        <v>106873</v>
      </c>
      <c r="H59" s="55">
        <f t="array" ref="H59">population!H53</f>
        <v>687144</v>
      </c>
      <c r="I59" s="55">
        <f t="array" ref="I59">population!I53</f>
        <v>220959</v>
      </c>
      <c r="J59" s="55">
        <f t="array" ref="J59">population!J53</f>
        <v>463887</v>
      </c>
      <c r="K59" s="55">
        <f t="array" ref="K59">population!K53</f>
        <v>444216</v>
      </c>
      <c r="L59" s="55"/>
      <c r="M59" s="1"/>
      <c r="N59" s="1"/>
      <c r="O59" s="1"/>
      <c r="P59" s="1"/>
      <c r="Q59" s="1"/>
      <c r="R59" s="1"/>
      <c r="S59" s="1"/>
      <c r="T59" s="1"/>
      <c r="U59" s="1"/>
      <c r="V59" s="1"/>
      <c r="W59" s="1"/>
      <c r="X59" s="1"/>
      <c r="Y59" s="1"/>
      <c r="Z59" s="1"/>
    </row>
    <row r="60" spans="1:26" ht="19.5" customHeight="1">
      <c r="A60" s="139" t="str">
        <f t="array" ref="A60">population!$A54</f>
        <v>p45</v>
      </c>
      <c r="B60" s="55"/>
      <c r="C60" s="55">
        <f t="array" ref="C60">population!C54</f>
        <v>853130</v>
      </c>
      <c r="D60" s="55">
        <f t="array" ref="D60">population!D54</f>
        <v>327983</v>
      </c>
      <c r="E60" s="55">
        <f t="array" ref="E60">population!E54</f>
        <v>317570</v>
      </c>
      <c r="F60" s="55">
        <f t="array" ref="F60">population!F54</f>
        <v>107067</v>
      </c>
      <c r="G60" s="55">
        <f t="array" ref="G60">population!G54</f>
        <v>100510</v>
      </c>
      <c r="H60" s="55">
        <f t="array" ref="H60">population!H54</f>
        <v>645553</v>
      </c>
      <c r="I60" s="55">
        <f t="array" ref="I60">population!I54</f>
        <v>207577</v>
      </c>
      <c r="J60" s="55">
        <f t="array" ref="J60">population!J54</f>
        <v>435050</v>
      </c>
      <c r="K60" s="55">
        <f t="array" ref="K60">population!K54</f>
        <v>418080</v>
      </c>
      <c r="L60" s="55"/>
      <c r="M60" s="1"/>
      <c r="N60" s="1"/>
      <c r="O60" s="1"/>
      <c r="P60" s="1"/>
      <c r="Q60" s="1"/>
      <c r="R60" s="1"/>
      <c r="S60" s="1"/>
      <c r="T60" s="1"/>
      <c r="U60" s="1"/>
      <c r="V60" s="1"/>
      <c r="W60" s="1"/>
      <c r="X60" s="1"/>
      <c r="Y60" s="1"/>
      <c r="Z60" s="1"/>
    </row>
    <row r="61" spans="1:26" ht="19.5" customHeight="1">
      <c r="A61" s="139" t="str">
        <f t="array" ref="A61">population!$A55</f>
        <v>p46</v>
      </c>
      <c r="B61" s="55"/>
      <c r="C61" s="55">
        <f t="array" ref="C61">population!C55</f>
        <v>834481</v>
      </c>
      <c r="D61" s="55">
        <f t="array" ref="D61">population!D55</f>
        <v>319398</v>
      </c>
      <c r="E61" s="55">
        <f t="array" ref="E61">population!E55</f>
        <v>312061</v>
      </c>
      <c r="F61" s="55">
        <f t="array" ref="F61">population!F55</f>
        <v>104476</v>
      </c>
      <c r="G61" s="55">
        <f t="array" ref="G61">population!G55</f>
        <v>98546</v>
      </c>
      <c r="H61" s="55">
        <f t="array" ref="H61">population!H55</f>
        <v>631459</v>
      </c>
      <c r="I61" s="55">
        <f t="array" ref="I61">population!I55</f>
        <v>203022</v>
      </c>
      <c r="J61" s="55">
        <f t="array" ref="J61">population!J55</f>
        <v>423874</v>
      </c>
      <c r="K61" s="55">
        <f t="array" ref="K61">population!K55</f>
        <v>410607</v>
      </c>
      <c r="L61" s="55"/>
      <c r="M61" s="1"/>
      <c r="N61" s="1"/>
      <c r="O61" s="1"/>
      <c r="P61" s="1"/>
      <c r="Q61" s="1"/>
      <c r="R61" s="1"/>
      <c r="S61" s="1"/>
      <c r="T61" s="1"/>
      <c r="U61" s="1"/>
      <c r="V61" s="1"/>
      <c r="W61" s="1"/>
      <c r="X61" s="1"/>
      <c r="Y61" s="1"/>
      <c r="Z61" s="1"/>
    </row>
    <row r="62" spans="1:26" ht="19.5" customHeight="1">
      <c r="A62" s="139" t="str">
        <f t="array" ref="A62">population!$A56</f>
        <v>p47</v>
      </c>
      <c r="B62" s="55"/>
      <c r="C62" s="55">
        <f t="array" ref="C62">population!C56</f>
        <v>835195</v>
      </c>
      <c r="D62" s="55">
        <f t="array" ref="D62">population!D56</f>
        <v>318312</v>
      </c>
      <c r="E62" s="55">
        <f t="array" ref="E62">population!E56</f>
        <v>313702</v>
      </c>
      <c r="F62" s="55">
        <f t="array" ref="F62">population!F56</f>
        <v>104326</v>
      </c>
      <c r="G62" s="55">
        <f t="array" ref="G62">population!G56</f>
        <v>98855</v>
      </c>
      <c r="H62" s="55">
        <f t="array" ref="H62">population!H56</f>
        <v>632014</v>
      </c>
      <c r="I62" s="55">
        <f t="array" ref="I62">population!I56</f>
        <v>203181</v>
      </c>
      <c r="J62" s="55">
        <f t="array" ref="J62">population!J56</f>
        <v>422638</v>
      </c>
      <c r="K62" s="55">
        <f t="array" ref="K62">population!K56</f>
        <v>412557</v>
      </c>
      <c r="L62" s="55"/>
      <c r="M62" s="1"/>
      <c r="N62" s="1"/>
      <c r="O62" s="1"/>
      <c r="P62" s="1"/>
      <c r="Q62" s="1"/>
      <c r="R62" s="1"/>
      <c r="S62" s="1"/>
      <c r="T62" s="1"/>
      <c r="U62" s="1"/>
      <c r="V62" s="1"/>
      <c r="W62" s="1"/>
      <c r="X62" s="1"/>
      <c r="Y62" s="1"/>
      <c r="Z62" s="1"/>
    </row>
    <row r="63" spans="1:26" ht="19.5" customHeight="1">
      <c r="A63" s="139" t="str">
        <f t="array" ref="A63">population!$A57</f>
        <v>p48</v>
      </c>
      <c r="B63" s="55"/>
      <c r="C63" s="55">
        <f t="array" ref="C63">population!C57</f>
        <v>808453</v>
      </c>
      <c r="D63" s="55">
        <f t="array" ref="D63">population!D57</f>
        <v>307557</v>
      </c>
      <c r="E63" s="55">
        <f t="array" ref="E63">population!E57</f>
        <v>304227</v>
      </c>
      <c r="F63" s="55">
        <f t="array" ref="F63">population!F57</f>
        <v>100886</v>
      </c>
      <c r="G63" s="55">
        <f t="array" ref="G63">population!G57</f>
        <v>95783</v>
      </c>
      <c r="H63" s="55">
        <f t="array" ref="H63">population!H57</f>
        <v>611784</v>
      </c>
      <c r="I63" s="55">
        <f t="array" ref="I63">population!I57</f>
        <v>196669</v>
      </c>
      <c r="J63" s="55">
        <f t="array" ref="J63">population!J57</f>
        <v>408443</v>
      </c>
      <c r="K63" s="55">
        <f t="array" ref="K63">population!K57</f>
        <v>400010</v>
      </c>
      <c r="L63" s="55"/>
      <c r="M63" s="1"/>
      <c r="N63" s="1"/>
      <c r="O63" s="1"/>
      <c r="P63" s="1"/>
      <c r="Q63" s="1"/>
      <c r="R63" s="1"/>
      <c r="S63" s="1"/>
      <c r="T63" s="1"/>
      <c r="U63" s="1"/>
      <c r="V63" s="1"/>
      <c r="W63" s="1"/>
      <c r="X63" s="1"/>
      <c r="Y63" s="1"/>
      <c r="Z63" s="1"/>
    </row>
    <row r="64" spans="1:26" ht="19.5" customHeight="1">
      <c r="A64" s="139" t="str">
        <f t="array" ref="A64">population!$A58</f>
        <v>p49</v>
      </c>
      <c r="B64" s="55"/>
      <c r="C64" s="55">
        <f t="array" ref="C64">population!C58</f>
        <v>830975</v>
      </c>
      <c r="D64" s="55">
        <f t="array" ref="D64">population!D58</f>
        <v>316349</v>
      </c>
      <c r="E64" s="55">
        <f t="array" ref="E64">population!E58</f>
        <v>312476</v>
      </c>
      <c r="F64" s="55">
        <f t="array" ref="F64">population!F58</f>
        <v>103736</v>
      </c>
      <c r="G64" s="55">
        <f t="array" ref="G64">population!G58</f>
        <v>98414</v>
      </c>
      <c r="H64" s="55">
        <f t="array" ref="H64">population!H58</f>
        <v>628825</v>
      </c>
      <c r="I64" s="55">
        <f t="array" ref="I64">population!I58</f>
        <v>202150</v>
      </c>
      <c r="J64" s="55">
        <f t="array" ref="J64">population!J58</f>
        <v>420085</v>
      </c>
      <c r="K64" s="55">
        <f t="array" ref="K64">population!K58</f>
        <v>410890</v>
      </c>
      <c r="L64" s="55"/>
      <c r="M64" s="1"/>
      <c r="N64" s="1"/>
      <c r="O64" s="1"/>
      <c r="P64" s="1"/>
      <c r="Q64" s="1"/>
      <c r="R64" s="1"/>
      <c r="S64" s="1"/>
      <c r="T64" s="1"/>
      <c r="U64" s="1"/>
      <c r="V64" s="1"/>
      <c r="W64" s="1"/>
      <c r="X64" s="1"/>
      <c r="Y64" s="1"/>
      <c r="Z64" s="1"/>
    </row>
    <row r="65" spans="1:26" ht="19.5" customHeight="1">
      <c r="A65" s="139" t="str">
        <f t="array" ref="A65">population!$A59</f>
        <v>p50</v>
      </c>
      <c r="B65" s="55"/>
      <c r="C65" s="55">
        <f t="array" ref="C65">population!C59</f>
        <v>870719</v>
      </c>
      <c r="D65" s="55">
        <f t="array" ref="D65">population!D59</f>
        <v>330925</v>
      </c>
      <c r="E65" s="55">
        <f t="array" ref="E65">population!E59</f>
        <v>327981</v>
      </c>
      <c r="F65" s="55">
        <f t="array" ref="F65">population!F59</f>
        <v>108600</v>
      </c>
      <c r="G65" s="55">
        <f t="array" ref="G65">population!G59</f>
        <v>103213</v>
      </c>
      <c r="H65" s="55">
        <f t="array" ref="H65">population!H59</f>
        <v>658906</v>
      </c>
      <c r="I65" s="55">
        <f t="array" ref="I65">population!I59</f>
        <v>211813</v>
      </c>
      <c r="J65" s="55">
        <f t="array" ref="J65">population!J59</f>
        <v>439525</v>
      </c>
      <c r="K65" s="55">
        <f t="array" ref="K65">population!K59</f>
        <v>431194</v>
      </c>
      <c r="L65" s="55"/>
      <c r="M65" s="1"/>
      <c r="N65" s="1"/>
      <c r="O65" s="1"/>
      <c r="P65" s="1"/>
      <c r="Q65" s="1"/>
      <c r="R65" s="1"/>
      <c r="S65" s="1"/>
      <c r="T65" s="1"/>
      <c r="U65" s="1"/>
      <c r="V65" s="1"/>
      <c r="W65" s="1"/>
      <c r="X65" s="1"/>
      <c r="Y65" s="1"/>
      <c r="Z65" s="1"/>
    </row>
    <row r="66" spans="1:26" ht="19.5" customHeight="1">
      <c r="A66" s="139" t="str">
        <f t="array" ref="A66">population!$A60</f>
        <v>p51</v>
      </c>
      <c r="B66" s="55"/>
      <c r="C66" s="55">
        <f t="array" ref="C66">population!C60</f>
        <v>910858</v>
      </c>
      <c r="D66" s="55">
        <f t="array" ref="D66">population!D60</f>
        <v>347307</v>
      </c>
      <c r="E66" s="55">
        <f t="array" ref="E66">population!E60</f>
        <v>341961</v>
      </c>
      <c r="F66" s="55">
        <f t="array" ref="F66">population!F60</f>
        <v>113805</v>
      </c>
      <c r="G66" s="55">
        <f t="array" ref="G66">population!G60</f>
        <v>107785</v>
      </c>
      <c r="H66" s="55">
        <f t="array" ref="H66">population!H60</f>
        <v>689268</v>
      </c>
      <c r="I66" s="55">
        <f t="array" ref="I66">population!I60</f>
        <v>221590</v>
      </c>
      <c r="J66" s="55">
        <f t="array" ref="J66">population!J60</f>
        <v>461112</v>
      </c>
      <c r="K66" s="55">
        <f t="array" ref="K66">population!K60</f>
        <v>449746</v>
      </c>
      <c r="L66" s="55"/>
      <c r="M66" s="1"/>
      <c r="N66" s="1"/>
      <c r="O66" s="1"/>
      <c r="P66" s="1"/>
      <c r="Q66" s="1"/>
      <c r="R66" s="1"/>
      <c r="S66" s="1"/>
      <c r="T66" s="1"/>
      <c r="U66" s="1"/>
      <c r="V66" s="1"/>
      <c r="W66" s="1"/>
      <c r="X66" s="1"/>
      <c r="Y66" s="1"/>
      <c r="Z66" s="1"/>
    </row>
    <row r="67" spans="1:26" ht="19.5" customHeight="1">
      <c r="A67" s="139" t="str">
        <f t="array" ref="A67">population!$A61</f>
        <v>p52</v>
      </c>
      <c r="B67" s="55"/>
      <c r="C67" s="55">
        <f t="array" ref="C67">population!C61</f>
        <v>929226</v>
      </c>
      <c r="D67" s="55">
        <f t="array" ref="D67">population!D61</f>
        <v>352762</v>
      </c>
      <c r="E67" s="55">
        <f t="array" ref="E67">population!E61</f>
        <v>350424</v>
      </c>
      <c r="F67" s="55">
        <f t="array" ref="F67">population!F61</f>
        <v>115826</v>
      </c>
      <c r="G67" s="55">
        <f t="array" ref="G67">population!G61</f>
        <v>110214</v>
      </c>
      <c r="H67" s="55">
        <f t="array" ref="H67">population!H61</f>
        <v>703186</v>
      </c>
      <c r="I67" s="55">
        <f t="array" ref="I67">population!I61</f>
        <v>226040</v>
      </c>
      <c r="J67" s="55">
        <f t="array" ref="J67">population!J61</f>
        <v>468588</v>
      </c>
      <c r="K67" s="55">
        <f t="array" ref="K67">population!K61</f>
        <v>460638</v>
      </c>
      <c r="L67" s="55"/>
      <c r="M67" s="1"/>
      <c r="N67" s="1"/>
      <c r="O67" s="1"/>
      <c r="P67" s="1"/>
      <c r="Q67" s="1"/>
      <c r="R67" s="1"/>
      <c r="S67" s="1"/>
      <c r="T67" s="1"/>
      <c r="U67" s="1"/>
      <c r="V67" s="1"/>
      <c r="W67" s="1"/>
      <c r="X67" s="1"/>
      <c r="Y67" s="1"/>
      <c r="Z67" s="1"/>
    </row>
    <row r="68" spans="1:26" ht="19.5" customHeight="1">
      <c r="A68" s="139" t="str">
        <f t="array" ref="A68">population!$A62</f>
        <v>p53</v>
      </c>
      <c r="B68" s="55"/>
      <c r="C68" s="55">
        <f t="array" ref="C68">population!C62</f>
        <v>922084</v>
      </c>
      <c r="D68" s="55">
        <f t="array" ref="D68">population!D62</f>
        <v>351752</v>
      </c>
      <c r="E68" s="55">
        <f t="array" ref="E68">population!E62</f>
        <v>346009</v>
      </c>
      <c r="F68" s="55">
        <f t="array" ref="F68">population!F62</f>
        <v>115237</v>
      </c>
      <c r="G68" s="55">
        <f t="array" ref="G68">population!G62</f>
        <v>109086</v>
      </c>
      <c r="H68" s="55">
        <f t="array" ref="H68">population!H62</f>
        <v>697761</v>
      </c>
      <c r="I68" s="55">
        <f t="array" ref="I68">population!I62</f>
        <v>224323</v>
      </c>
      <c r="J68" s="55">
        <f t="array" ref="J68">population!J62</f>
        <v>466989</v>
      </c>
      <c r="K68" s="55">
        <f t="array" ref="K68">population!K62</f>
        <v>455095</v>
      </c>
      <c r="L68" s="55"/>
      <c r="M68" s="1"/>
      <c r="N68" s="1"/>
      <c r="O68" s="1"/>
      <c r="P68" s="1"/>
      <c r="Q68" s="1"/>
      <c r="R68" s="1"/>
      <c r="S68" s="1"/>
      <c r="T68" s="1"/>
      <c r="U68" s="1"/>
      <c r="V68" s="1"/>
      <c r="W68" s="1"/>
      <c r="X68" s="1"/>
      <c r="Y68" s="1"/>
      <c r="Z68" s="1"/>
    </row>
    <row r="69" spans="1:26" ht="19.5" customHeight="1">
      <c r="A69" s="139" t="str">
        <f t="array" ref="A69">population!$A63</f>
        <v>p54</v>
      </c>
      <c r="B69" s="55"/>
      <c r="C69" s="55">
        <f t="array" ref="C69">population!C63</f>
        <v>905091</v>
      </c>
      <c r="D69" s="55">
        <f t="array" ref="D69">population!D63</f>
        <v>345019</v>
      </c>
      <c r="E69" s="55">
        <f t="array" ref="E69">population!E63</f>
        <v>339886</v>
      </c>
      <c r="F69" s="55">
        <f t="array" ref="F69">population!F63</f>
        <v>113069</v>
      </c>
      <c r="G69" s="55">
        <f t="array" ref="G69">population!G63</f>
        <v>107117</v>
      </c>
      <c r="H69" s="55">
        <f t="array" ref="H69">population!H63</f>
        <v>684905</v>
      </c>
      <c r="I69" s="55">
        <f t="array" ref="I69">population!I63</f>
        <v>220186</v>
      </c>
      <c r="J69" s="55">
        <f t="array" ref="J69">population!J63</f>
        <v>458088</v>
      </c>
      <c r="K69" s="55">
        <f t="array" ref="K69">population!K63</f>
        <v>447003</v>
      </c>
      <c r="L69" s="55"/>
      <c r="M69" s="1"/>
      <c r="N69" s="1"/>
      <c r="O69" s="1"/>
      <c r="P69" s="1"/>
      <c r="Q69" s="1"/>
      <c r="R69" s="1"/>
      <c r="S69" s="1"/>
      <c r="T69" s="1"/>
      <c r="U69" s="1"/>
      <c r="V69" s="1"/>
      <c r="W69" s="1"/>
      <c r="X69" s="1"/>
      <c r="Y69" s="1"/>
      <c r="Z69" s="1"/>
    </row>
    <row r="70" spans="1:26" ht="19.5" customHeight="1">
      <c r="A70" s="139" t="str">
        <f t="array" ref="A70">population!$A64</f>
        <v>p55</v>
      </c>
      <c r="B70" s="55"/>
      <c r="C70" s="55">
        <f t="array" ref="C70">population!C64</f>
        <v>887758</v>
      </c>
      <c r="D70" s="55">
        <f t="array" ref="D70">population!D64</f>
        <v>380003</v>
      </c>
      <c r="E70" s="55">
        <f t="array" ref="E70">population!E64</f>
        <v>361993</v>
      </c>
      <c r="F70" s="55">
        <f t="array" ref="F70">population!F64</f>
        <v>70711</v>
      </c>
      <c r="G70" s="55">
        <f t="array" ref="G70">population!G64</f>
        <v>75051</v>
      </c>
      <c r="H70" s="55">
        <f t="array" ref="H70">population!H64</f>
        <v>741996</v>
      </c>
      <c r="I70" s="55">
        <f t="array" ref="I70">population!I64</f>
        <v>145762</v>
      </c>
      <c r="J70" s="55">
        <f t="array" ref="J70">population!J64</f>
        <v>450714</v>
      </c>
      <c r="K70" s="55">
        <f t="array" ref="K70">population!K64</f>
        <v>437044</v>
      </c>
      <c r="L70" s="55"/>
      <c r="M70" s="1"/>
      <c r="N70" s="1"/>
      <c r="O70" s="1"/>
      <c r="P70" s="1"/>
      <c r="Q70" s="1"/>
      <c r="R70" s="1"/>
      <c r="S70" s="1"/>
      <c r="T70" s="1"/>
      <c r="U70" s="1"/>
      <c r="V70" s="1"/>
      <c r="W70" s="1"/>
      <c r="X70" s="1"/>
      <c r="Y70" s="1"/>
      <c r="Z70" s="1"/>
    </row>
    <row r="71" spans="1:26" ht="19.5" customHeight="1">
      <c r="A71" s="139" t="str">
        <f t="array" ref="A71">population!$A65</f>
        <v>p56</v>
      </c>
      <c r="B71" s="55"/>
      <c r="C71" s="55">
        <f t="array" ref="C71">population!C65</f>
        <v>877124</v>
      </c>
      <c r="D71" s="55">
        <f t="array" ref="D71">population!D65</f>
        <v>377056</v>
      </c>
      <c r="E71" s="55">
        <f t="array" ref="E71">population!E65</f>
        <v>356075</v>
      </c>
      <c r="F71" s="55">
        <f t="array" ref="F71">population!F65</f>
        <v>70027</v>
      </c>
      <c r="G71" s="55">
        <f t="array" ref="G71">population!G65</f>
        <v>73966</v>
      </c>
      <c r="H71" s="55">
        <f t="array" ref="H71">population!H65</f>
        <v>733131</v>
      </c>
      <c r="I71" s="55">
        <f t="array" ref="I71">population!I65</f>
        <v>143993</v>
      </c>
      <c r="J71" s="55">
        <f t="array" ref="J71">population!J65</f>
        <v>447083</v>
      </c>
      <c r="K71" s="55">
        <f t="array" ref="K71">population!K65</f>
        <v>430041</v>
      </c>
      <c r="L71" s="55"/>
      <c r="M71" s="1"/>
      <c r="N71" s="1"/>
      <c r="O71" s="1"/>
      <c r="P71" s="1"/>
      <c r="Q71" s="1"/>
      <c r="R71" s="1"/>
      <c r="S71" s="1"/>
      <c r="T71" s="1"/>
      <c r="U71" s="1"/>
      <c r="V71" s="1"/>
      <c r="W71" s="1"/>
      <c r="X71" s="1"/>
      <c r="Y71" s="1"/>
      <c r="Z71" s="1"/>
    </row>
    <row r="72" spans="1:26" ht="19.5" customHeight="1">
      <c r="A72" s="139" t="str">
        <f t="array" ref="A72">population!$A66</f>
        <v>p57</v>
      </c>
      <c r="B72" s="55"/>
      <c r="C72" s="55">
        <f t="array" ref="C72">population!C66</f>
        <v>875691</v>
      </c>
      <c r="D72" s="55">
        <f t="array" ref="D72">population!D66</f>
        <v>375807</v>
      </c>
      <c r="E72" s="55">
        <f t="array" ref="E72">population!E66</f>
        <v>356117</v>
      </c>
      <c r="F72" s="55">
        <f t="array" ref="F72">population!F66</f>
        <v>69849</v>
      </c>
      <c r="G72" s="55">
        <f t="array" ref="G72">population!G66</f>
        <v>73918</v>
      </c>
      <c r="H72" s="55">
        <f t="array" ref="H72">population!H66</f>
        <v>731924</v>
      </c>
      <c r="I72" s="55">
        <f t="array" ref="I72">population!I66</f>
        <v>143767</v>
      </c>
      <c r="J72" s="55">
        <f t="array" ref="J72">population!J66</f>
        <v>445656</v>
      </c>
      <c r="K72" s="55">
        <f t="array" ref="K72">population!K66</f>
        <v>430035</v>
      </c>
      <c r="L72" s="55"/>
      <c r="M72" s="1"/>
      <c r="N72" s="1"/>
      <c r="O72" s="1"/>
      <c r="P72" s="1"/>
      <c r="Q72" s="1"/>
      <c r="R72" s="1"/>
      <c r="S72" s="1"/>
      <c r="T72" s="1"/>
      <c r="U72" s="1"/>
      <c r="V72" s="1"/>
      <c r="W72" s="1"/>
      <c r="X72" s="1"/>
      <c r="Y72" s="1"/>
      <c r="Z72" s="1"/>
    </row>
    <row r="73" spans="1:26" ht="19.5" customHeight="1">
      <c r="A73" s="139" t="str">
        <f t="array" ref="A73">population!$A67</f>
        <v>p58</v>
      </c>
      <c r="B73" s="55"/>
      <c r="C73" s="55">
        <f t="array" ref="C73">population!C67</f>
        <v>892406</v>
      </c>
      <c r="D73" s="55">
        <f t="array" ref="D73">population!D67</f>
        <v>383925</v>
      </c>
      <c r="E73" s="55">
        <f t="array" ref="E73">population!E67</f>
        <v>361983</v>
      </c>
      <c r="F73" s="55">
        <f t="array" ref="F73">population!F67</f>
        <v>71278</v>
      </c>
      <c r="G73" s="55">
        <f t="array" ref="G73">population!G67</f>
        <v>75220</v>
      </c>
      <c r="H73" s="55">
        <f t="array" ref="H73">population!H67</f>
        <v>745908</v>
      </c>
      <c r="I73" s="55">
        <f t="array" ref="I73">population!I67</f>
        <v>146498</v>
      </c>
      <c r="J73" s="55">
        <f t="array" ref="J73">population!J67</f>
        <v>455203</v>
      </c>
      <c r="K73" s="55">
        <f t="array" ref="K73">population!K67</f>
        <v>437203</v>
      </c>
      <c r="L73" s="55"/>
      <c r="M73" s="1"/>
      <c r="N73" s="1"/>
      <c r="O73" s="1"/>
      <c r="P73" s="1"/>
      <c r="Q73" s="1"/>
      <c r="R73" s="1"/>
      <c r="S73" s="1"/>
      <c r="T73" s="1"/>
      <c r="U73" s="1"/>
      <c r="V73" s="1"/>
      <c r="W73" s="1"/>
      <c r="X73" s="1"/>
      <c r="Y73" s="1"/>
      <c r="Z73" s="1"/>
    </row>
    <row r="74" spans="1:26" ht="19.5" customHeight="1">
      <c r="A74" s="139" t="str">
        <f t="array" ref="A74">population!$A68</f>
        <v>p59</v>
      </c>
      <c r="B74" s="55"/>
      <c r="C74" s="55">
        <f t="array" ref="C74">population!C68</f>
        <v>893293</v>
      </c>
      <c r="D74" s="55">
        <f t="array" ref="D74">population!D68</f>
        <v>385339</v>
      </c>
      <c r="E74" s="55">
        <f t="array" ref="E74">population!E68</f>
        <v>361325</v>
      </c>
      <c r="F74" s="55">
        <f t="array" ref="F74">population!F68</f>
        <v>71454</v>
      </c>
      <c r="G74" s="55">
        <f t="array" ref="G74">population!G68</f>
        <v>75175</v>
      </c>
      <c r="H74" s="55">
        <f t="array" ref="H74">population!H68</f>
        <v>746664</v>
      </c>
      <c r="I74" s="55">
        <f t="array" ref="I74">population!I68</f>
        <v>146629</v>
      </c>
      <c r="J74" s="55">
        <f t="array" ref="J74">population!J68</f>
        <v>456793</v>
      </c>
      <c r="K74" s="55">
        <f t="array" ref="K74">population!K68</f>
        <v>436500</v>
      </c>
      <c r="L74" s="55"/>
      <c r="M74" s="1"/>
      <c r="N74" s="1"/>
      <c r="O74" s="1"/>
      <c r="P74" s="1"/>
      <c r="Q74" s="1"/>
      <c r="R74" s="1"/>
      <c r="S74" s="1"/>
      <c r="T74" s="1"/>
      <c r="U74" s="1"/>
      <c r="V74" s="1"/>
      <c r="W74" s="1"/>
      <c r="X74" s="1"/>
      <c r="Y74" s="1"/>
      <c r="Z74" s="1"/>
    </row>
    <row r="75" spans="1:26" ht="19.5" customHeight="1">
      <c r="A75" s="139" t="str">
        <f t="array" ref="A75">population!$A69</f>
        <v>p60</v>
      </c>
      <c r="B75" s="55"/>
      <c r="C75" s="55">
        <f t="array" ref="C75">population!C69</f>
        <v>899489</v>
      </c>
      <c r="D75" s="55">
        <f t="array" ref="D75">population!D69</f>
        <v>389020</v>
      </c>
      <c r="E75" s="55">
        <f t="array" ref="E75">population!E69</f>
        <v>362837</v>
      </c>
      <c r="F75" s="55">
        <f t="array" ref="F75">population!F69</f>
        <v>72052</v>
      </c>
      <c r="G75" s="55">
        <f t="array" ref="G75">population!G69</f>
        <v>75580</v>
      </c>
      <c r="H75" s="55">
        <f t="array" ref="H75">population!H69</f>
        <v>751857</v>
      </c>
      <c r="I75" s="55">
        <f t="array" ref="I75">population!I69</f>
        <v>147632</v>
      </c>
      <c r="J75" s="55">
        <f t="array" ref="J75">population!J69</f>
        <v>461072</v>
      </c>
      <c r="K75" s="55">
        <f t="array" ref="K75">population!K69</f>
        <v>438417</v>
      </c>
      <c r="L75" s="55"/>
      <c r="M75" s="1"/>
      <c r="N75" s="1"/>
      <c r="O75" s="1"/>
      <c r="P75" s="1"/>
      <c r="Q75" s="1"/>
      <c r="R75" s="1"/>
      <c r="S75" s="1"/>
      <c r="T75" s="1"/>
      <c r="U75" s="1"/>
      <c r="V75" s="1"/>
      <c r="W75" s="1"/>
      <c r="X75" s="1"/>
      <c r="Y75" s="1"/>
      <c r="Z75" s="1"/>
    </row>
    <row r="76" spans="1:26" ht="19.5" customHeight="1">
      <c r="A76" s="139" t="str">
        <f t="array" ref="A76">population!$A70</f>
        <v>p61</v>
      </c>
      <c r="B76" s="55"/>
      <c r="C76" s="55">
        <f t="array" ref="C76">population!C70</f>
        <v>884400</v>
      </c>
      <c r="D76" s="55">
        <f t="array" ref="D76">population!D70</f>
        <v>385242</v>
      </c>
      <c r="E76" s="55">
        <f t="array" ref="E76">population!E70</f>
        <v>354042</v>
      </c>
      <c r="F76" s="55">
        <f t="array" ref="F76">population!F70</f>
        <v>71123</v>
      </c>
      <c r="G76" s="55">
        <f t="array" ref="G76">population!G70</f>
        <v>73993</v>
      </c>
      <c r="H76" s="55">
        <f t="array" ref="H76">population!H70</f>
        <v>739284</v>
      </c>
      <c r="I76" s="55">
        <f t="array" ref="I76">population!I70</f>
        <v>145116</v>
      </c>
      <c r="J76" s="55">
        <f t="array" ref="J76">population!J70</f>
        <v>456365</v>
      </c>
      <c r="K76" s="55">
        <f t="array" ref="K76">population!K70</f>
        <v>428035</v>
      </c>
      <c r="L76" s="55"/>
      <c r="M76" s="1"/>
      <c r="N76" s="1"/>
      <c r="O76" s="1"/>
      <c r="P76" s="1"/>
      <c r="Q76" s="1"/>
      <c r="R76" s="1"/>
      <c r="S76" s="1"/>
      <c r="T76" s="1"/>
      <c r="U76" s="1"/>
      <c r="V76" s="1"/>
      <c r="W76" s="1"/>
      <c r="X76" s="1"/>
      <c r="Y76" s="1"/>
      <c r="Z76" s="1"/>
    </row>
    <row r="77" spans="1:26" ht="19.5" customHeight="1">
      <c r="A77" s="139" t="str">
        <f t="array" ref="A77">population!$A71</f>
        <v>p62</v>
      </c>
      <c r="B77" s="55"/>
      <c r="C77" s="55">
        <f t="array" ref="C77">population!C71</f>
        <v>848932</v>
      </c>
      <c r="D77" s="55">
        <f t="array" ref="D77">population!D71</f>
        <v>369927</v>
      </c>
      <c r="E77" s="55">
        <f t="array" ref="E77">population!E71</f>
        <v>339711</v>
      </c>
      <c r="F77" s="55">
        <f t="array" ref="F77">population!F71</f>
        <v>68284</v>
      </c>
      <c r="G77" s="55">
        <f t="array" ref="G77">population!G71</f>
        <v>71010</v>
      </c>
      <c r="H77" s="55">
        <f t="array" ref="H77">population!H71</f>
        <v>709638</v>
      </c>
      <c r="I77" s="55">
        <f t="array" ref="I77">population!I71</f>
        <v>139294</v>
      </c>
      <c r="J77" s="55">
        <f t="array" ref="J77">population!J71</f>
        <v>438211</v>
      </c>
      <c r="K77" s="55">
        <f t="array" ref="K77">population!K71</f>
        <v>410721</v>
      </c>
      <c r="L77" s="55"/>
      <c r="M77" s="1"/>
      <c r="N77" s="1"/>
      <c r="O77" s="1"/>
      <c r="P77" s="1"/>
      <c r="Q77" s="1"/>
      <c r="R77" s="1"/>
      <c r="S77" s="1"/>
      <c r="T77" s="1"/>
      <c r="U77" s="1"/>
      <c r="V77" s="1"/>
      <c r="W77" s="1"/>
      <c r="X77" s="1"/>
      <c r="Y77" s="1"/>
      <c r="Z77" s="1"/>
    </row>
    <row r="78" spans="1:26" ht="19.5" customHeight="1">
      <c r="A78" s="139" t="str">
        <f t="array" ref="A78">population!$A72</f>
        <v>p63</v>
      </c>
      <c r="B78" s="55"/>
      <c r="C78" s="55">
        <f t="array" ref="C78">population!C72</f>
        <v>843681</v>
      </c>
      <c r="D78" s="55">
        <f t="array" ref="D78">population!D72</f>
        <v>368162</v>
      </c>
      <c r="E78" s="55">
        <f t="array" ref="E78">population!E72</f>
        <v>337094</v>
      </c>
      <c r="F78" s="55">
        <f t="array" ref="F78">population!F72</f>
        <v>67915</v>
      </c>
      <c r="G78" s="55">
        <f t="array" ref="G78">population!G72</f>
        <v>70510</v>
      </c>
      <c r="H78" s="55">
        <f t="array" ref="H78">population!H72</f>
        <v>705256</v>
      </c>
      <c r="I78" s="55">
        <f t="array" ref="I78">population!I72</f>
        <v>138425</v>
      </c>
      <c r="J78" s="55">
        <f t="array" ref="J78">population!J72</f>
        <v>436077</v>
      </c>
      <c r="K78" s="55">
        <f t="array" ref="K78">population!K72</f>
        <v>407604</v>
      </c>
      <c r="L78" s="55"/>
      <c r="M78" s="1"/>
      <c r="N78" s="1"/>
      <c r="O78" s="1"/>
      <c r="P78" s="1"/>
      <c r="Q78" s="1"/>
      <c r="R78" s="1"/>
      <c r="S78" s="1"/>
      <c r="T78" s="1"/>
      <c r="U78" s="1"/>
      <c r="V78" s="1"/>
      <c r="W78" s="1"/>
      <c r="X78" s="1"/>
      <c r="Y78" s="1"/>
      <c r="Z78" s="1"/>
    </row>
    <row r="79" spans="1:26" ht="19.5" customHeight="1">
      <c r="A79" s="139" t="str">
        <f t="array" ref="A79">population!$A73</f>
        <v>p64</v>
      </c>
      <c r="B79" s="55"/>
      <c r="C79" s="55">
        <f t="array" ref="C79">population!C73</f>
        <v>835504</v>
      </c>
      <c r="D79" s="55">
        <f t="array" ref="D79">population!D73</f>
        <v>366985</v>
      </c>
      <c r="E79" s="55">
        <f t="array" ref="E79">population!E73</f>
        <v>331469</v>
      </c>
      <c r="F79" s="55">
        <f t="array" ref="F79">population!F73</f>
        <v>67500</v>
      </c>
      <c r="G79" s="55">
        <f t="array" ref="G79">population!G73</f>
        <v>69550</v>
      </c>
      <c r="H79" s="55">
        <f t="array" ref="H79">population!H73</f>
        <v>698454</v>
      </c>
      <c r="I79" s="55">
        <f t="array" ref="I79">population!I73</f>
        <v>137050</v>
      </c>
      <c r="J79" s="55">
        <f t="array" ref="J79">population!J73</f>
        <v>434485</v>
      </c>
      <c r="K79" s="55">
        <f t="array" ref="K79">population!K73</f>
        <v>401019</v>
      </c>
      <c r="L79" s="55"/>
      <c r="M79" s="1"/>
      <c r="N79" s="1"/>
      <c r="O79" s="1"/>
      <c r="P79" s="1"/>
      <c r="Q79" s="1"/>
      <c r="R79" s="1"/>
      <c r="S79" s="1"/>
      <c r="T79" s="1"/>
      <c r="U79" s="1"/>
      <c r="V79" s="1"/>
      <c r="W79" s="1"/>
      <c r="X79" s="1"/>
      <c r="Y79" s="1"/>
      <c r="Z79" s="1"/>
    </row>
    <row r="80" spans="1:26" ht="19.5" customHeight="1">
      <c r="A80" s="139" t="str">
        <f t="array" ref="A80">population!$A74</f>
        <v>p65</v>
      </c>
      <c r="B80" s="55"/>
      <c r="C80" s="55">
        <f t="array" ref="C80">population!C74</f>
        <v>824730</v>
      </c>
      <c r="D80" s="55">
        <f t="array" ref="D80">population!D74</f>
        <v>363681</v>
      </c>
      <c r="E80" s="55">
        <f t="array" ref="E80">population!E74</f>
        <v>325786</v>
      </c>
      <c r="F80" s="55">
        <f t="array" ref="F80">population!F74</f>
        <v>66775</v>
      </c>
      <c r="G80" s="55">
        <f t="array" ref="G80">population!G74</f>
        <v>68488</v>
      </c>
      <c r="H80" s="55">
        <f t="array" ref="H80">population!H74</f>
        <v>689467</v>
      </c>
      <c r="I80" s="55">
        <f t="array" ref="I80">population!I74</f>
        <v>135263</v>
      </c>
      <c r="J80" s="55">
        <f t="array" ref="J80">population!J74</f>
        <v>430456</v>
      </c>
      <c r="K80" s="55">
        <f t="array" ref="K80">population!K74</f>
        <v>394274</v>
      </c>
      <c r="L80" s="55"/>
      <c r="M80" s="1"/>
      <c r="N80" s="1"/>
      <c r="O80" s="1"/>
      <c r="P80" s="1"/>
      <c r="Q80" s="1"/>
      <c r="R80" s="1"/>
      <c r="S80" s="1"/>
      <c r="T80" s="1"/>
      <c r="U80" s="1"/>
      <c r="V80" s="1"/>
      <c r="W80" s="1"/>
      <c r="X80" s="1"/>
      <c r="Y80" s="1"/>
      <c r="Z80" s="1"/>
    </row>
    <row r="81" spans="1:26" ht="19.5" customHeight="1">
      <c r="A81" s="139" t="str">
        <f t="array" ref="A81">population!$A75</f>
        <v>p66</v>
      </c>
      <c r="B81" s="55"/>
      <c r="C81" s="55">
        <f t="array" ref="C81">population!C75</f>
        <v>800144</v>
      </c>
      <c r="D81" s="55">
        <f t="array" ref="D81">population!D75</f>
        <v>356077</v>
      </c>
      <c r="E81" s="55">
        <f t="array" ref="E81">population!E75</f>
        <v>312882</v>
      </c>
      <c r="F81" s="55">
        <f t="array" ref="F81">population!F75</f>
        <v>65114</v>
      </c>
      <c r="G81" s="55">
        <f t="array" ref="G81">population!G75</f>
        <v>66071</v>
      </c>
      <c r="H81" s="55">
        <f t="array" ref="H81">population!H75</f>
        <v>668959</v>
      </c>
      <c r="I81" s="55">
        <f t="array" ref="I81">population!I75</f>
        <v>131185</v>
      </c>
      <c r="J81" s="55">
        <f t="array" ref="J81">population!J75</f>
        <v>421191</v>
      </c>
      <c r="K81" s="55">
        <f t="array" ref="K81">population!K75</f>
        <v>378953</v>
      </c>
      <c r="L81" s="55"/>
      <c r="M81" s="1"/>
      <c r="N81" s="1"/>
      <c r="O81" s="1"/>
      <c r="P81" s="1"/>
      <c r="Q81" s="1"/>
      <c r="R81" s="1"/>
      <c r="S81" s="1"/>
      <c r="T81" s="1"/>
      <c r="U81" s="1"/>
      <c r="V81" s="1"/>
      <c r="W81" s="1"/>
      <c r="X81" s="1"/>
      <c r="Y81" s="1"/>
      <c r="Z81" s="1"/>
    </row>
    <row r="82" spans="1:26" ht="19.5" customHeight="1">
      <c r="A82" s="139" t="str">
        <f t="array" ref="A82">population!$A76</f>
        <v>p67</v>
      </c>
      <c r="B82" s="55"/>
      <c r="C82" s="55">
        <f t="array" ref="C82">population!C76</f>
        <v>791451</v>
      </c>
      <c r="D82" s="55">
        <f t="array" ref="D82">population!D76</f>
        <v>353876</v>
      </c>
      <c r="E82" s="55">
        <f t="array" ref="E82">population!E76</f>
        <v>307839</v>
      </c>
      <c r="F82" s="55">
        <f t="array" ref="F82">population!F76</f>
        <v>64577</v>
      </c>
      <c r="G82" s="55">
        <f t="array" ref="G82">population!G76</f>
        <v>65159</v>
      </c>
      <c r="H82" s="55">
        <f t="array" ref="H82">population!H76</f>
        <v>661715</v>
      </c>
      <c r="I82" s="55">
        <f t="array" ref="I82">population!I76</f>
        <v>129736</v>
      </c>
      <c r="J82" s="55">
        <f t="array" ref="J82">population!J76</f>
        <v>418453</v>
      </c>
      <c r="K82" s="55">
        <f t="array" ref="K82">population!K76</f>
        <v>372998</v>
      </c>
      <c r="L82" s="55"/>
      <c r="M82" s="1"/>
      <c r="N82" s="1"/>
      <c r="O82" s="1"/>
      <c r="P82" s="1"/>
      <c r="Q82" s="1"/>
      <c r="R82" s="1"/>
      <c r="S82" s="1"/>
      <c r="T82" s="1"/>
      <c r="U82" s="1"/>
      <c r="V82" s="1"/>
      <c r="W82" s="1"/>
      <c r="X82" s="1"/>
      <c r="Y82" s="1"/>
      <c r="Z82" s="1"/>
    </row>
    <row r="83" spans="1:26" ht="19.5" customHeight="1">
      <c r="A83" s="139" t="str">
        <f t="array" ref="A83">population!$A77</f>
        <v>p68</v>
      </c>
      <c r="B83" s="55"/>
      <c r="C83" s="55">
        <f t="array" ref="C83">population!C77</f>
        <v>778684</v>
      </c>
      <c r="D83" s="55">
        <f t="array" ref="D83">population!D77</f>
        <v>351088</v>
      </c>
      <c r="E83" s="55">
        <f t="array" ref="E83">population!E77</f>
        <v>299994</v>
      </c>
      <c r="F83" s="55">
        <f t="array" ref="F83">population!F77</f>
        <v>63832</v>
      </c>
      <c r="G83" s="55">
        <f t="array" ref="G83">population!G77</f>
        <v>63770</v>
      </c>
      <c r="H83" s="55">
        <f t="array" ref="H83">population!H77</f>
        <v>651082</v>
      </c>
      <c r="I83" s="55">
        <f t="array" ref="I83">population!I77</f>
        <v>127602</v>
      </c>
      <c r="J83" s="55">
        <f t="array" ref="J83">population!J77</f>
        <v>414920</v>
      </c>
      <c r="K83" s="55">
        <f t="array" ref="K83">population!K77</f>
        <v>363764</v>
      </c>
      <c r="L83" s="55"/>
      <c r="M83" s="1"/>
      <c r="N83" s="1"/>
      <c r="O83" s="1"/>
      <c r="P83" s="1"/>
      <c r="Q83" s="1"/>
      <c r="R83" s="1"/>
      <c r="S83" s="1"/>
      <c r="T83" s="1"/>
      <c r="U83" s="1"/>
      <c r="V83" s="1"/>
      <c r="W83" s="1"/>
      <c r="X83" s="1"/>
      <c r="Y83" s="1"/>
      <c r="Z83" s="1"/>
    </row>
    <row r="84" spans="1:26" ht="19.5" customHeight="1">
      <c r="A84" s="139" t="str">
        <f t="array" ref="A84">population!$A78</f>
        <v>p69</v>
      </c>
      <c r="B84" s="55"/>
      <c r="C84" s="55">
        <f t="array" ref="C84">population!C78</f>
        <v>764786</v>
      </c>
      <c r="D84" s="55">
        <f t="array" ref="D84">population!D78</f>
        <v>346244</v>
      </c>
      <c r="E84" s="55">
        <f t="array" ref="E84">population!E78</f>
        <v>293237</v>
      </c>
      <c r="F84" s="55">
        <f t="array" ref="F84">population!F78</f>
        <v>62838</v>
      </c>
      <c r="G84" s="55">
        <f t="array" ref="G84">population!G78</f>
        <v>62467</v>
      </c>
      <c r="H84" s="55">
        <f t="array" ref="H84">population!H78</f>
        <v>639481</v>
      </c>
      <c r="I84" s="55">
        <f t="array" ref="I84">population!I78</f>
        <v>125305</v>
      </c>
      <c r="J84" s="55">
        <f t="array" ref="J84">population!J78</f>
        <v>409082</v>
      </c>
      <c r="K84" s="55">
        <f t="array" ref="K84">population!K78</f>
        <v>355704</v>
      </c>
      <c r="L84" s="55"/>
      <c r="M84" s="1"/>
      <c r="N84" s="1"/>
      <c r="O84" s="1"/>
      <c r="P84" s="1"/>
      <c r="Q84" s="1"/>
      <c r="R84" s="1"/>
      <c r="S84" s="1"/>
      <c r="T84" s="1"/>
      <c r="U84" s="1"/>
      <c r="V84" s="1"/>
      <c r="W84" s="1"/>
      <c r="X84" s="1"/>
      <c r="Y84" s="1"/>
      <c r="Z84" s="1"/>
    </row>
    <row r="85" spans="1:26" ht="19.5" customHeight="1">
      <c r="A85" s="139" t="str">
        <f t="array" ref="A85">population!$A79</f>
        <v>p70</v>
      </c>
      <c r="B85" s="55"/>
      <c r="C85" s="55">
        <f t="array" ref="C85">population!C79</f>
        <v>756345</v>
      </c>
      <c r="D85" s="55">
        <f t="array" ref="D85">population!D79</f>
        <v>342664</v>
      </c>
      <c r="E85" s="55">
        <f t="array" ref="E85">population!E79</f>
        <v>289763</v>
      </c>
      <c r="F85" s="55">
        <f t="array" ref="F85">population!F79</f>
        <v>62169</v>
      </c>
      <c r="G85" s="55">
        <f t="array" ref="G85">population!G79</f>
        <v>61749</v>
      </c>
      <c r="H85" s="55">
        <f t="array" ref="H85">population!H79</f>
        <v>632427</v>
      </c>
      <c r="I85" s="55">
        <f t="array" ref="I85">population!I79</f>
        <v>123918</v>
      </c>
      <c r="J85" s="55">
        <f t="array" ref="J85">population!J79</f>
        <v>404833</v>
      </c>
      <c r="K85" s="55">
        <f t="array" ref="K85">population!K79</f>
        <v>351512</v>
      </c>
      <c r="L85" s="55"/>
      <c r="M85" s="1"/>
      <c r="N85" s="1"/>
      <c r="O85" s="1"/>
      <c r="P85" s="1"/>
      <c r="Q85" s="1"/>
      <c r="R85" s="1"/>
      <c r="S85" s="1"/>
      <c r="T85" s="1"/>
      <c r="U85" s="1"/>
      <c r="V85" s="1"/>
      <c r="W85" s="1"/>
      <c r="X85" s="1"/>
      <c r="Y85" s="1"/>
      <c r="Z85" s="1"/>
    </row>
    <row r="86" spans="1:26" ht="19.5" customHeight="1">
      <c r="A86" s="139" t="str">
        <f t="array" ref="A86">population!$A80</f>
        <v>p71</v>
      </c>
      <c r="B86" s="55"/>
      <c r="C86" s="55">
        <f t="array" ref="C86">population!C80</f>
        <v>735445</v>
      </c>
      <c r="D86" s="55">
        <f t="array" ref="D86">population!D80</f>
        <v>335859</v>
      </c>
      <c r="E86" s="55">
        <f t="array" ref="E86">population!E80</f>
        <v>279130</v>
      </c>
      <c r="F86" s="55">
        <f t="array" ref="F86">population!F80</f>
        <v>60722</v>
      </c>
      <c r="G86" s="55">
        <f t="array" ref="G86">population!G80</f>
        <v>59734</v>
      </c>
      <c r="H86" s="55">
        <f t="array" ref="H86">population!H80</f>
        <v>614989</v>
      </c>
      <c r="I86" s="55">
        <f t="array" ref="I86">population!I80</f>
        <v>120456</v>
      </c>
      <c r="J86" s="55">
        <f t="array" ref="J86">population!J80</f>
        <v>396581</v>
      </c>
      <c r="K86" s="55">
        <f t="array" ref="K86">population!K80</f>
        <v>338864</v>
      </c>
      <c r="L86" s="55"/>
      <c r="M86" s="1"/>
      <c r="N86" s="1"/>
      <c r="O86" s="1"/>
      <c r="P86" s="1"/>
      <c r="Q86" s="1"/>
      <c r="R86" s="1"/>
      <c r="S86" s="1"/>
      <c r="T86" s="1"/>
      <c r="U86" s="1"/>
      <c r="V86" s="1"/>
      <c r="W86" s="1"/>
      <c r="X86" s="1"/>
      <c r="Y86" s="1"/>
      <c r="Z86" s="1"/>
    </row>
    <row r="87" spans="1:26" ht="19.5" customHeight="1">
      <c r="A87" s="139" t="str">
        <f t="array" ref="A87">population!$A81</f>
        <v>p72</v>
      </c>
      <c r="B87" s="55"/>
      <c r="C87" s="55">
        <f t="array" ref="C87">population!C81</f>
        <v>741042</v>
      </c>
      <c r="D87" s="55">
        <f t="array" ref="D87">population!D81</f>
        <v>340286</v>
      </c>
      <c r="E87" s="55">
        <f t="array" ref="E87">population!E81</f>
        <v>279410</v>
      </c>
      <c r="F87" s="55">
        <f t="array" ref="F87">population!F81</f>
        <v>61374</v>
      </c>
      <c r="G87" s="55">
        <f t="array" ref="G87">population!G81</f>
        <v>59972</v>
      </c>
      <c r="H87" s="55">
        <f t="array" ref="H87">population!H81</f>
        <v>619696</v>
      </c>
      <c r="I87" s="55">
        <f t="array" ref="I87">population!I81</f>
        <v>121346</v>
      </c>
      <c r="J87" s="55">
        <f t="array" ref="J87">population!J81</f>
        <v>401660</v>
      </c>
      <c r="K87" s="55">
        <f t="array" ref="K87">population!K81</f>
        <v>339382</v>
      </c>
      <c r="L87" s="55"/>
      <c r="M87" s="1"/>
      <c r="N87" s="1"/>
      <c r="O87" s="1"/>
      <c r="P87" s="1"/>
      <c r="Q87" s="1"/>
      <c r="R87" s="1"/>
      <c r="S87" s="1"/>
      <c r="T87" s="1"/>
      <c r="U87" s="1"/>
      <c r="V87" s="1"/>
      <c r="W87" s="1"/>
      <c r="X87" s="1"/>
      <c r="Y87" s="1"/>
      <c r="Z87" s="1"/>
    </row>
    <row r="88" spans="1:26" ht="19.5" customHeight="1">
      <c r="A88" s="139" t="str">
        <f t="array" ref="A88">population!$A82</f>
        <v>p73</v>
      </c>
      <c r="B88" s="55"/>
      <c r="C88" s="55">
        <f t="array" ref="C88">population!C82</f>
        <v>714246</v>
      </c>
      <c r="D88" s="55">
        <f t="array" ref="D88">population!D82</f>
        <v>328517</v>
      </c>
      <c r="E88" s="55">
        <f t="array" ref="E88">population!E82</f>
        <v>268777</v>
      </c>
      <c r="F88" s="55">
        <f t="array" ref="F88">population!F82</f>
        <v>59210</v>
      </c>
      <c r="G88" s="55">
        <f t="array" ref="G88">population!G82</f>
        <v>57742</v>
      </c>
      <c r="H88" s="55">
        <f t="array" ref="H88">population!H82</f>
        <v>597294</v>
      </c>
      <c r="I88" s="55">
        <f t="array" ref="I88">population!I82</f>
        <v>116952</v>
      </c>
      <c r="J88" s="55">
        <f t="array" ref="J88">population!J82</f>
        <v>387727</v>
      </c>
      <c r="K88" s="55">
        <f t="array" ref="K88">population!K82</f>
        <v>326519</v>
      </c>
      <c r="L88" s="55"/>
      <c r="M88" s="1"/>
      <c r="N88" s="1"/>
      <c r="O88" s="1"/>
      <c r="P88" s="1"/>
      <c r="Q88" s="1"/>
      <c r="R88" s="1"/>
      <c r="S88" s="1"/>
      <c r="T88" s="1"/>
      <c r="U88" s="1"/>
      <c r="V88" s="1"/>
      <c r="W88" s="1"/>
      <c r="X88" s="1"/>
      <c r="Y88" s="1"/>
      <c r="Z88" s="1"/>
    </row>
    <row r="89" spans="1:26" ht="19.5" customHeight="1">
      <c r="A89" s="139" t="str">
        <f t="array" ref="A89">population!$A83</f>
        <v>p74</v>
      </c>
      <c r="B89" s="55"/>
      <c r="C89" s="55">
        <f t="array" ref="C89">population!C83</f>
        <v>731276</v>
      </c>
      <c r="D89" s="55">
        <f t="array" ref="D89">population!D83</f>
        <v>336168</v>
      </c>
      <c r="E89" s="55">
        <f t="array" ref="E89">population!E83</f>
        <v>275366</v>
      </c>
      <c r="F89" s="55">
        <f t="array" ref="F89">population!F83</f>
        <v>60603</v>
      </c>
      <c r="G89" s="55">
        <f t="array" ref="G89">population!G83</f>
        <v>59139</v>
      </c>
      <c r="H89" s="55">
        <f t="array" ref="H89">population!H83</f>
        <v>611534</v>
      </c>
      <c r="I89" s="55">
        <f t="array" ref="I89">population!I83</f>
        <v>119742</v>
      </c>
      <c r="J89" s="55">
        <f t="array" ref="J89">population!J83</f>
        <v>396771</v>
      </c>
      <c r="K89" s="55">
        <f t="array" ref="K89">population!K83</f>
        <v>334505</v>
      </c>
      <c r="L89" s="55"/>
      <c r="M89" s="1"/>
      <c r="N89" s="1"/>
      <c r="O89" s="1"/>
      <c r="P89" s="1"/>
      <c r="Q89" s="1"/>
      <c r="R89" s="1"/>
      <c r="S89" s="1"/>
      <c r="T89" s="1"/>
      <c r="U89" s="1"/>
      <c r="V89" s="1"/>
      <c r="W89" s="1"/>
      <c r="X89" s="1"/>
      <c r="Y89" s="1"/>
      <c r="Z89" s="1"/>
    </row>
    <row r="90" spans="1:26" ht="19.5" customHeight="1">
      <c r="A90" s="139" t="str">
        <f t="array" ref="A90">population!$A84</f>
        <v>p75</v>
      </c>
      <c r="B90" s="55"/>
      <c r="C90" s="55">
        <f t="array" ref="C90">population!C84</f>
        <v>717277</v>
      </c>
      <c r="D90" s="55">
        <f t="array" ref="D90">population!D84</f>
        <v>333587</v>
      </c>
      <c r="E90" s="55">
        <f t="array" ref="E90">population!E84</f>
        <v>266294</v>
      </c>
      <c r="F90" s="55">
        <f t="array" ref="F90">population!F84</f>
        <v>59835</v>
      </c>
      <c r="G90" s="55">
        <f t="array" ref="G90">population!G84</f>
        <v>57561</v>
      </c>
      <c r="H90" s="55">
        <f t="array" ref="H90">population!H84</f>
        <v>599881</v>
      </c>
      <c r="I90" s="55">
        <f t="array" ref="I90">population!I84</f>
        <v>117396</v>
      </c>
      <c r="J90" s="55">
        <f t="array" ref="J90">population!J84</f>
        <v>393422</v>
      </c>
      <c r="K90" s="55">
        <f t="array" ref="K90">population!K84</f>
        <v>323855</v>
      </c>
      <c r="L90" s="55"/>
      <c r="M90" s="1"/>
      <c r="N90" s="1"/>
      <c r="O90" s="1"/>
      <c r="P90" s="1"/>
      <c r="Q90" s="1"/>
      <c r="R90" s="1"/>
      <c r="S90" s="1"/>
      <c r="T90" s="1"/>
      <c r="U90" s="1"/>
      <c r="V90" s="1"/>
      <c r="W90" s="1"/>
      <c r="X90" s="1"/>
      <c r="Y90" s="1"/>
      <c r="Z90" s="1"/>
    </row>
    <row r="91" spans="1:26" ht="19.5" customHeight="1">
      <c r="A91" s="139" t="str">
        <f t="array" ref="A91">population!$A85</f>
        <v>p76</v>
      </c>
      <c r="B91" s="55"/>
      <c r="C91" s="55">
        <f t="array" ref="C91">population!C85</f>
        <v>697358</v>
      </c>
      <c r="D91" s="55">
        <f t="array" ref="D91">population!D85</f>
        <v>323100</v>
      </c>
      <c r="E91" s="55">
        <f t="array" ref="E91">population!E85</f>
        <v>260105</v>
      </c>
      <c r="F91" s="55">
        <f t="array" ref="F91">population!F85</f>
        <v>58049</v>
      </c>
      <c r="G91" s="55">
        <f t="array" ref="G91">population!G85</f>
        <v>56104</v>
      </c>
      <c r="H91" s="55">
        <f t="array" ref="H91">population!H85</f>
        <v>583205</v>
      </c>
      <c r="I91" s="55">
        <f t="array" ref="I91">population!I85</f>
        <v>114153</v>
      </c>
      <c r="J91" s="55">
        <f t="array" ref="J91">population!J85</f>
        <v>381149</v>
      </c>
      <c r="K91" s="55">
        <f t="array" ref="K91">population!K85</f>
        <v>316209</v>
      </c>
      <c r="L91" s="55"/>
      <c r="M91" s="1"/>
      <c r="N91" s="1"/>
      <c r="O91" s="1"/>
      <c r="P91" s="1"/>
      <c r="Q91" s="1"/>
      <c r="R91" s="1"/>
      <c r="S91" s="1"/>
      <c r="T91" s="1"/>
      <c r="U91" s="1"/>
      <c r="V91" s="1"/>
      <c r="W91" s="1"/>
      <c r="X91" s="1"/>
      <c r="Y91" s="1"/>
      <c r="Z91" s="1"/>
    </row>
    <row r="92" spans="1:26" ht="19.5" customHeight="1">
      <c r="A92" s="139" t="str">
        <f t="array" ref="A92">population!$A86</f>
        <v>p77</v>
      </c>
      <c r="B92" s="55"/>
      <c r="C92" s="55">
        <f t="array" ref="C92">population!C86</f>
        <v>672402</v>
      </c>
      <c r="D92" s="55">
        <f t="array" ref="D92">population!D86</f>
        <v>314899</v>
      </c>
      <c r="E92" s="55">
        <f t="array" ref="E92">population!E86</f>
        <v>247483</v>
      </c>
      <c r="F92" s="55">
        <f t="array" ref="F92">population!F86</f>
        <v>56314</v>
      </c>
      <c r="G92" s="55">
        <f t="array" ref="G92">population!G86</f>
        <v>53706</v>
      </c>
      <c r="H92" s="55">
        <f t="array" ref="H92">population!H86</f>
        <v>562382</v>
      </c>
      <c r="I92" s="55">
        <f t="array" ref="I92">population!I86</f>
        <v>110020</v>
      </c>
      <c r="J92" s="55">
        <f t="array" ref="J92">population!J86</f>
        <v>371213</v>
      </c>
      <c r="K92" s="55">
        <f t="array" ref="K92">population!K86</f>
        <v>301189</v>
      </c>
      <c r="L92" s="55"/>
      <c r="M92" s="1"/>
      <c r="N92" s="1"/>
      <c r="O92" s="1"/>
      <c r="P92" s="1"/>
      <c r="Q92" s="1"/>
      <c r="R92" s="1"/>
      <c r="S92" s="1"/>
      <c r="T92" s="1"/>
      <c r="U92" s="1"/>
      <c r="V92" s="1"/>
      <c r="W92" s="1"/>
      <c r="X92" s="1"/>
      <c r="Y92" s="1"/>
      <c r="Z92" s="1"/>
    </row>
    <row r="93" spans="1:26" ht="19.5" customHeight="1">
      <c r="A93" s="139" t="str">
        <f t="array" ref="A93">population!$A87</f>
        <v>p78</v>
      </c>
      <c r="B93" s="55"/>
      <c r="C93" s="55">
        <f t="array" ref="C93">population!C87</f>
        <v>622988</v>
      </c>
      <c r="D93" s="55">
        <f t="array" ref="D93">population!D87</f>
        <v>292933</v>
      </c>
      <c r="E93" s="55">
        <f t="array" ref="E93">population!E87</f>
        <v>228137</v>
      </c>
      <c r="F93" s="55">
        <f t="array" ref="F93">population!F87</f>
        <v>52295</v>
      </c>
      <c r="G93" s="55">
        <f t="array" ref="G93">population!G87</f>
        <v>49623</v>
      </c>
      <c r="H93" s="55">
        <f t="array" ref="H93">population!H87</f>
        <v>521070</v>
      </c>
      <c r="I93" s="55">
        <f t="array" ref="I93">population!I87</f>
        <v>101918</v>
      </c>
      <c r="J93" s="55">
        <f t="array" ref="J93">population!J87</f>
        <v>345228</v>
      </c>
      <c r="K93" s="55">
        <f t="array" ref="K93">population!K87</f>
        <v>277760</v>
      </c>
      <c r="L93" s="55"/>
      <c r="M93" s="1"/>
      <c r="N93" s="1"/>
      <c r="O93" s="1"/>
      <c r="P93" s="1"/>
      <c r="Q93" s="1"/>
      <c r="R93" s="1"/>
      <c r="S93" s="1"/>
      <c r="T93" s="1"/>
      <c r="U93" s="1"/>
      <c r="V93" s="1"/>
      <c r="W93" s="1"/>
      <c r="X93" s="1"/>
      <c r="Y93" s="1"/>
      <c r="Z93" s="1"/>
    </row>
    <row r="94" spans="1:26" ht="19.5" customHeight="1">
      <c r="A94" s="139" t="str">
        <f t="array" ref="A94">population!$A88</f>
        <v>p79</v>
      </c>
      <c r="B94" s="55"/>
      <c r="C94" s="55">
        <f t="array" ref="C94">population!C88</f>
        <v>461914</v>
      </c>
      <c r="D94" s="55">
        <f t="array" ref="D94">population!D88</f>
        <v>219770</v>
      </c>
      <c r="E94" s="55">
        <f t="array" ref="E94">population!E88</f>
        <v>166613</v>
      </c>
      <c r="F94" s="55">
        <f t="array" ref="F94">population!F88</f>
        <v>39036</v>
      </c>
      <c r="G94" s="55">
        <f t="array" ref="G94">population!G88</f>
        <v>36495</v>
      </c>
      <c r="H94" s="55">
        <f t="array" ref="H94">population!H88</f>
        <v>386383</v>
      </c>
      <c r="I94" s="55">
        <f t="array" ref="I94">population!I88</f>
        <v>75531</v>
      </c>
      <c r="J94" s="55">
        <f t="array" ref="J94">population!J88</f>
        <v>258806</v>
      </c>
      <c r="K94" s="55">
        <f t="array" ref="K94">population!K88</f>
        <v>203108</v>
      </c>
      <c r="L94" s="55"/>
      <c r="M94" s="1"/>
      <c r="N94" s="1"/>
      <c r="O94" s="1"/>
      <c r="P94" s="1"/>
      <c r="Q94" s="1"/>
      <c r="R94" s="1"/>
      <c r="S94" s="1"/>
      <c r="T94" s="1"/>
      <c r="U94" s="1"/>
      <c r="V94" s="1"/>
      <c r="W94" s="1"/>
      <c r="X94" s="1"/>
      <c r="Y94" s="1"/>
      <c r="Z94" s="1"/>
    </row>
    <row r="95" spans="1:26" ht="19.5" customHeight="1">
      <c r="A95" s="139" t="str">
        <f t="array" ref="A95">population!$A89</f>
        <v>p80</v>
      </c>
      <c r="B95" s="55"/>
      <c r="C95" s="55">
        <f t="array" ref="C95">population!C89</f>
        <v>438470</v>
      </c>
      <c r="D95" s="55">
        <f t="array" ref="D95">population!D89</f>
        <v>210253</v>
      </c>
      <c r="E95" s="55">
        <f t="array" ref="E95">population!E89</f>
        <v>156543</v>
      </c>
      <c r="F95" s="55">
        <f t="array" ref="F95">population!F89</f>
        <v>37221</v>
      </c>
      <c r="G95" s="55">
        <f t="array" ref="G95">population!G89</f>
        <v>34453</v>
      </c>
      <c r="H95" s="55">
        <f t="array" ref="H95">population!H89</f>
        <v>366796</v>
      </c>
      <c r="I95" s="55">
        <f t="array" ref="I95">population!I89</f>
        <v>71674</v>
      </c>
      <c r="J95" s="55">
        <f t="array" ref="J95">population!J89</f>
        <v>247474</v>
      </c>
      <c r="K95" s="55">
        <f t="array" ref="K95">population!K89</f>
        <v>190996</v>
      </c>
      <c r="L95" s="55"/>
      <c r="M95" s="1"/>
      <c r="N95" s="1"/>
      <c r="O95" s="1"/>
      <c r="P95" s="1"/>
      <c r="Q95" s="1"/>
      <c r="R95" s="1"/>
      <c r="S95" s="1"/>
      <c r="T95" s="1"/>
      <c r="U95" s="1"/>
      <c r="V95" s="1"/>
      <c r="W95" s="1"/>
      <c r="X95" s="1"/>
      <c r="Y95" s="1"/>
      <c r="Z95" s="1"/>
    </row>
    <row r="96" spans="1:26" ht="19.5" customHeight="1">
      <c r="A96" s="139" t="str">
        <f t="array" ref="A96">population!$A90</f>
        <v>p81</v>
      </c>
      <c r="B96" s="55"/>
      <c r="C96" s="55">
        <f t="array" ref="C96">population!C90</f>
        <v>415938</v>
      </c>
      <c r="D96" s="55">
        <f t="array" ref="D96">population!D90</f>
        <v>200896</v>
      </c>
      <c r="E96" s="55">
        <f t="array" ref="E96">population!E90</f>
        <v>147071</v>
      </c>
      <c r="F96" s="55">
        <f t="array" ref="F96">population!F90</f>
        <v>35456</v>
      </c>
      <c r="G96" s="55">
        <f t="array" ref="G96">population!G90</f>
        <v>32515</v>
      </c>
      <c r="H96" s="55">
        <f t="array" ref="H96">population!H90</f>
        <v>347967</v>
      </c>
      <c r="I96" s="55">
        <f t="array" ref="I96">population!I90</f>
        <v>67971</v>
      </c>
      <c r="J96" s="55">
        <f t="array" ref="J96">population!J90</f>
        <v>236352</v>
      </c>
      <c r="K96" s="55">
        <f t="array" ref="K96">population!K90</f>
        <v>179586</v>
      </c>
      <c r="L96" s="55"/>
      <c r="M96" s="1"/>
      <c r="N96" s="1"/>
      <c r="O96" s="1"/>
      <c r="P96" s="1"/>
      <c r="Q96" s="1"/>
      <c r="R96" s="1"/>
      <c r="S96" s="1"/>
      <c r="T96" s="1"/>
      <c r="U96" s="1"/>
      <c r="V96" s="1"/>
      <c r="W96" s="1"/>
      <c r="X96" s="1"/>
      <c r="Y96" s="1"/>
      <c r="Z96" s="1"/>
    </row>
    <row r="97" spans="1:26" ht="19.5" customHeight="1">
      <c r="A97" s="139" t="str">
        <f t="array" ref="A97">population!$A91</f>
        <v>p82</v>
      </c>
      <c r="B97" s="55"/>
      <c r="C97" s="55">
        <f t="array" ref="C97">population!C91</f>
        <v>373998</v>
      </c>
      <c r="D97" s="55">
        <f t="array" ref="D97">population!D91</f>
        <v>183170</v>
      </c>
      <c r="E97" s="55">
        <f t="array" ref="E97">population!E91</f>
        <v>129747</v>
      </c>
      <c r="F97" s="55">
        <f t="array" ref="F97">population!F91</f>
        <v>32138</v>
      </c>
      <c r="G97" s="55">
        <f t="array" ref="G97">population!G91</f>
        <v>28943</v>
      </c>
      <c r="H97" s="55">
        <f t="array" ref="H97">population!H91</f>
        <v>312917</v>
      </c>
      <c r="I97" s="55">
        <f t="array" ref="I97">population!I91</f>
        <v>61081</v>
      </c>
      <c r="J97" s="55">
        <f t="array" ref="J97">population!J91</f>
        <v>215308</v>
      </c>
      <c r="K97" s="55">
        <f t="array" ref="K97">population!K91</f>
        <v>158690</v>
      </c>
      <c r="L97" s="55"/>
      <c r="M97" s="1"/>
      <c r="N97" s="1"/>
      <c r="O97" s="1"/>
      <c r="P97" s="1"/>
      <c r="Q97" s="1"/>
      <c r="R97" s="1"/>
      <c r="S97" s="1"/>
      <c r="T97" s="1"/>
      <c r="U97" s="1"/>
      <c r="V97" s="1"/>
      <c r="W97" s="1"/>
      <c r="X97" s="1"/>
      <c r="Y97" s="1"/>
      <c r="Z97" s="1"/>
    </row>
    <row r="98" spans="1:26" ht="19.5" customHeight="1">
      <c r="A98" s="139" t="str">
        <f t="array" ref="A98">population!$A92</f>
        <v>p83</v>
      </c>
      <c r="B98" s="55"/>
      <c r="C98" s="55">
        <f t="array" ref="C98">population!C92</f>
        <v>321969</v>
      </c>
      <c r="D98" s="55">
        <f t="array" ref="D98">population!D92</f>
        <v>159887</v>
      </c>
      <c r="E98" s="55">
        <f t="array" ref="E98">population!E92</f>
        <v>109529</v>
      </c>
      <c r="F98" s="55">
        <f t="array" ref="F98">population!F92</f>
        <v>27891</v>
      </c>
      <c r="G98" s="55">
        <f t="array" ref="G98">population!G92</f>
        <v>24662</v>
      </c>
      <c r="H98" s="55">
        <f t="array" ref="H98">population!H92</f>
        <v>269416</v>
      </c>
      <c r="I98" s="55">
        <f t="array" ref="I98">population!I92</f>
        <v>52553</v>
      </c>
      <c r="J98" s="55">
        <f t="array" ref="J98">population!J92</f>
        <v>187778</v>
      </c>
      <c r="K98" s="55">
        <f t="array" ref="K98">population!K92</f>
        <v>134191</v>
      </c>
      <c r="L98" s="55"/>
      <c r="M98" s="1"/>
      <c r="N98" s="1"/>
      <c r="O98" s="1"/>
      <c r="P98" s="1"/>
      <c r="Q98" s="1"/>
      <c r="R98" s="1"/>
      <c r="S98" s="1"/>
      <c r="T98" s="1"/>
      <c r="U98" s="1"/>
      <c r="V98" s="1"/>
      <c r="W98" s="1"/>
      <c r="X98" s="1"/>
      <c r="Y98" s="1"/>
      <c r="Z98" s="1"/>
    </row>
    <row r="99" spans="1:26" ht="19.5" customHeight="1">
      <c r="A99" s="139" t="str">
        <f t="array" ref="A99">population!$A93</f>
        <v>p84</v>
      </c>
      <c r="B99" s="55"/>
      <c r="C99" s="55">
        <f t="array" ref="C99">population!C93</f>
        <v>320191</v>
      </c>
      <c r="D99" s="55">
        <f t="array" ref="D99">population!D93</f>
        <v>161157</v>
      </c>
      <c r="E99" s="55">
        <f t="array" ref="E99">population!E93</f>
        <v>106802</v>
      </c>
      <c r="F99" s="55">
        <f t="array" ref="F99">population!F93</f>
        <v>27956</v>
      </c>
      <c r="G99" s="55">
        <f t="array" ref="G99">population!G93</f>
        <v>24276</v>
      </c>
      <c r="H99" s="55">
        <f t="array" ref="H99">population!H93</f>
        <v>267959</v>
      </c>
      <c r="I99" s="55">
        <f t="array" ref="I99">population!I93</f>
        <v>52232</v>
      </c>
      <c r="J99" s="55">
        <f t="array" ref="J99">population!J93</f>
        <v>189113</v>
      </c>
      <c r="K99" s="55">
        <f t="array" ref="K99">population!K93</f>
        <v>131078</v>
      </c>
      <c r="L99" s="55"/>
      <c r="M99" s="1"/>
      <c r="N99" s="1"/>
      <c r="O99" s="1"/>
      <c r="P99" s="1"/>
      <c r="Q99" s="1"/>
      <c r="R99" s="1"/>
      <c r="S99" s="1"/>
      <c r="T99" s="1"/>
      <c r="U99" s="1"/>
      <c r="V99" s="1"/>
      <c r="W99" s="1"/>
      <c r="X99" s="1"/>
      <c r="Y99" s="1"/>
      <c r="Z99" s="1"/>
    </row>
    <row r="100" spans="1:26" ht="19.5" customHeight="1">
      <c r="A100" s="139" t="str">
        <f t="array" ref="A100">population!$A94</f>
        <v>p85</v>
      </c>
      <c r="B100" s="55"/>
      <c r="C100" s="55">
        <f t="array" ref="C100">population!C94</f>
        <v>318269</v>
      </c>
      <c r="D100" s="55">
        <f t="array" ref="D100">population!D94</f>
        <v>164009</v>
      </c>
      <c r="E100" s="55">
        <f t="array" ref="E100">population!E94</f>
        <v>102395</v>
      </c>
      <c r="F100" s="55">
        <f t="array" ref="F100">population!F94</f>
        <v>28177</v>
      </c>
      <c r="G100" s="55">
        <f t="array" ref="G100">population!G94</f>
        <v>23688</v>
      </c>
      <c r="H100" s="55">
        <f t="array" ref="H100">population!H94</f>
        <v>266404</v>
      </c>
      <c r="I100" s="55">
        <f t="array" ref="I100">population!I94</f>
        <v>51865</v>
      </c>
      <c r="J100" s="55">
        <f t="array" ref="J100">population!J94</f>
        <v>192186</v>
      </c>
      <c r="K100" s="55">
        <f t="array" ref="K100">population!K94</f>
        <v>126083</v>
      </c>
      <c r="L100" s="55"/>
      <c r="M100" s="1"/>
      <c r="N100" s="1"/>
      <c r="O100" s="1"/>
      <c r="P100" s="1"/>
      <c r="Q100" s="1"/>
      <c r="R100" s="1"/>
      <c r="S100" s="1"/>
      <c r="T100" s="1"/>
      <c r="U100" s="1"/>
      <c r="V100" s="1"/>
      <c r="W100" s="1"/>
      <c r="X100" s="1"/>
      <c r="Y100" s="1"/>
      <c r="Z100" s="1"/>
    </row>
    <row r="101" spans="1:26" ht="19.5" customHeight="1">
      <c r="A101" s="139" t="str">
        <f t="array" ref="A101">population!$A95</f>
        <v>p86</v>
      </c>
      <c r="B101" s="55"/>
      <c r="C101" s="55">
        <f t="array" ref="C101">population!C95</f>
        <v>295334</v>
      </c>
      <c r="D101" s="55">
        <f t="array" ref="D101">population!D95</f>
        <v>154497</v>
      </c>
      <c r="E101" s="55">
        <f t="array" ref="E101">population!E95</f>
        <v>92742</v>
      </c>
      <c r="F101" s="55">
        <f t="array" ref="F101">population!F95</f>
        <v>26382</v>
      </c>
      <c r="G101" s="55">
        <f t="array" ref="G101">population!G95</f>
        <v>21713</v>
      </c>
      <c r="H101" s="55">
        <f t="array" ref="H101">population!H95</f>
        <v>247239</v>
      </c>
      <c r="I101" s="55">
        <f t="array" ref="I101">population!I95</f>
        <v>48095</v>
      </c>
      <c r="J101" s="55">
        <f t="array" ref="J101">population!J95</f>
        <v>180879</v>
      </c>
      <c r="K101" s="55">
        <f t="array" ref="K101">population!K95</f>
        <v>114455</v>
      </c>
      <c r="L101" s="55"/>
      <c r="M101" s="1"/>
      <c r="N101" s="1"/>
      <c r="O101" s="1"/>
      <c r="P101" s="1"/>
      <c r="Q101" s="1"/>
      <c r="R101" s="1"/>
      <c r="S101" s="1"/>
      <c r="T101" s="1"/>
      <c r="U101" s="1"/>
      <c r="V101" s="1"/>
      <c r="W101" s="1"/>
      <c r="X101" s="1"/>
      <c r="Y101" s="1"/>
      <c r="Z101" s="1"/>
    </row>
    <row r="102" spans="1:26" ht="19.5" customHeight="1">
      <c r="A102" s="139" t="str">
        <f t="array" ref="A102">population!$A96</f>
        <v>p87</v>
      </c>
      <c r="B102" s="55"/>
      <c r="C102" s="55">
        <f t="array" ref="C102">population!C96</f>
        <v>272687</v>
      </c>
      <c r="D102" s="55">
        <f t="array" ref="D102">population!D96</f>
        <v>145399</v>
      </c>
      <c r="E102" s="55">
        <f t="array" ref="E102">population!E96</f>
        <v>82920</v>
      </c>
      <c r="F102" s="55">
        <f t="array" ref="F102">population!F96</f>
        <v>24638</v>
      </c>
      <c r="G102" s="55">
        <f t="array" ref="G102">population!G96</f>
        <v>19730</v>
      </c>
      <c r="H102" s="55">
        <f t="array" ref="H102">population!H96</f>
        <v>228319</v>
      </c>
      <c r="I102" s="55">
        <f t="array" ref="I102">population!I96</f>
        <v>44368</v>
      </c>
      <c r="J102" s="55">
        <f t="array" ref="J102">population!J96</f>
        <v>170037</v>
      </c>
      <c r="K102" s="55">
        <f t="array" ref="K102">population!K96</f>
        <v>102650</v>
      </c>
      <c r="L102" s="55"/>
      <c r="M102" s="1"/>
      <c r="N102" s="1"/>
      <c r="O102" s="1"/>
      <c r="P102" s="1"/>
      <c r="Q102" s="1"/>
      <c r="R102" s="1"/>
      <c r="S102" s="1"/>
      <c r="T102" s="1"/>
      <c r="U102" s="1"/>
      <c r="V102" s="1"/>
      <c r="W102" s="1"/>
      <c r="X102" s="1"/>
      <c r="Y102" s="1"/>
      <c r="Z102" s="1"/>
    </row>
    <row r="103" spans="1:26" ht="19.5" customHeight="1">
      <c r="A103" s="139" t="str">
        <f t="array" ref="A103">population!$A97</f>
        <v>p88</v>
      </c>
      <c r="B103" s="55"/>
      <c r="C103" s="55">
        <f t="array" ref="C103">population!C97</f>
        <v>254399</v>
      </c>
      <c r="D103" s="55">
        <f t="array" ref="D103">population!D97</f>
        <v>138821</v>
      </c>
      <c r="E103" s="55">
        <f t="array" ref="E103">population!E97</f>
        <v>74230</v>
      </c>
      <c r="F103" s="55">
        <f t="array" ref="F103">population!F97</f>
        <v>23309</v>
      </c>
      <c r="G103" s="55">
        <f t="array" ref="G103">population!G97</f>
        <v>18039</v>
      </c>
      <c r="H103" s="55">
        <f t="array" ref="H103">population!H97</f>
        <v>213051</v>
      </c>
      <c r="I103" s="55">
        <f t="array" ref="I103">population!I97</f>
        <v>41348</v>
      </c>
      <c r="J103" s="55">
        <f t="array" ref="J103">population!J97</f>
        <v>162130</v>
      </c>
      <c r="K103" s="55">
        <f t="array" ref="K103">population!K97</f>
        <v>92269</v>
      </c>
      <c r="L103" s="55"/>
      <c r="M103" s="1"/>
      <c r="N103" s="1"/>
      <c r="O103" s="1"/>
      <c r="P103" s="1"/>
      <c r="Q103" s="1"/>
      <c r="R103" s="1"/>
      <c r="S103" s="1"/>
      <c r="T103" s="1"/>
      <c r="U103" s="1"/>
      <c r="V103" s="1"/>
      <c r="W103" s="1"/>
      <c r="X103" s="1"/>
      <c r="Y103" s="1"/>
      <c r="Z103" s="1"/>
    </row>
    <row r="104" spans="1:26" ht="19.5" customHeight="1">
      <c r="A104" s="139" t="str">
        <f t="array" ref="A104">population!$A98</f>
        <v>p89</v>
      </c>
      <c r="B104" s="55"/>
      <c r="C104" s="55">
        <f t="array" ref="C104">population!C98</f>
        <v>224993</v>
      </c>
      <c r="D104" s="55">
        <f t="array" ref="D104">population!D98</f>
        <v>126069</v>
      </c>
      <c r="E104" s="55">
        <f t="array" ref="E104">population!E98</f>
        <v>62402</v>
      </c>
      <c r="F104" s="55">
        <f t="array" ref="F104">population!F98</f>
        <v>20950</v>
      </c>
      <c r="G104" s="55">
        <f t="array" ref="G104">population!G98</f>
        <v>15572</v>
      </c>
      <c r="H104" s="55">
        <f t="array" ref="H104">population!H98</f>
        <v>188471</v>
      </c>
      <c r="I104" s="55">
        <f t="array" ref="I104">population!I98</f>
        <v>36522</v>
      </c>
      <c r="J104" s="55">
        <f t="array" ref="J104">population!J98</f>
        <v>147019</v>
      </c>
      <c r="K104" s="55">
        <f t="array" ref="K104">population!K98</f>
        <v>77974</v>
      </c>
      <c r="L104" s="55"/>
      <c r="M104" s="1"/>
      <c r="N104" s="1"/>
      <c r="O104" s="1"/>
      <c r="P104" s="1"/>
      <c r="Q104" s="1"/>
      <c r="R104" s="1"/>
      <c r="S104" s="1"/>
      <c r="T104" s="1"/>
      <c r="U104" s="1"/>
      <c r="V104" s="1"/>
      <c r="W104" s="1"/>
      <c r="X104" s="1"/>
      <c r="Y104" s="1"/>
      <c r="Z104" s="1"/>
    </row>
    <row r="105" spans="1:26" ht="19.5" customHeight="1">
      <c r="A105" s="139" t="str">
        <f t="array" ref="A105">population!$A99</f>
        <v>p90</v>
      </c>
      <c r="B105" s="55"/>
      <c r="C105" s="55">
        <f t="array" ref="C105">population!C99</f>
        <v>204366</v>
      </c>
      <c r="D105" s="55">
        <f t="array" ref="D105">population!D99</f>
        <v>116727</v>
      </c>
      <c r="E105" s="55">
        <f t="array" ref="E105">population!E99</f>
        <v>54497</v>
      </c>
      <c r="F105" s="55">
        <f t="array" ref="F105">population!F99</f>
        <v>19255</v>
      </c>
      <c r="G105" s="55">
        <f t="array" ref="G105">population!G99</f>
        <v>13887</v>
      </c>
      <c r="H105" s="55">
        <f t="array" ref="H105">population!H99</f>
        <v>171224</v>
      </c>
      <c r="I105" s="55">
        <f t="array" ref="I105">population!I99</f>
        <v>33142</v>
      </c>
      <c r="J105" s="55">
        <f t="array" ref="J105">population!J99</f>
        <v>135982</v>
      </c>
      <c r="K105" s="55">
        <f t="array" ref="K105">population!K99</f>
        <v>68384</v>
      </c>
      <c r="L105" s="55"/>
      <c r="M105" s="1"/>
      <c r="N105" s="1"/>
      <c r="O105" s="1"/>
      <c r="P105" s="1"/>
      <c r="Q105" s="1"/>
      <c r="R105" s="1"/>
      <c r="S105" s="1"/>
      <c r="T105" s="1"/>
      <c r="U105" s="1"/>
      <c r="V105" s="1"/>
      <c r="W105" s="1"/>
      <c r="X105" s="1"/>
      <c r="Y105" s="1"/>
      <c r="Z105" s="1"/>
    </row>
    <row r="106" spans="1:26" ht="19.5" customHeight="1">
      <c r="A106" s="139" t="str">
        <f t="array" ref="A106">population!$A100</f>
        <v>p91</v>
      </c>
      <c r="B106" s="55"/>
      <c r="C106" s="55">
        <f t="array" ref="C106">population!C100</f>
        <v>172634</v>
      </c>
      <c r="D106" s="55">
        <f t="array" ref="D106">population!D100</f>
        <v>101687</v>
      </c>
      <c r="E106" s="55">
        <f t="array" ref="E106">population!E100</f>
        <v>42994</v>
      </c>
      <c r="F106" s="55">
        <f t="array" ref="F106">population!F100</f>
        <v>16579</v>
      </c>
      <c r="G106" s="55">
        <f t="array" ref="G106">population!G100</f>
        <v>11374</v>
      </c>
      <c r="H106" s="55">
        <f t="array" ref="H106">population!H100</f>
        <v>144681</v>
      </c>
      <c r="I106" s="55">
        <f t="array" ref="I106">population!I100</f>
        <v>27953</v>
      </c>
      <c r="J106" s="55">
        <f t="array" ref="J106">population!J100</f>
        <v>118266</v>
      </c>
      <c r="K106" s="55">
        <f t="array" ref="K106">population!K100</f>
        <v>54368</v>
      </c>
      <c r="L106" s="55"/>
      <c r="M106" s="1"/>
      <c r="N106" s="1"/>
      <c r="O106" s="1"/>
      <c r="P106" s="1"/>
      <c r="Q106" s="1"/>
      <c r="R106" s="1"/>
      <c r="S106" s="1"/>
      <c r="T106" s="1"/>
      <c r="U106" s="1"/>
      <c r="V106" s="1"/>
      <c r="W106" s="1"/>
      <c r="X106" s="1"/>
      <c r="Y106" s="1"/>
      <c r="Z106" s="1"/>
    </row>
    <row r="107" spans="1:26" ht="19.5" customHeight="1">
      <c r="A107" s="139" t="str">
        <f t="array" ref="A107">population!$A101</f>
        <v>p92</v>
      </c>
      <c r="B107" s="55"/>
      <c r="C107" s="55">
        <f t="array" ref="C107">population!C101</f>
        <v>153448</v>
      </c>
      <c r="D107" s="55">
        <f t="array" ref="D107">population!D101</f>
        <v>92372</v>
      </c>
      <c r="E107" s="55">
        <f t="array" ref="E107">population!E101</f>
        <v>36258</v>
      </c>
      <c r="F107" s="55">
        <f t="array" ref="F107">population!F101</f>
        <v>14939</v>
      </c>
      <c r="G107" s="55">
        <f t="array" ref="G107">population!G101</f>
        <v>9879</v>
      </c>
      <c r="H107" s="55">
        <f t="array" ref="H107">population!H101</f>
        <v>128630</v>
      </c>
      <c r="I107" s="55">
        <f t="array" ref="I107">population!I101</f>
        <v>24818</v>
      </c>
      <c r="J107" s="55">
        <f t="array" ref="J107">population!J101</f>
        <v>107311</v>
      </c>
      <c r="K107" s="55">
        <f t="array" ref="K107">population!K101</f>
        <v>46137</v>
      </c>
      <c r="L107" s="55"/>
      <c r="M107" s="1"/>
      <c r="N107" s="1"/>
      <c r="O107" s="1"/>
      <c r="P107" s="1"/>
      <c r="Q107" s="1"/>
      <c r="R107" s="1"/>
      <c r="S107" s="1"/>
      <c r="T107" s="1"/>
      <c r="U107" s="1"/>
      <c r="V107" s="1"/>
      <c r="W107" s="1"/>
      <c r="X107" s="1"/>
      <c r="Y107" s="1"/>
      <c r="Z107" s="1"/>
    </row>
    <row r="108" spans="1:26" ht="19.5" customHeight="1">
      <c r="A108" s="139" t="str">
        <f t="array" ref="A108">population!$A102</f>
        <v>p93</v>
      </c>
      <c r="B108" s="55"/>
      <c r="C108" s="55">
        <f t="array" ref="C108">population!C102</f>
        <v>126235</v>
      </c>
      <c r="D108" s="55">
        <f t="array" ref="D108">population!D102</f>
        <v>77669</v>
      </c>
      <c r="E108" s="55">
        <f t="array" ref="E108">population!E102</f>
        <v>28173</v>
      </c>
      <c r="F108" s="55">
        <f t="array" ref="F108">population!F102</f>
        <v>12460</v>
      </c>
      <c r="G108" s="55">
        <f t="array" ref="G108">population!G102</f>
        <v>7933</v>
      </c>
      <c r="H108" s="55">
        <f t="array" ref="H108">population!H102</f>
        <v>105842</v>
      </c>
      <c r="I108" s="55">
        <f t="array" ref="I108">population!I102</f>
        <v>20393</v>
      </c>
      <c r="J108" s="55">
        <f t="array" ref="J108">population!J102</f>
        <v>90129</v>
      </c>
      <c r="K108" s="55">
        <f t="array" ref="K108">population!K102</f>
        <v>36106</v>
      </c>
      <c r="L108" s="55"/>
      <c r="M108" s="1"/>
      <c r="N108" s="1"/>
      <c r="O108" s="1"/>
      <c r="P108" s="1"/>
      <c r="Q108" s="1"/>
      <c r="R108" s="1"/>
      <c r="S108" s="1"/>
      <c r="T108" s="1"/>
      <c r="U108" s="1"/>
      <c r="V108" s="1"/>
      <c r="W108" s="1"/>
      <c r="X108" s="1"/>
      <c r="Y108" s="1"/>
      <c r="Z108" s="1"/>
    </row>
    <row r="109" spans="1:26" ht="19.5" customHeight="1">
      <c r="A109" s="139" t="str">
        <f t="array" ref="A109">population!$A103</f>
        <v>p94</v>
      </c>
      <c r="B109" s="55"/>
      <c r="C109" s="55">
        <f t="array" ref="C109">population!C103</f>
        <v>100123</v>
      </c>
      <c r="D109" s="55">
        <f t="array" ref="D109">population!D103</f>
        <v>63426</v>
      </c>
      <c r="E109" s="55">
        <f t="array" ref="E109">population!E103</f>
        <v>20548</v>
      </c>
      <c r="F109" s="55">
        <f t="array" ref="F109">population!F103</f>
        <v>10068</v>
      </c>
      <c r="G109" s="55">
        <f t="array" ref="G109">population!G103</f>
        <v>6081</v>
      </c>
      <c r="H109" s="55">
        <f t="array" ref="H109">population!H103</f>
        <v>83974</v>
      </c>
      <c r="I109" s="55">
        <f t="array" ref="I109">population!I103</f>
        <v>16149</v>
      </c>
      <c r="J109" s="55">
        <f t="array" ref="J109">population!J103</f>
        <v>73494</v>
      </c>
      <c r="K109" s="55">
        <f t="array" ref="K109">population!K103</f>
        <v>26629</v>
      </c>
      <c r="L109" s="55"/>
      <c r="M109" s="1"/>
      <c r="N109" s="1"/>
      <c r="O109" s="1"/>
      <c r="P109" s="1"/>
      <c r="Q109" s="1"/>
      <c r="R109" s="1"/>
      <c r="S109" s="1"/>
      <c r="T109" s="1"/>
      <c r="U109" s="1"/>
      <c r="V109" s="1"/>
      <c r="W109" s="1"/>
      <c r="X109" s="1"/>
      <c r="Y109" s="1"/>
      <c r="Z109" s="1"/>
    </row>
    <row r="110" spans="1:26" ht="19.5" customHeight="1">
      <c r="A110" s="139" t="str">
        <f t="array" ref="A110">population!$A104</f>
        <v>p95</v>
      </c>
      <c r="B110" s="55"/>
      <c r="C110" s="55">
        <f t="array" ref="C110">population!C104</f>
        <v>74040</v>
      </c>
      <c r="D110" s="55">
        <f t="array" ref="D110">population!D104</f>
        <v>47954</v>
      </c>
      <c r="E110" s="55">
        <f t="array" ref="E110">population!E104</f>
        <v>14159</v>
      </c>
      <c r="F110" s="55">
        <f t="array" ref="F110">population!F104</f>
        <v>7552</v>
      </c>
      <c r="G110" s="55">
        <f t="array" ref="G110">population!G104</f>
        <v>4375</v>
      </c>
      <c r="H110" s="55">
        <f t="array" ref="H110">population!H104</f>
        <v>62113</v>
      </c>
      <c r="I110" s="55">
        <f t="array" ref="I110">population!I104</f>
        <v>11927</v>
      </c>
      <c r="J110" s="55">
        <f t="array" ref="J110">population!J104</f>
        <v>55506</v>
      </c>
      <c r="K110" s="55">
        <f t="array" ref="K110">population!K104</f>
        <v>18534</v>
      </c>
      <c r="L110" s="55"/>
      <c r="M110" s="1"/>
      <c r="N110" s="1"/>
      <c r="O110" s="1"/>
      <c r="P110" s="1"/>
      <c r="Q110" s="1"/>
      <c r="R110" s="1"/>
      <c r="S110" s="1"/>
      <c r="T110" s="1"/>
      <c r="U110" s="1"/>
      <c r="V110" s="1"/>
      <c r="W110" s="1"/>
      <c r="X110" s="1"/>
      <c r="Y110" s="1"/>
      <c r="Z110" s="1"/>
    </row>
    <row r="111" spans="1:26" ht="19.5" customHeight="1">
      <c r="A111" s="139" t="str">
        <f t="array" ref="A111">population!$A105</f>
        <v>p96</v>
      </c>
      <c r="B111" s="55"/>
      <c r="C111" s="55">
        <f t="array" ref="C111">population!C105</f>
        <v>56730</v>
      </c>
      <c r="D111" s="55">
        <f t="array" ref="D111">population!D105</f>
        <v>37891</v>
      </c>
      <c r="E111" s="55">
        <f t="array" ref="E111">population!E105</f>
        <v>9717</v>
      </c>
      <c r="F111" s="55">
        <f t="array" ref="F111">population!F105</f>
        <v>5903</v>
      </c>
      <c r="G111" s="55">
        <f t="array" ref="G111">population!G105</f>
        <v>3219</v>
      </c>
      <c r="H111" s="55">
        <f t="array" ref="H111">population!H105</f>
        <v>47608</v>
      </c>
      <c r="I111" s="55">
        <f t="array" ref="I111">population!I105</f>
        <v>9122</v>
      </c>
      <c r="J111" s="55">
        <f t="array" ref="J111">population!J105</f>
        <v>43794</v>
      </c>
      <c r="K111" s="55">
        <f t="array" ref="K111">population!K105</f>
        <v>12936</v>
      </c>
      <c r="L111" s="55"/>
      <c r="M111" s="1"/>
      <c r="N111" s="1"/>
      <c r="O111" s="1"/>
      <c r="P111" s="1"/>
      <c r="Q111" s="1"/>
      <c r="R111" s="1"/>
      <c r="S111" s="1"/>
      <c r="T111" s="1"/>
      <c r="U111" s="1"/>
      <c r="V111" s="1"/>
      <c r="W111" s="1"/>
      <c r="X111" s="1"/>
      <c r="Y111" s="1"/>
      <c r="Z111" s="1"/>
    </row>
    <row r="112" spans="1:26" ht="19.5" customHeight="1">
      <c r="A112" s="139" t="str">
        <f t="array" ref="A112">population!$A106</f>
        <v>p97</v>
      </c>
      <c r="B112" s="55"/>
      <c r="C112" s="55">
        <f t="array" ref="C112">population!C106</f>
        <v>40724</v>
      </c>
      <c r="D112" s="55">
        <f t="array" ref="D112">population!D106</f>
        <v>27994</v>
      </c>
      <c r="E112" s="55">
        <f t="array" ref="E112">population!E106</f>
        <v>6192</v>
      </c>
      <c r="F112" s="55">
        <f t="array" ref="F112">population!F106</f>
        <v>4319</v>
      </c>
      <c r="G112" s="55">
        <f t="array" ref="G112">population!G106</f>
        <v>2219</v>
      </c>
      <c r="H112" s="55">
        <f t="array" ref="H112">population!H106</f>
        <v>34186</v>
      </c>
      <c r="I112" s="55">
        <f t="array" ref="I112">population!I106</f>
        <v>6538</v>
      </c>
      <c r="J112" s="55">
        <f t="array" ref="J112">population!J106</f>
        <v>32313</v>
      </c>
      <c r="K112" s="55">
        <f t="array" ref="K112">population!K106</f>
        <v>8411</v>
      </c>
      <c r="L112" s="55"/>
      <c r="M112" s="1"/>
      <c r="N112" s="1"/>
      <c r="O112" s="1"/>
      <c r="P112" s="1"/>
      <c r="Q112" s="1"/>
      <c r="R112" s="1"/>
      <c r="S112" s="1"/>
      <c r="T112" s="1"/>
      <c r="U112" s="1"/>
      <c r="V112" s="1"/>
      <c r="W112" s="1"/>
      <c r="X112" s="1"/>
      <c r="Y112" s="1"/>
      <c r="Z112" s="1"/>
    </row>
    <row r="113" spans="1:26" ht="19.5" customHeight="1">
      <c r="A113" s="139" t="str">
        <f t="array" ref="A113">population!$A107</f>
        <v>p98</v>
      </c>
      <c r="B113" s="55"/>
      <c r="C113" s="55">
        <f t="array" ref="C113">population!C107</f>
        <v>29573</v>
      </c>
      <c r="D113" s="55">
        <f t="array" ref="D113">population!D107</f>
        <v>20626</v>
      </c>
      <c r="E113" s="55">
        <f t="array" ref="E113">population!E107</f>
        <v>4204</v>
      </c>
      <c r="F113" s="55">
        <f t="array" ref="F113">population!F107</f>
        <v>3166</v>
      </c>
      <c r="G113" s="55">
        <f t="array" ref="G113">population!G107</f>
        <v>1577</v>
      </c>
      <c r="H113" s="55">
        <f t="array" ref="H113">population!H107</f>
        <v>24830</v>
      </c>
      <c r="I113" s="55">
        <f t="array" ref="I113">population!I107</f>
        <v>4743</v>
      </c>
      <c r="J113" s="55">
        <f t="array" ref="J113">population!J107</f>
        <v>23792</v>
      </c>
      <c r="K113" s="55">
        <f t="array" ref="K113">population!K107</f>
        <v>5781</v>
      </c>
      <c r="L113" s="55"/>
      <c r="M113" s="1"/>
      <c r="N113" s="1"/>
      <c r="O113" s="1"/>
      <c r="P113" s="1"/>
      <c r="Q113" s="1"/>
      <c r="R113" s="1"/>
      <c r="S113" s="1"/>
      <c r="T113" s="1"/>
      <c r="U113" s="1"/>
      <c r="V113" s="1"/>
      <c r="W113" s="1"/>
      <c r="X113" s="1"/>
      <c r="Y113" s="1"/>
      <c r="Z113" s="1"/>
    </row>
    <row r="114" spans="1:26" ht="19.5" customHeight="1">
      <c r="A114" s="139" t="str">
        <f t="array" ref="A114">population!$A108</f>
        <v>p99</v>
      </c>
      <c r="B114" s="55"/>
      <c r="C114" s="55">
        <f t="array" ref="C114">population!C108</f>
        <v>55321</v>
      </c>
      <c r="D114" s="55">
        <f t="array" ref="D114">population!D108</f>
        <v>40488</v>
      </c>
      <c r="E114" s="55">
        <f t="array" ref="E114">population!E108</f>
        <v>5987</v>
      </c>
      <c r="F114" s="55">
        <f t="array" ref="F114">population!F108</f>
        <v>6117</v>
      </c>
      <c r="G114" s="55">
        <f t="array" ref="G114">population!G108</f>
        <v>2729</v>
      </c>
      <c r="H114" s="55">
        <f t="array" ref="H114">population!H108</f>
        <v>46475</v>
      </c>
      <c r="I114" s="55">
        <f t="array" ref="I114">population!I108</f>
        <v>8846</v>
      </c>
      <c r="J114" s="55">
        <f t="array" ref="J114">population!J108</f>
        <v>46605</v>
      </c>
      <c r="K114" s="55">
        <f t="array" ref="K114">population!K108</f>
        <v>8716</v>
      </c>
      <c r="L114" s="55"/>
      <c r="M114" s="1"/>
      <c r="N114" s="1"/>
      <c r="O114" s="1"/>
      <c r="P114" s="1"/>
      <c r="Q114" s="1"/>
      <c r="R114" s="1"/>
      <c r="S114" s="1"/>
      <c r="T114" s="1"/>
      <c r="U114" s="1"/>
      <c r="V114" s="1"/>
      <c r="W114" s="1"/>
      <c r="X114" s="1"/>
      <c r="Y114" s="1"/>
      <c r="Z114" s="1"/>
    </row>
    <row r="115" spans="1:26" ht="19.5" customHeight="1">
      <c r="A115" s="139" t="str">
        <f t="array" ref="A115">population!$A109</f>
        <v>pt</v>
      </c>
      <c r="B115" s="55"/>
      <c r="C115" s="55">
        <f t="array" ref="C115">population!C109</f>
        <v>68882600</v>
      </c>
      <c r="D115" s="55">
        <f t="array" ref="D115">population!D109</f>
        <v>27844155</v>
      </c>
      <c r="E115" s="55">
        <f t="array" ref="E115">population!E109</f>
        <v>26027855</v>
      </c>
      <c r="F115" s="55">
        <f t="array" ref="F115">population!F109</f>
        <v>7604375</v>
      </c>
      <c r="G115" s="55">
        <f t="array" ref="G115">population!G109</f>
        <v>7406215</v>
      </c>
      <c r="H115" s="55">
        <f t="array" ref="H115">population!H109</f>
        <v>53872010</v>
      </c>
      <c r="I115" s="55">
        <f t="array" ref="I115">population!I109</f>
        <v>15010590</v>
      </c>
      <c r="J115" s="55">
        <f t="array" ref="J115">population!J109</f>
        <v>35448530</v>
      </c>
      <c r="K115" s="55">
        <f t="array" ref="K115">population!K109</f>
        <v>33434070</v>
      </c>
      <c r="L115" s="55"/>
      <c r="M115" s="1"/>
      <c r="N115" s="1"/>
      <c r="O115" s="1"/>
      <c r="P115" s="1"/>
      <c r="Q115" s="1"/>
      <c r="R115" s="1"/>
      <c r="S115" s="1"/>
      <c r="T115" s="1"/>
      <c r="U115" s="1"/>
      <c r="V115" s="1"/>
      <c r="W115" s="1"/>
      <c r="X115" s="1"/>
      <c r="Y115" s="1"/>
      <c r="Z115" s="1"/>
    </row>
    <row r="116" spans="1:26" ht="43.5" customHeight="1">
      <c r="A116" s="139" t="str">
        <f t="array" ref="A116">population!$A111</f>
        <v>ps</v>
      </c>
      <c r="B116" s="55"/>
      <c r="C116" s="53" t="str">
        <f t="array" ref="C116">population!C111</f>
        <v>https://ec.europa.eu/eurostat/databrowser/view/demo_pjan, https://www.insee.fr/fr/statistiques/8582067, https://www.insee.fr/fr/statistiques/4187125; downloaded 2026-05-22</v>
      </c>
      <c r="D116" s="55"/>
      <c r="E116" s="55"/>
      <c r="F116" s="55"/>
      <c r="G116" s="55"/>
      <c r="H116" s="55"/>
      <c r="I116" s="55"/>
      <c r="J116" s="55"/>
      <c r="K116" s="55"/>
      <c r="L116" s="55"/>
      <c r="M116" s="1"/>
      <c r="N116" s="1"/>
      <c r="O116" s="1"/>
      <c r="P116" s="1"/>
      <c r="Q116" s="1"/>
      <c r="R116" s="1"/>
      <c r="S116" s="1"/>
      <c r="T116" s="1"/>
      <c r="U116" s="1"/>
      <c r="V116" s="1"/>
      <c r="W116" s="1"/>
      <c r="X116" s="1"/>
      <c r="Y116" s="1"/>
      <c r="Z116" s="1"/>
    </row>
    <row r="117" spans="1:26" ht="19.5" customHeight="1">
      <c r="A117" s="138"/>
      <c r="B117" s="55"/>
      <c r="C117" s="55"/>
      <c r="D117" s="55"/>
      <c r="E117" s="55"/>
      <c r="F117" s="55"/>
      <c r="G117" s="55"/>
      <c r="H117" s="55"/>
      <c r="I117" s="55"/>
      <c r="J117" s="55"/>
      <c r="K117" s="55"/>
      <c r="L117" s="55"/>
      <c r="M117" s="1"/>
      <c r="N117" s="1"/>
      <c r="O117" s="1"/>
      <c r="P117" s="1"/>
      <c r="Q117" s="1"/>
      <c r="R117" s="1"/>
      <c r="S117" s="1"/>
      <c r="T117" s="1"/>
      <c r="U117" s="1"/>
      <c r="V117" s="1"/>
      <c r="W117" s="1"/>
      <c r="X117" s="1"/>
      <c r="Y117" s="1"/>
      <c r="Z117" s="1"/>
    </row>
    <row r="118" spans="1:26" ht="26.25" customHeight="1">
      <c r="A118" s="19"/>
      <c r="B118" s="20" t="s">
        <v>320</v>
      </c>
      <c r="C118" s="177"/>
      <c r="D118" s="164"/>
      <c r="E118" s="164"/>
      <c r="F118" s="164"/>
      <c r="G118" s="164"/>
      <c r="H118" s="164"/>
      <c r="I118" s="164"/>
      <c r="J118" s="164"/>
      <c r="K118" s="165"/>
      <c r="L118" s="21"/>
      <c r="M118" s="1"/>
      <c r="N118" s="1"/>
      <c r="O118" s="1"/>
      <c r="P118" s="1"/>
      <c r="Q118" s="1"/>
      <c r="R118" s="1"/>
      <c r="S118" s="1"/>
      <c r="T118" s="1"/>
      <c r="U118" s="1"/>
      <c r="V118" s="1"/>
      <c r="W118" s="1"/>
      <c r="X118" s="1"/>
      <c r="Y118" s="1"/>
      <c r="Z118" s="1"/>
    </row>
    <row r="119" spans="1:26" ht="19.5" customHeight="1">
      <c r="A119" s="139" t="str">
        <f t="array" ref="A119">births!$A7</f>
        <v>f</v>
      </c>
      <c r="B119" s="55"/>
      <c r="C119" s="55"/>
      <c r="D119" s="55"/>
      <c r="E119" s="55"/>
      <c r="F119" s="55"/>
      <c r="G119" s="55"/>
      <c r="H119" s="149">
        <f t="array" ref="H119">births!D7</f>
        <v>1.7</v>
      </c>
      <c r="I119" s="149">
        <f t="array" ref="I119">births!F7</f>
        <v>2.2999999999999998</v>
      </c>
      <c r="J119" s="55"/>
      <c r="K119" s="55"/>
      <c r="L119" s="55"/>
      <c r="M119" s="1"/>
      <c r="N119" s="1"/>
      <c r="O119" s="1"/>
      <c r="P119" s="1"/>
      <c r="Q119" s="1"/>
      <c r="R119" s="1"/>
      <c r="S119" s="1"/>
      <c r="T119" s="1"/>
      <c r="U119" s="1"/>
      <c r="V119" s="1"/>
      <c r="W119" s="1"/>
      <c r="X119" s="1"/>
      <c r="Y119" s="1"/>
      <c r="Z119" s="1"/>
    </row>
    <row r="120" spans="1:26" ht="19.5" customHeight="1">
      <c r="A120" s="143" t="str">
        <f t="array" ref="A120">births!$A11</f>
        <v>f00</v>
      </c>
      <c r="B120" s="106"/>
      <c r="C120" s="106">
        <f t="array" ref="C120">births!C11</f>
        <v>613930</v>
      </c>
      <c r="D120" s="55">
        <f t="array" ref="D120">births!D11</f>
        <v>207157.50052065135</v>
      </c>
      <c r="E120" s="55">
        <f t="array" ref="E120">births!E11</f>
        <v>216905.14613097793</v>
      </c>
      <c r="F120" s="55">
        <f t="array" ref="F120">births!F11</f>
        <v>92751.49947934864</v>
      </c>
      <c r="G120" s="55">
        <f t="array" ref="G120">births!G11</f>
        <v>97115.853869022088</v>
      </c>
      <c r="H120" s="55">
        <f t="array" ref="H120">births!H11</f>
        <v>424062.64665162924</v>
      </c>
      <c r="I120" s="55">
        <f t="array" ref="I120">births!I11</f>
        <v>189867.35334837073</v>
      </c>
      <c r="J120" s="55">
        <f t="array" ref="J120">births!J11</f>
        <v>299909</v>
      </c>
      <c r="K120" s="55">
        <f t="array" ref="K120">births!K11</f>
        <v>314021</v>
      </c>
      <c r="L120" s="55"/>
      <c r="M120" s="1"/>
      <c r="N120" s="1"/>
      <c r="O120" s="1"/>
      <c r="P120" s="1"/>
      <c r="Q120" s="1"/>
      <c r="R120" s="1"/>
      <c r="S120" s="1"/>
      <c r="T120" s="1"/>
      <c r="U120" s="1"/>
      <c r="V120" s="1"/>
      <c r="W120" s="1"/>
      <c r="X120" s="1"/>
      <c r="Y120" s="1"/>
      <c r="Z120" s="1"/>
    </row>
    <row r="121" spans="1:26" ht="43.5" customHeight="1">
      <c r="A121" s="144" t="str">
        <f t="array" ref="A121">births!$A13</f>
        <v>fs</v>
      </c>
      <c r="B121" s="145"/>
      <c r="C121" s="130" t="str">
        <f t="array" ref="C121">births!C13</f>
        <v>https://www.insee.fr/fr/statistiques/6801884, https://www.insee.fr/fr/statistiques/6793238; downloaded 2026-05-22</v>
      </c>
      <c r="D121" s="55"/>
      <c r="E121" s="55"/>
      <c r="F121" s="55"/>
      <c r="G121" s="55"/>
      <c r="H121" s="55"/>
      <c r="I121" s="55"/>
      <c r="J121" s="55"/>
      <c r="K121" s="55"/>
      <c r="L121" s="55"/>
      <c r="M121" s="1"/>
      <c r="N121" s="1"/>
      <c r="O121" s="1"/>
      <c r="P121" s="1"/>
      <c r="Q121" s="1"/>
      <c r="R121" s="1"/>
      <c r="S121" s="1"/>
      <c r="T121" s="1"/>
      <c r="U121" s="1"/>
      <c r="V121" s="1"/>
      <c r="W121" s="1"/>
      <c r="X121" s="1"/>
      <c r="Y121" s="1"/>
      <c r="Z121" s="1"/>
    </row>
    <row r="122" spans="1:26" ht="19.5" customHeight="1">
      <c r="A122" s="147" t="str">
        <f t="array" ref="A122">births!$A22</f>
        <v>b15</v>
      </c>
      <c r="B122" s="148"/>
      <c r="C122" s="148">
        <f t="array" ref="C122">births!C22</f>
        <v>362.33305065795645</v>
      </c>
      <c r="D122" s="55">
        <f t="array" ref="D122">births!D22</f>
        <v>92.394558486798672</v>
      </c>
      <c r="E122" s="55">
        <f t="array" ref="E122">births!E22</f>
        <v>96.742117277517536</v>
      </c>
      <c r="F122" s="55">
        <f t="array" ref="F122">births!F22</f>
        <v>84.607612590974114</v>
      </c>
      <c r="G122" s="55">
        <f t="array" ref="G122">births!G22</f>
        <v>88.588762302666098</v>
      </c>
      <c r="H122" s="55">
        <f t="array" ref="H122">births!H22</f>
        <v>218</v>
      </c>
      <c r="I122" s="55">
        <f t="array" ref="I122">births!I22</f>
        <v>157</v>
      </c>
      <c r="J122" s="55">
        <f t="array" ref="J122">births!J22</f>
        <v>177.0021710777728</v>
      </c>
      <c r="K122" s="55">
        <f t="array" ref="K122">births!K22</f>
        <v>185.33087958018365</v>
      </c>
      <c r="L122" s="55"/>
      <c r="M122" s="1"/>
      <c r="N122" s="1"/>
      <c r="O122" s="1"/>
      <c r="P122" s="1"/>
      <c r="Q122" s="1"/>
      <c r="R122" s="1"/>
      <c r="S122" s="1"/>
      <c r="T122" s="1"/>
      <c r="U122" s="1"/>
      <c r="V122" s="1"/>
      <c r="W122" s="1"/>
      <c r="X122" s="1"/>
      <c r="Y122" s="1"/>
      <c r="Z122" s="1"/>
    </row>
    <row r="123" spans="1:26" ht="19.5" customHeight="1">
      <c r="A123" s="139" t="str">
        <f t="array" ref="A123">births!$A23</f>
        <v>b16</v>
      </c>
      <c r="B123" s="55"/>
      <c r="C123" s="55">
        <f t="array" ref="C123">births!C23</f>
        <v>890.84871685404698</v>
      </c>
      <c r="D123" s="55">
        <f t="array" ref="D123">births!D23</f>
        <v>264.89265621215213</v>
      </c>
      <c r="E123" s="55">
        <f t="array" ref="E123">births!E23</f>
        <v>277.35698760756173</v>
      </c>
      <c r="F123" s="55">
        <f t="array" ref="F123">births!F23</f>
        <v>170.29302916399885</v>
      </c>
      <c r="G123" s="55">
        <f t="array" ref="G123">births!G23</f>
        <v>178.30604387033432</v>
      </c>
      <c r="H123" s="55">
        <f t="array" ref="H123">births!H23</f>
        <v>625</v>
      </c>
      <c r="I123" s="55">
        <f t="array" ref="I123">births!I23</f>
        <v>316</v>
      </c>
      <c r="J123" s="55">
        <f t="array" ref="J123">births!J23</f>
        <v>435.18568537615101</v>
      </c>
      <c r="K123" s="55">
        <f t="array" ref="K123">births!K23</f>
        <v>455.66303147789608</v>
      </c>
      <c r="L123" s="55"/>
      <c r="M123" s="1"/>
      <c r="N123" s="1"/>
      <c r="O123" s="1"/>
      <c r="P123" s="1"/>
      <c r="Q123" s="1"/>
      <c r="R123" s="1"/>
      <c r="S123" s="1"/>
      <c r="T123" s="1"/>
      <c r="U123" s="1"/>
      <c r="V123" s="1"/>
      <c r="W123" s="1"/>
      <c r="X123" s="1"/>
      <c r="Y123" s="1"/>
      <c r="Z123" s="1"/>
    </row>
    <row r="124" spans="1:26" ht="19.5" customHeight="1">
      <c r="A124" s="139" t="str">
        <f t="array" ref="A124">births!$A24</f>
        <v>b17</v>
      </c>
      <c r="B124" s="55"/>
      <c r="C124" s="55">
        <f t="array" ref="C124">births!C24</f>
        <v>1557.398955944192</v>
      </c>
      <c r="D124" s="55">
        <f t="array" ref="D124">births!D24</f>
        <v>508.59389992733213</v>
      </c>
      <c r="E124" s="55">
        <f t="array" ref="E124">births!E24</f>
        <v>532.52541620651857</v>
      </c>
      <c r="F124" s="55">
        <f t="array" ref="F124">births!F24</f>
        <v>252.20613179984639</v>
      </c>
      <c r="G124" s="55">
        <f t="array" ref="G124">births!G24</f>
        <v>264.07350801049512</v>
      </c>
      <c r="H124" s="55">
        <f t="array" ref="H124">births!H24</f>
        <v>1200</v>
      </c>
      <c r="I124" s="55">
        <f t="array" ref="I124">births!I24</f>
        <v>468</v>
      </c>
      <c r="J124" s="55">
        <f t="array" ref="J124">births!J24</f>
        <v>760.80003172717852</v>
      </c>
      <c r="K124" s="55">
        <f t="array" ref="K124">births!K24</f>
        <v>796.59892421701375</v>
      </c>
      <c r="L124" s="55"/>
      <c r="M124" s="1"/>
      <c r="N124" s="1"/>
      <c r="O124" s="1"/>
      <c r="P124" s="1"/>
      <c r="Q124" s="1"/>
      <c r="R124" s="1"/>
      <c r="S124" s="1"/>
      <c r="T124" s="1"/>
      <c r="U124" s="1"/>
      <c r="V124" s="1"/>
      <c r="W124" s="1"/>
      <c r="X124" s="1"/>
      <c r="Y124" s="1"/>
      <c r="Z124" s="1"/>
    </row>
    <row r="125" spans="1:26" ht="19.5" customHeight="1">
      <c r="A125" s="139" t="str">
        <f t="array" ref="A125">births!$A25</f>
        <v>b18</v>
      </c>
      <c r="B125" s="55"/>
      <c r="C125" s="55">
        <f t="array" ref="C125">births!C25</f>
        <v>2836.6336201140193</v>
      </c>
      <c r="D125" s="55">
        <f t="array" ref="D125">births!D25</f>
        <v>971.83817711114386</v>
      </c>
      <c r="E125" s="55">
        <f t="array" ref="E125">births!E25</f>
        <v>1017.5673161346225</v>
      </c>
      <c r="F125" s="55">
        <f t="array" ref="F125">births!F25</f>
        <v>413.87672910744021</v>
      </c>
      <c r="G125" s="55">
        <f t="array" ref="G125">births!G25</f>
        <v>433.35139776081252</v>
      </c>
      <c r="H125" s="55">
        <f t="array" ref="H125">births!H25</f>
        <v>2293</v>
      </c>
      <c r="I125" s="55">
        <f t="array" ref="I125">births!I25</f>
        <v>768</v>
      </c>
      <c r="J125" s="55">
        <f t="array" ref="J125">births!J25</f>
        <v>1385.714906218584</v>
      </c>
      <c r="K125" s="55">
        <f t="array" ref="K125">births!K25</f>
        <v>1450.9187138954351</v>
      </c>
      <c r="L125" s="55"/>
      <c r="M125" s="1"/>
      <c r="N125" s="1"/>
      <c r="O125" s="1"/>
      <c r="P125" s="1"/>
      <c r="Q125" s="1"/>
      <c r="R125" s="1"/>
      <c r="S125" s="1"/>
      <c r="T125" s="1"/>
      <c r="U125" s="1"/>
      <c r="V125" s="1"/>
      <c r="W125" s="1"/>
      <c r="X125" s="1"/>
      <c r="Y125" s="1"/>
      <c r="Z125" s="1"/>
    </row>
    <row r="126" spans="1:26" ht="19.5" customHeight="1">
      <c r="A126" s="139" t="str">
        <f t="array" ref="A126">births!$A26</f>
        <v>b19</v>
      </c>
      <c r="B126" s="55"/>
      <c r="C126" s="55">
        <f t="array" ref="C126">births!C26</f>
        <v>5200.0257968359801</v>
      </c>
      <c r="D126" s="55">
        <f t="array" ref="D126">births!D26</f>
        <v>1830.5142114884561</v>
      </c>
      <c r="E126" s="55">
        <f t="array" ref="E126">births!E26</f>
        <v>1916.6477271632946</v>
      </c>
      <c r="F126" s="55">
        <f t="array" ref="F126">births!F26</f>
        <v>709.733922180337</v>
      </c>
      <c r="G126" s="55">
        <f t="array" ref="G126">births!G26</f>
        <v>743.12993600389336</v>
      </c>
      <c r="H126" s="55">
        <f t="array" ref="H126">births!H26</f>
        <v>4319</v>
      </c>
      <c r="I126" s="55">
        <f t="array" ref="I126">births!I26</f>
        <v>1317</v>
      </c>
      <c r="J126" s="55">
        <f t="array" ref="J126">births!J26</f>
        <v>2540.2481336687933</v>
      </c>
      <c r="K126" s="55">
        <f t="array" ref="K126">births!K26</f>
        <v>2659.7776631671877</v>
      </c>
      <c r="L126" s="55"/>
      <c r="M126" s="1"/>
      <c r="N126" s="1"/>
      <c r="O126" s="1"/>
      <c r="P126" s="1"/>
      <c r="Q126" s="1"/>
      <c r="R126" s="1"/>
      <c r="S126" s="1"/>
      <c r="T126" s="1"/>
      <c r="U126" s="1"/>
      <c r="V126" s="1"/>
      <c r="W126" s="1"/>
      <c r="X126" s="1"/>
      <c r="Y126" s="1"/>
      <c r="Z126" s="1"/>
    </row>
    <row r="127" spans="1:26" ht="19.5" customHeight="1">
      <c r="A127" s="139" t="str">
        <f t="array" ref="A127">births!$A27</f>
        <v>b20</v>
      </c>
      <c r="B127" s="55"/>
      <c r="C127" s="55">
        <f t="array" ref="C127">births!C27</f>
        <v>7672.0204799469666</v>
      </c>
      <c r="D127" s="55">
        <f t="array" ref="D127">births!D27</f>
        <v>2618.8347563758211</v>
      </c>
      <c r="E127" s="55">
        <f t="array" ref="E127">births!E27</f>
        <v>2742.0621222833984</v>
      </c>
      <c r="F127" s="55">
        <f t="array" ref="F127">births!F27</f>
        <v>1128.9996711980302</v>
      </c>
      <c r="G127" s="55">
        <f t="array" ref="G127">births!G27</f>
        <v>1182.1239300897164</v>
      </c>
      <c r="H127" s="55">
        <f t="array" ref="H127">births!H27</f>
        <v>6179</v>
      </c>
      <c r="I127" s="55">
        <f t="array" ref="I127">births!I27</f>
        <v>2095</v>
      </c>
      <c r="J127" s="55">
        <f t="array" ref="J127">births!J27</f>
        <v>3747.8344275738514</v>
      </c>
      <c r="K127" s="55">
        <f t="array" ref="K127">births!K27</f>
        <v>3924.1860523731148</v>
      </c>
      <c r="L127" s="55"/>
      <c r="M127" s="1"/>
      <c r="N127" s="1"/>
      <c r="O127" s="1"/>
      <c r="P127" s="1"/>
      <c r="Q127" s="1"/>
      <c r="R127" s="1"/>
      <c r="S127" s="1"/>
      <c r="T127" s="1"/>
      <c r="U127" s="1"/>
      <c r="V127" s="1"/>
      <c r="W127" s="1"/>
      <c r="X127" s="1"/>
      <c r="Y127" s="1"/>
      <c r="Z127" s="1"/>
    </row>
    <row r="128" spans="1:26" ht="19.5" customHeight="1">
      <c r="A128" s="139" t="str">
        <f t="array" ref="A128">births!$A28</f>
        <v>b21</v>
      </c>
      <c r="B128" s="55"/>
      <c r="C128" s="55">
        <f t="array" ref="C128">births!C28</f>
        <v>10299.551023241333</v>
      </c>
      <c r="D128" s="55">
        <f t="array" ref="D128">births!D28</f>
        <v>3482.5967297524066</v>
      </c>
      <c r="E128" s="55">
        <f t="array" ref="E128">births!E28</f>
        <v>3646.467787474136</v>
      </c>
      <c r="F128" s="55">
        <f t="array" ref="F128">births!F28</f>
        <v>1548.804322206749</v>
      </c>
      <c r="G128" s="55">
        <f t="array" ref="G128">births!G28</f>
        <v>1621.6821838080405</v>
      </c>
      <c r="H128" s="55">
        <f t="array" ref="H128">births!H28</f>
        <v>8217</v>
      </c>
      <c r="I128" s="55">
        <f t="array" ref="I128">births!I28</f>
        <v>2874</v>
      </c>
      <c r="J128" s="55">
        <f t="array" ref="J128">births!J28</f>
        <v>5031.4010519591557</v>
      </c>
      <c r="K128" s="55">
        <f t="array" ref="K128">births!K28</f>
        <v>5268.1499712821769</v>
      </c>
      <c r="L128" s="55"/>
      <c r="M128" s="1"/>
      <c r="N128" s="1"/>
      <c r="O128" s="1"/>
      <c r="P128" s="1"/>
      <c r="Q128" s="1"/>
      <c r="R128" s="1"/>
      <c r="S128" s="1"/>
      <c r="T128" s="1"/>
      <c r="U128" s="1"/>
      <c r="V128" s="1"/>
      <c r="W128" s="1"/>
      <c r="X128" s="1"/>
      <c r="Y128" s="1"/>
      <c r="Z128" s="1"/>
    </row>
    <row r="129" spans="1:26" ht="19.5" customHeight="1">
      <c r="A129" s="139" t="str">
        <f t="array" ref="A129">births!$A29</f>
        <v>b22</v>
      </c>
      <c r="B129" s="55"/>
      <c r="C129" s="55">
        <f t="array" ref="C129">births!C29</f>
        <v>12999.473901177482</v>
      </c>
      <c r="D129" s="55">
        <f t="array" ref="D129">births!D29</f>
        <v>4495.9700753576162</v>
      </c>
      <c r="E129" s="55">
        <f t="array" ref="E129">births!E29</f>
        <v>4707.5246792656244</v>
      </c>
      <c r="F129" s="55">
        <f t="array" ref="F129">births!F29</f>
        <v>1854.3617511181017</v>
      </c>
      <c r="G129" s="55">
        <f t="array" ref="G129">births!G29</f>
        <v>1941.6173954361404</v>
      </c>
      <c r="H129" s="55">
        <f t="array" ref="H129">births!H29</f>
        <v>10608</v>
      </c>
      <c r="I129" s="55">
        <f t="array" ref="I129">births!I29</f>
        <v>3441</v>
      </c>
      <c r="J129" s="55">
        <f t="array" ref="J129">births!J29</f>
        <v>6350.3318264757181</v>
      </c>
      <c r="K129" s="55">
        <f t="array" ref="K129">births!K29</f>
        <v>6649.1420747017646</v>
      </c>
      <c r="L129" s="55"/>
      <c r="M129" s="1"/>
      <c r="N129" s="1"/>
      <c r="O129" s="1"/>
      <c r="P129" s="1"/>
      <c r="Q129" s="1"/>
      <c r="R129" s="1"/>
      <c r="S129" s="1"/>
      <c r="T129" s="1"/>
      <c r="U129" s="1"/>
      <c r="V129" s="1"/>
      <c r="W129" s="1"/>
      <c r="X129" s="1"/>
      <c r="Y129" s="1"/>
      <c r="Z129" s="1"/>
    </row>
    <row r="130" spans="1:26" ht="19.5" customHeight="1">
      <c r="A130" s="139" t="str">
        <f t="array" ref="A130">births!$A30</f>
        <v>b23</v>
      </c>
      <c r="B130" s="55"/>
      <c r="C130" s="55">
        <f t="array" ref="C130">births!C30</f>
        <v>17040.549457663245</v>
      </c>
      <c r="D130" s="55">
        <f t="array" ref="D130">births!D30</f>
        <v>5843.320081915107</v>
      </c>
      <c r="E130" s="55">
        <f t="array" ref="E130">births!E30</f>
        <v>6118.2732610327257</v>
      </c>
      <c r="F130" s="55">
        <f t="array" ref="F130">births!F30</f>
        <v>2481.1047666805403</v>
      </c>
      <c r="G130" s="55">
        <f t="array" ref="G130">births!G30</f>
        <v>2597.8513480348711</v>
      </c>
      <c r="H130" s="55">
        <f t="array" ref="H130">births!H30</f>
        <v>13787</v>
      </c>
      <c r="I130" s="55">
        <f t="array" ref="I130">births!I30</f>
        <v>4604</v>
      </c>
      <c r="J130" s="55">
        <f t="array" ref="J130">births!J30</f>
        <v>8324.4248485956468</v>
      </c>
      <c r="K130" s="55">
        <f t="array" ref="K130">births!K30</f>
        <v>8716.1246090675959</v>
      </c>
      <c r="L130" s="55"/>
      <c r="M130" s="1"/>
      <c r="N130" s="1"/>
      <c r="O130" s="1"/>
      <c r="P130" s="1"/>
      <c r="Q130" s="1"/>
      <c r="R130" s="1"/>
      <c r="S130" s="1"/>
      <c r="T130" s="1"/>
      <c r="U130" s="1"/>
      <c r="V130" s="1"/>
      <c r="W130" s="1"/>
      <c r="X130" s="1"/>
      <c r="Y130" s="1"/>
      <c r="Z130" s="1"/>
    </row>
    <row r="131" spans="1:26" ht="19.5" customHeight="1">
      <c r="A131" s="139" t="str">
        <f t="array" ref="A131">births!$A31</f>
        <v>b24</v>
      </c>
      <c r="B131" s="55"/>
      <c r="C131" s="55">
        <f t="array" ref="C131">births!C31</f>
        <v>21059.359376544442</v>
      </c>
      <c r="D131" s="55">
        <f t="array" ref="D131">births!D31</f>
        <v>7127.5196792316201</v>
      </c>
      <c r="E131" s="55">
        <f t="array" ref="E131">births!E31</f>
        <v>7462.8999369541853</v>
      </c>
      <c r="F131" s="55">
        <f t="array" ref="F131">births!F31</f>
        <v>3160.121275372434</v>
      </c>
      <c r="G131" s="55">
        <f t="array" ref="G131">births!G31</f>
        <v>3308.8184849862041</v>
      </c>
      <c r="H131" s="55">
        <f t="array" ref="H131">births!H31</f>
        <v>16817</v>
      </c>
      <c r="I131" s="55">
        <f t="array" ref="I131">births!I31</f>
        <v>5864</v>
      </c>
      <c r="J131" s="55">
        <f t="array" ref="J131">births!J31</f>
        <v>10287.640954604054</v>
      </c>
      <c r="K131" s="55">
        <f t="array" ref="K131">births!K31</f>
        <v>10771.71842194039</v>
      </c>
      <c r="L131" s="55"/>
      <c r="M131" s="1"/>
      <c r="N131" s="1"/>
      <c r="O131" s="1"/>
      <c r="P131" s="1"/>
      <c r="Q131" s="1"/>
      <c r="R131" s="1"/>
      <c r="S131" s="1"/>
      <c r="T131" s="1"/>
      <c r="U131" s="1"/>
      <c r="V131" s="1"/>
      <c r="W131" s="1"/>
      <c r="X131" s="1"/>
      <c r="Y131" s="1"/>
      <c r="Z131" s="1"/>
    </row>
    <row r="132" spans="1:26" ht="19.5" customHeight="1">
      <c r="A132" s="139" t="str">
        <f t="array" ref="A132">births!$A32</f>
        <v>b25</v>
      </c>
      <c r="B132" s="55"/>
      <c r="C132" s="55">
        <f t="array" ref="C132">births!C32</f>
        <v>24615.801926276854</v>
      </c>
      <c r="D132" s="55">
        <f t="array" ref="D132">births!D32</f>
        <v>8459.6118687912913</v>
      </c>
      <c r="E132" s="55">
        <f t="array" ref="E132">births!E32</f>
        <v>8857.6727562350916</v>
      </c>
      <c r="F132" s="55">
        <f t="array" ref="F132">births!F32</f>
        <v>3565.3755726234695</v>
      </c>
      <c r="G132" s="55">
        <f t="array" ref="G132">births!G32</f>
        <v>3733.1417286269998</v>
      </c>
      <c r="H132" s="55">
        <f t="array" ref="H132">births!H32</f>
        <v>19960</v>
      </c>
      <c r="I132" s="55">
        <f t="array" ref="I132">births!I32</f>
        <v>6616</v>
      </c>
      <c r="J132" s="55">
        <f t="array" ref="J132">births!J32</f>
        <v>12024.98744141476</v>
      </c>
      <c r="K132" s="55">
        <f t="array" ref="K132">births!K32</f>
        <v>12590.81448486209</v>
      </c>
      <c r="L132" s="55"/>
      <c r="M132" s="1"/>
      <c r="N132" s="1"/>
      <c r="O132" s="1"/>
      <c r="P132" s="1"/>
      <c r="Q132" s="1"/>
      <c r="R132" s="1"/>
      <c r="S132" s="1"/>
      <c r="T132" s="1"/>
      <c r="U132" s="1"/>
      <c r="V132" s="1"/>
      <c r="W132" s="1"/>
      <c r="X132" s="1"/>
      <c r="Y132" s="1"/>
      <c r="Z132" s="1"/>
    </row>
    <row r="133" spans="1:26" ht="19.5" customHeight="1">
      <c r="A133" s="139" t="str">
        <f t="array" ref="A133">births!$A33</f>
        <v>b26</v>
      </c>
      <c r="B133" s="55"/>
      <c r="C133" s="55">
        <f t="array" ref="C133">births!C33</f>
        <v>29103.138765743828</v>
      </c>
      <c r="D133" s="55">
        <f t="array" ref="D133">births!D33</f>
        <v>9984.5459120734085</v>
      </c>
      <c r="E133" s="55">
        <f t="array" ref="E133">births!E33</f>
        <v>10454.361462494304</v>
      </c>
      <c r="F133" s="55">
        <f t="array" ref="F133">births!F33</f>
        <v>4232.536237512807</v>
      </c>
      <c r="G133" s="55">
        <f t="array" ref="G133">births!G33</f>
        <v>4431.6951536633096</v>
      </c>
      <c r="H133" s="55">
        <f t="array" ref="H133">births!H33</f>
        <v>23558</v>
      </c>
      <c r="I133" s="55">
        <f t="array" ref="I133">births!I33</f>
        <v>7854</v>
      </c>
      <c r="J133" s="55">
        <f t="array" ref="J133">births!J33</f>
        <v>14217.082149586215</v>
      </c>
      <c r="K133" s="55">
        <f t="array" ref="K133">births!K33</f>
        <v>14886.056616157613</v>
      </c>
      <c r="L133" s="55"/>
      <c r="M133" s="1"/>
      <c r="N133" s="1"/>
      <c r="O133" s="1"/>
      <c r="P133" s="1"/>
      <c r="Q133" s="1"/>
      <c r="R133" s="1"/>
      <c r="S133" s="1"/>
      <c r="T133" s="1"/>
      <c r="U133" s="1"/>
      <c r="V133" s="1"/>
      <c r="W133" s="1"/>
      <c r="X133" s="1"/>
      <c r="Y133" s="1"/>
      <c r="Z133" s="1"/>
    </row>
    <row r="134" spans="1:26" ht="19.5" customHeight="1">
      <c r="A134" s="139" t="str">
        <f t="array" ref="A134">births!$A34</f>
        <v>b27</v>
      </c>
      <c r="B134" s="55"/>
      <c r="C134" s="55">
        <f t="array" ref="C134">births!C34</f>
        <v>33535.010683355395</v>
      </c>
      <c r="D134" s="55">
        <f t="array" ref="D134">births!D34</f>
        <v>11674.772972831908</v>
      </c>
      <c r="E134" s="55">
        <f t="array" ref="E134">births!E34</f>
        <v>12224.120929020633</v>
      </c>
      <c r="F134" s="55">
        <f t="array" ref="F134">births!F34</f>
        <v>4707.3088916061079</v>
      </c>
      <c r="G134" s="55">
        <f t="array" ref="G134">births!G34</f>
        <v>4928.8078898967415</v>
      </c>
      <c r="H134" s="55">
        <f t="array" ref="H134">births!H34</f>
        <v>27546</v>
      </c>
      <c r="I134" s="55">
        <f t="array" ref="I134">births!I34</f>
        <v>8735</v>
      </c>
      <c r="J134" s="55">
        <f t="array" ref="J134">births!J34</f>
        <v>16382.081864438016</v>
      </c>
      <c r="K134" s="55">
        <f t="array" ref="K134">births!K34</f>
        <v>17152.928818917375</v>
      </c>
      <c r="L134" s="55"/>
      <c r="M134" s="1"/>
      <c r="N134" s="1"/>
      <c r="O134" s="1"/>
      <c r="P134" s="1"/>
      <c r="Q134" s="1"/>
      <c r="R134" s="1"/>
      <c r="S134" s="1"/>
      <c r="T134" s="1"/>
      <c r="U134" s="1"/>
      <c r="V134" s="1"/>
      <c r="W134" s="1"/>
      <c r="X134" s="1"/>
      <c r="Y134" s="1"/>
      <c r="Z134" s="1"/>
    </row>
    <row r="135" spans="1:26" ht="19.5" customHeight="1">
      <c r="A135" s="139" t="str">
        <f t="array" ref="A135">births!$A35</f>
        <v>b28</v>
      </c>
      <c r="B135" s="55"/>
      <c r="C135" s="55">
        <f t="array" ref="C135">births!C35</f>
        <v>37648.75562896052</v>
      </c>
      <c r="D135" s="55">
        <f t="array" ref="D135">births!D35</f>
        <v>13232.765619609303</v>
      </c>
      <c r="E135" s="55">
        <f t="array" ref="E135">births!E35</f>
        <v>13855.423787333268</v>
      </c>
      <c r="F135" s="55">
        <f t="array" ref="F135">births!F35</f>
        <v>5158.90876008532</v>
      </c>
      <c r="G135" s="55">
        <f t="array" ref="G135">births!G35</f>
        <v>5401.6574619326284</v>
      </c>
      <c r="H135" s="55">
        <f t="array" ref="H135">births!H35</f>
        <v>31222</v>
      </c>
      <c r="I135" s="55">
        <f t="array" ref="I135">births!I35</f>
        <v>9573</v>
      </c>
      <c r="J135" s="55">
        <f t="array" ref="J135">births!J35</f>
        <v>18391.674379694625</v>
      </c>
      <c r="K135" s="55">
        <f t="array" ref="K135">births!K35</f>
        <v>19257.081249265895</v>
      </c>
      <c r="L135" s="55"/>
      <c r="M135" s="1"/>
      <c r="N135" s="1"/>
      <c r="O135" s="1"/>
      <c r="P135" s="1"/>
      <c r="Q135" s="1"/>
      <c r="R135" s="1"/>
      <c r="S135" s="1"/>
      <c r="T135" s="1"/>
      <c r="U135" s="1"/>
      <c r="V135" s="1"/>
      <c r="W135" s="1"/>
      <c r="X135" s="1"/>
      <c r="Y135" s="1"/>
      <c r="Z135" s="1"/>
    </row>
    <row r="136" spans="1:26" ht="19.5" customHeight="1">
      <c r="A136" s="139" t="str">
        <f t="array" ref="A136">births!$A36</f>
        <v>b29</v>
      </c>
      <c r="B136" s="55"/>
      <c r="C136" s="55">
        <f t="array" ref="C136">births!C36</f>
        <v>39923.322502886585</v>
      </c>
      <c r="D136" s="55">
        <f t="array" ref="D136">births!D36</f>
        <v>13919.791212761142</v>
      </c>
      <c r="E136" s="55">
        <f t="array" ref="E136">births!E36</f>
        <v>14574.776870392241</v>
      </c>
      <c r="F136" s="55">
        <f t="array" ref="F136">births!F36</f>
        <v>5583.0246270222406</v>
      </c>
      <c r="G136" s="55">
        <f t="array" ref="G136">births!G36</f>
        <v>5845.7297927109603</v>
      </c>
      <c r="H136" s="55">
        <f t="array" ref="H136">births!H36</f>
        <v>32843</v>
      </c>
      <c r="I136" s="55">
        <f t="array" ref="I136">births!I36</f>
        <v>10360</v>
      </c>
      <c r="J136" s="55">
        <f t="array" ref="J136">births!J36</f>
        <v>19502.815839783383</v>
      </c>
      <c r="K136" s="55">
        <f t="array" ref="K136">births!K36</f>
        <v>20420.506663103202</v>
      </c>
      <c r="L136" s="55"/>
      <c r="M136" s="1"/>
      <c r="N136" s="1"/>
      <c r="O136" s="1"/>
      <c r="P136" s="1"/>
      <c r="Q136" s="1"/>
      <c r="R136" s="1"/>
      <c r="S136" s="1"/>
      <c r="T136" s="1"/>
      <c r="U136" s="1"/>
      <c r="V136" s="1"/>
      <c r="W136" s="1"/>
      <c r="X136" s="1"/>
      <c r="Y136" s="1"/>
      <c r="Z136" s="1"/>
    </row>
    <row r="137" spans="1:26" ht="19.5" customHeight="1">
      <c r="A137" s="139" t="str">
        <f t="array" ref="A137">births!$A37</f>
        <v>b30</v>
      </c>
      <c r="B137" s="55"/>
      <c r="C137" s="55">
        <f t="array" ref="C137">births!C37</f>
        <v>41742.671766114756</v>
      </c>
      <c r="D137" s="55">
        <f t="array" ref="D137">births!D37</f>
        <v>14483.058956930661</v>
      </c>
      <c r="E137" s="55">
        <f t="array" ref="E137">births!E37</f>
        <v>15164.548768840961</v>
      </c>
      <c r="F137" s="55">
        <f t="array" ref="F137">births!F37</f>
        <v>5908.5214296015301</v>
      </c>
      <c r="G137" s="55">
        <f t="array" ref="G137">births!G37</f>
        <v>6186.5426107415997</v>
      </c>
      <c r="H137" s="55">
        <f t="array" ref="H137">births!H37</f>
        <v>34172</v>
      </c>
      <c r="I137" s="55">
        <f t="array" ref="I137">births!I37</f>
        <v>10964</v>
      </c>
      <c r="J137" s="55">
        <f t="array" ref="J137">births!J37</f>
        <v>20391.58038653219</v>
      </c>
      <c r="K137" s="55">
        <f t="array" ref="K137">births!K37</f>
        <v>21351.091379582562</v>
      </c>
      <c r="L137" s="55"/>
      <c r="M137" s="1"/>
      <c r="N137" s="1"/>
      <c r="O137" s="1"/>
      <c r="P137" s="1"/>
      <c r="Q137" s="1"/>
      <c r="R137" s="1"/>
      <c r="S137" s="1"/>
      <c r="T137" s="1"/>
      <c r="U137" s="1"/>
      <c r="V137" s="1"/>
      <c r="W137" s="1"/>
      <c r="X137" s="1"/>
      <c r="Y137" s="1"/>
      <c r="Z137" s="1"/>
    </row>
    <row r="138" spans="1:26" ht="19.5" customHeight="1">
      <c r="A138" s="139" t="str">
        <f t="array" ref="A138">births!$A38</f>
        <v>b31</v>
      </c>
      <c r="B138" s="55"/>
      <c r="C138" s="55">
        <f t="array" ref="C138">births!C38</f>
        <v>43235.606294773745</v>
      </c>
      <c r="D138" s="55">
        <f t="array" ref="D138">births!D38</f>
        <v>15067.941941847093</v>
      </c>
      <c r="E138" s="55">
        <f t="array" ref="E138">births!E38</f>
        <v>15776.952997478456</v>
      </c>
      <c r="F138" s="55">
        <f t="array" ref="F138">births!F38</f>
        <v>6052.9471631963133</v>
      </c>
      <c r="G138" s="55">
        <f t="array" ref="G138">births!G38</f>
        <v>6337.7641922518833</v>
      </c>
      <c r="H138" s="55">
        <f t="array" ref="H138">births!H38</f>
        <v>35552</v>
      </c>
      <c r="I138" s="55">
        <f t="array" ref="I138">births!I38</f>
        <v>11232</v>
      </c>
      <c r="J138" s="55">
        <f t="array" ref="J138">births!J38</f>
        <v>21120.889105043407</v>
      </c>
      <c r="K138" s="55">
        <f t="array" ref="K138">births!K38</f>
        <v>22114.717189730341</v>
      </c>
      <c r="L138" s="55"/>
      <c r="M138" s="1"/>
      <c r="N138" s="1"/>
      <c r="O138" s="1"/>
      <c r="P138" s="1"/>
      <c r="Q138" s="1"/>
      <c r="R138" s="1"/>
      <c r="S138" s="1"/>
      <c r="T138" s="1"/>
      <c r="U138" s="1"/>
      <c r="V138" s="1"/>
      <c r="W138" s="1"/>
      <c r="X138" s="1"/>
      <c r="Y138" s="1"/>
      <c r="Z138" s="1"/>
    </row>
    <row r="139" spans="1:26" ht="19.5" customHeight="1">
      <c r="A139" s="139" t="str">
        <f t="array" ref="A139">births!$A39</f>
        <v>b32</v>
      </c>
      <c r="B139" s="55"/>
      <c r="C139" s="55">
        <f t="array" ref="C139">births!C39</f>
        <v>43428.317895723456</v>
      </c>
      <c r="D139" s="55">
        <f t="array" ref="D139">births!D39</f>
        <v>15215.434172826019</v>
      </c>
      <c r="E139" s="55">
        <f t="array" ref="E139">births!E39</f>
        <v>15931.385368178348</v>
      </c>
      <c r="F139" s="55">
        <f t="array" ref="F139">births!F39</f>
        <v>5999.5958660848073</v>
      </c>
      <c r="G139" s="55">
        <f t="array" ref="G139">births!G39</f>
        <v>6281.9024886342786</v>
      </c>
      <c r="H139" s="55">
        <f t="array" ref="H139">births!H39</f>
        <v>35900</v>
      </c>
      <c r="I139" s="55">
        <f t="array" ref="I139">births!I39</f>
        <v>11133</v>
      </c>
      <c r="J139" s="55">
        <f t="array" ref="J139">births!J39</f>
        <v>21215.030038910827</v>
      </c>
      <c r="K139" s="55">
        <f t="array" ref="K139">births!K39</f>
        <v>22213.287856812625</v>
      </c>
      <c r="L139" s="55"/>
      <c r="M139" s="1"/>
      <c r="N139" s="1"/>
      <c r="O139" s="1"/>
      <c r="P139" s="1"/>
      <c r="Q139" s="1"/>
      <c r="R139" s="1"/>
      <c r="S139" s="1"/>
      <c r="T139" s="1"/>
      <c r="U139" s="1"/>
      <c r="V139" s="1"/>
      <c r="W139" s="1"/>
      <c r="X139" s="1"/>
      <c r="Y139" s="1"/>
      <c r="Z139" s="1"/>
    </row>
    <row r="140" spans="1:26" ht="19.5" customHeight="1">
      <c r="A140" s="139" t="str">
        <f t="array" ref="A140">births!$A40</f>
        <v>b33</v>
      </c>
      <c r="B140" s="55"/>
      <c r="C140" s="55">
        <f t="array" ref="C140">births!C40</f>
        <v>41230.434805018755</v>
      </c>
      <c r="D140" s="55">
        <f t="array" ref="D140">births!D40</f>
        <v>14374.558924946163</v>
      </c>
      <c r="E140" s="55">
        <f t="array" ref="E140">births!E40</f>
        <v>15050.943346716902</v>
      </c>
      <c r="F140" s="55">
        <f t="array" ref="F140">births!F40</f>
        <v>5766.7902059618727</v>
      </c>
      <c r="G140" s="55">
        <f t="array" ref="G140">births!G40</f>
        <v>6038.1423273938217</v>
      </c>
      <c r="H140" s="55">
        <f t="array" ref="H140">births!H40</f>
        <v>33916</v>
      </c>
      <c r="I140" s="55">
        <f t="array" ref="I140">births!I40</f>
        <v>10701</v>
      </c>
      <c r="J140" s="55">
        <f t="array" ref="J140">births!J40</f>
        <v>20141.349130908035</v>
      </c>
      <c r="K140" s="55">
        <f t="array" ref="K140">births!K40</f>
        <v>21089.085674110724</v>
      </c>
      <c r="L140" s="55"/>
      <c r="M140" s="1"/>
      <c r="N140" s="1"/>
      <c r="O140" s="1"/>
      <c r="P140" s="1"/>
      <c r="Q140" s="1"/>
      <c r="R140" s="1"/>
      <c r="S140" s="1"/>
      <c r="T140" s="1"/>
      <c r="U140" s="1"/>
      <c r="V140" s="1"/>
      <c r="W140" s="1"/>
      <c r="X140" s="1"/>
      <c r="Y140" s="1"/>
      <c r="Z140" s="1"/>
    </row>
    <row r="141" spans="1:26" ht="19.5" customHeight="1">
      <c r="A141" s="139" t="str">
        <f t="array" ref="A141">births!$A41</f>
        <v>b34</v>
      </c>
      <c r="B141" s="55"/>
      <c r="C141" s="55">
        <f t="array" ref="C141">births!C41</f>
        <v>38417.151628254316</v>
      </c>
      <c r="D141" s="55">
        <f t="array" ref="D141">births!D41</f>
        <v>13134.437465623352</v>
      </c>
      <c r="E141" s="55">
        <f t="array" ref="E141">births!E41</f>
        <v>13752.46887353334</v>
      </c>
      <c r="F141" s="55">
        <f t="array" ref="F141">births!F41</f>
        <v>5632.6036101965692</v>
      </c>
      <c r="G141" s="55">
        <f t="array" ref="G141">births!G41</f>
        <v>5897.6416789010582</v>
      </c>
      <c r="H141" s="55">
        <f t="array" ref="H141">births!H41</f>
        <v>30990</v>
      </c>
      <c r="I141" s="55">
        <f t="array" ref="I141">births!I41</f>
        <v>10452</v>
      </c>
      <c r="J141" s="55">
        <f t="array" ref="J141">births!J41</f>
        <v>18767.041075819921</v>
      </c>
      <c r="K141" s="55">
        <f t="array" ref="K141">births!K41</f>
        <v>19650.110552434398</v>
      </c>
      <c r="L141" s="55"/>
      <c r="M141" s="1"/>
      <c r="N141" s="1"/>
      <c r="O141" s="1"/>
      <c r="P141" s="1"/>
      <c r="Q141" s="1"/>
      <c r="R141" s="1"/>
      <c r="S141" s="1"/>
      <c r="T141" s="1"/>
      <c r="U141" s="1"/>
      <c r="V141" s="1"/>
      <c r="W141" s="1"/>
      <c r="X141" s="1"/>
      <c r="Y141" s="1"/>
      <c r="Z141" s="1"/>
    </row>
    <row r="142" spans="1:26" ht="19.5" customHeight="1">
      <c r="A142" s="139" t="str">
        <f t="array" ref="A142">births!$A42</f>
        <v>b35</v>
      </c>
      <c r="B142" s="55"/>
      <c r="C142" s="55">
        <f t="array" ref="C142">births!C42</f>
        <v>34898.359222613057</v>
      </c>
      <c r="D142" s="55">
        <f t="array" ref="D142">births!D42</f>
        <v>11754.452683820524</v>
      </c>
      <c r="E142" s="55">
        <f t="array" ref="E142">births!E42</f>
        <v>12307.549910892989</v>
      </c>
      <c r="F142" s="55">
        <f t="array" ref="F142">births!F42</f>
        <v>5293.6342578416479</v>
      </c>
      <c r="G142" s="55">
        <f t="array" ref="G142">births!G42</f>
        <v>5542.7223700578925</v>
      </c>
      <c r="H142" s="55">
        <f t="array" ref="H142">births!H42</f>
        <v>27734</v>
      </c>
      <c r="I142" s="55">
        <f t="array" ref="I142">births!I42</f>
        <v>9823</v>
      </c>
      <c r="J142" s="55">
        <f t="array" ref="J142">births!J42</f>
        <v>17048.086941662172</v>
      </c>
      <c r="K142" s="55">
        <f t="array" ref="K142">births!K42</f>
        <v>17850.272280950881</v>
      </c>
      <c r="L142" s="55"/>
      <c r="M142" s="1"/>
      <c r="N142" s="1"/>
      <c r="O142" s="1"/>
      <c r="P142" s="1"/>
      <c r="Q142" s="1"/>
      <c r="R142" s="1"/>
      <c r="S142" s="1"/>
      <c r="T142" s="1"/>
      <c r="U142" s="1"/>
      <c r="V142" s="1"/>
      <c r="W142" s="1"/>
      <c r="X142" s="1"/>
      <c r="Y142" s="1"/>
      <c r="Z142" s="1"/>
    </row>
    <row r="143" spans="1:26" ht="19.5" customHeight="1">
      <c r="A143" s="139" t="str">
        <f t="array" ref="A143">births!$A43</f>
        <v>b36</v>
      </c>
      <c r="B143" s="55"/>
      <c r="C143" s="55">
        <f t="array" ref="C143">births!C43</f>
        <v>29826.371452591804</v>
      </c>
      <c r="D143" s="55">
        <f t="array" ref="D143">births!D43</f>
        <v>9759.069283105624</v>
      </c>
      <c r="E143" s="55">
        <f t="array" ref="E143">births!E43</f>
        <v>10218.275194642745</v>
      </c>
      <c r="F143" s="55">
        <f t="array" ref="F143">births!F43</f>
        <v>4811.3169758739923</v>
      </c>
      <c r="G143" s="55">
        <f t="array" ref="G143">births!G43</f>
        <v>5037.7099989694452</v>
      </c>
      <c r="H143" s="55">
        <f t="array" ref="H143">births!H43</f>
        <v>23026</v>
      </c>
      <c r="I143" s="55">
        <f t="array" ref="I143">births!I43</f>
        <v>8928</v>
      </c>
      <c r="J143" s="55">
        <f t="array" ref="J143">births!J43</f>
        <v>14570.386258979615</v>
      </c>
      <c r="K143" s="55">
        <f t="array" ref="K143">births!K43</f>
        <v>15255.98519361219</v>
      </c>
      <c r="L143" s="55"/>
      <c r="M143" s="1"/>
      <c r="N143" s="1"/>
      <c r="O143" s="1"/>
      <c r="P143" s="1"/>
      <c r="Q143" s="1"/>
      <c r="R143" s="1"/>
      <c r="S143" s="1"/>
      <c r="T143" s="1"/>
      <c r="U143" s="1"/>
      <c r="V143" s="1"/>
      <c r="W143" s="1"/>
      <c r="X143" s="1"/>
      <c r="Y143" s="1"/>
      <c r="Z143" s="1"/>
    </row>
    <row r="144" spans="1:26" ht="19.5" customHeight="1">
      <c r="A144" s="139" t="str">
        <f t="array" ref="A144">births!$A44</f>
        <v>b37</v>
      </c>
      <c r="B144" s="55"/>
      <c r="C144" s="55">
        <f t="array" ref="C144">births!C44</f>
        <v>24832.475966505393</v>
      </c>
      <c r="D144" s="55">
        <f t="array" ref="D144">births!D44</f>
        <v>7926.8597586174101</v>
      </c>
      <c r="E144" s="55">
        <f t="array" ref="E144">births!E44</f>
        <v>8299.8523827587633</v>
      </c>
      <c r="F144" s="55">
        <f t="array" ref="F144">births!F44</f>
        <v>4203.9744319884649</v>
      </c>
      <c r="G144" s="55">
        <f t="array" ref="G144">births!G44</f>
        <v>4401.7893931407534</v>
      </c>
      <c r="H144" s="55">
        <f t="array" ref="H144">births!H44</f>
        <v>18703</v>
      </c>
      <c r="I144" s="55">
        <f t="array" ref="I144">births!I44</f>
        <v>7801</v>
      </c>
      <c r="J144" s="55">
        <f t="array" ref="J144">births!J44</f>
        <v>12130.834190605874</v>
      </c>
      <c r="K144" s="55">
        <f t="array" ref="K144">births!K44</f>
        <v>12701.641775899516</v>
      </c>
      <c r="L144" s="55"/>
      <c r="M144" s="1"/>
      <c r="N144" s="1"/>
      <c r="O144" s="1"/>
      <c r="P144" s="1"/>
      <c r="Q144" s="1"/>
      <c r="R144" s="1"/>
      <c r="S144" s="1"/>
      <c r="T144" s="1"/>
      <c r="U144" s="1"/>
      <c r="V144" s="1"/>
      <c r="W144" s="1"/>
      <c r="X144" s="1"/>
      <c r="Y144" s="1"/>
      <c r="Z144" s="1"/>
    </row>
    <row r="145" spans="1:26" ht="19.5" customHeight="1">
      <c r="A145" s="139" t="str">
        <f t="array" ref="A145">births!$A45</f>
        <v>b38</v>
      </c>
      <c r="B145" s="55"/>
      <c r="C145" s="55">
        <f t="array" ref="C145">births!C45</f>
        <v>20130.460485858341</v>
      </c>
      <c r="D145" s="55">
        <f t="array" ref="D145">births!D45</f>
        <v>6182.8065101166012</v>
      </c>
      <c r="E145" s="55">
        <f t="array" ref="E145">births!E45</f>
        <v>6473.733976350577</v>
      </c>
      <c r="F145" s="55">
        <f t="array" ref="F145">births!F45</f>
        <v>3651.0609891964941</v>
      </c>
      <c r="G145" s="55">
        <f t="array" ref="G145">births!G45</f>
        <v>3822.8590101946679</v>
      </c>
      <c r="H145" s="55">
        <f t="array" ref="H145">births!H45</f>
        <v>14588</v>
      </c>
      <c r="I145" s="55">
        <f t="array" ref="I145">births!I45</f>
        <v>6775</v>
      </c>
      <c r="J145" s="55">
        <f t="array" ref="J145">births!J45</f>
        <v>9833.8674993130953</v>
      </c>
      <c r="K145" s="55">
        <f t="array" ref="K145">births!K45</f>
        <v>10296.592986545245</v>
      </c>
      <c r="L145" s="55"/>
      <c r="M145" s="1"/>
      <c r="N145" s="1"/>
      <c r="O145" s="1"/>
      <c r="P145" s="1"/>
      <c r="Q145" s="1"/>
      <c r="R145" s="1"/>
      <c r="S145" s="1"/>
      <c r="T145" s="1"/>
      <c r="U145" s="1"/>
      <c r="V145" s="1"/>
      <c r="W145" s="1"/>
      <c r="X145" s="1"/>
      <c r="Y145" s="1"/>
      <c r="Z145" s="1"/>
    </row>
    <row r="146" spans="1:26" ht="19.5" customHeight="1">
      <c r="A146" s="139" t="str">
        <f t="array" ref="A146">births!$A46</f>
        <v>b39</v>
      </c>
      <c r="B146" s="55"/>
      <c r="C146" s="55">
        <f t="array" ref="C146">births!C46</f>
        <v>16205.930236218945</v>
      </c>
      <c r="D146" s="55">
        <f t="array" ref="D146">births!D46</f>
        <v>4877.8393285530547</v>
      </c>
      <c r="E146" s="55">
        <f t="array" ref="E146">births!E46</f>
        <v>5107.3625126006846</v>
      </c>
      <c r="F146" s="55">
        <f t="array" ref="F146">births!F46</f>
        <v>3038.8683273917391</v>
      </c>
      <c r="G146" s="55">
        <f t="array" ref="G146">births!G46</f>
        <v>3181.8600676734659</v>
      </c>
      <c r="H146" s="55">
        <f t="array" ref="H146">births!H46</f>
        <v>11509</v>
      </c>
      <c r="I146" s="55">
        <f t="array" ref="I146">births!I46</f>
        <v>5639</v>
      </c>
      <c r="J146" s="55">
        <f t="array" ref="J146">births!J46</f>
        <v>7916.7076559447942</v>
      </c>
      <c r="K146" s="55">
        <f t="array" ref="K146">births!K46</f>
        <v>8289.2225802741505</v>
      </c>
      <c r="L146" s="55"/>
      <c r="M146" s="1"/>
      <c r="N146" s="1"/>
      <c r="O146" s="1"/>
      <c r="P146" s="1"/>
      <c r="Q146" s="1"/>
      <c r="R146" s="1"/>
      <c r="S146" s="1"/>
      <c r="T146" s="1"/>
      <c r="U146" s="1"/>
      <c r="V146" s="1"/>
      <c r="W146" s="1"/>
      <c r="X146" s="1"/>
      <c r="Y146" s="1"/>
      <c r="Z146" s="1"/>
    </row>
    <row r="147" spans="1:26" ht="19.5" customHeight="1">
      <c r="A147" s="139" t="str">
        <f t="array" ref="A147">births!$A47</f>
        <v>b40</v>
      </c>
      <c r="B147" s="55"/>
      <c r="C147" s="55">
        <f t="array" ref="C147">births!C47</f>
        <v>12144.095328591282</v>
      </c>
      <c r="D147" s="55">
        <f t="array" ref="D147">births!D47</f>
        <v>3512.2647072481677</v>
      </c>
      <c r="E147" s="55">
        <f t="array" ref="E147">births!E47</f>
        <v>3677.5317700861829</v>
      </c>
      <c r="F147" s="55">
        <f t="array" ref="F147">births!F47</f>
        <v>2420.2088416946799</v>
      </c>
      <c r="G147" s="55">
        <f t="array" ref="G147">births!G47</f>
        <v>2534.0900095622515</v>
      </c>
      <c r="H147" s="55">
        <f t="array" ref="H147">births!H47</f>
        <v>8287</v>
      </c>
      <c r="I147" s="55">
        <f t="array" ref="I147">births!I47</f>
        <v>4491</v>
      </c>
      <c r="J147" s="55">
        <f t="array" ref="J147">births!J47</f>
        <v>5932.4735489428476</v>
      </c>
      <c r="K147" s="55">
        <f t="array" ref="K147">births!K47</f>
        <v>6211.6217796484343</v>
      </c>
      <c r="L147" s="55"/>
      <c r="M147" s="1"/>
      <c r="N147" s="1"/>
      <c r="O147" s="1"/>
      <c r="P147" s="1"/>
      <c r="Q147" s="1"/>
      <c r="R147" s="1"/>
      <c r="S147" s="1"/>
      <c r="T147" s="1"/>
      <c r="U147" s="1"/>
      <c r="V147" s="1"/>
      <c r="W147" s="1"/>
      <c r="X147" s="1"/>
      <c r="Y147" s="1"/>
      <c r="Z147" s="1"/>
    </row>
    <row r="148" spans="1:26" ht="19.5" customHeight="1">
      <c r="A148" s="139" t="str">
        <f t="array" ref="A148">births!$A48</f>
        <v>b41</v>
      </c>
      <c r="B148" s="55"/>
      <c r="C148" s="55">
        <f t="array" ref="C148">births!C48</f>
        <v>8613.2263078249634</v>
      </c>
      <c r="D148" s="55">
        <f t="array" ref="D148">births!D48</f>
        <v>2443.7936891508307</v>
      </c>
      <c r="E148" s="55">
        <f t="array" ref="E148">births!E48</f>
        <v>2558.7846248723217</v>
      </c>
      <c r="F148" s="55">
        <f t="array" ref="F148">births!F48</f>
        <v>1763.8262166258489</v>
      </c>
      <c r="G148" s="55">
        <f t="array" ref="G148">births!G48</f>
        <v>1846.8217771759628</v>
      </c>
      <c r="H148" s="55">
        <f t="array" ref="H148">births!H48</f>
        <v>5766</v>
      </c>
      <c r="I148" s="55">
        <f t="array" ref="I148">births!I48</f>
        <v>3273</v>
      </c>
      <c r="J148" s="55">
        <f t="array" ref="J148">births!J48</f>
        <v>4207.6199057766798</v>
      </c>
      <c r="K148" s="55">
        <f t="array" ref="K148">births!K48</f>
        <v>4405.6064020482845</v>
      </c>
      <c r="L148" s="55"/>
      <c r="M148" s="1"/>
      <c r="N148" s="1"/>
      <c r="O148" s="1"/>
      <c r="P148" s="1"/>
      <c r="Q148" s="1"/>
      <c r="R148" s="1"/>
      <c r="S148" s="1"/>
      <c r="T148" s="1"/>
      <c r="U148" s="1"/>
      <c r="V148" s="1"/>
      <c r="W148" s="1"/>
      <c r="X148" s="1"/>
      <c r="Y148" s="1"/>
      <c r="Z148" s="1"/>
    </row>
    <row r="149" spans="1:26" ht="19.5" customHeight="1">
      <c r="A149" s="139" t="str">
        <f t="array" ref="A149">births!$A49</f>
        <v>b42</v>
      </c>
      <c r="B149" s="55"/>
      <c r="C149" s="55">
        <f t="array" ref="C149">births!C49</f>
        <v>5999.7747961794976</v>
      </c>
      <c r="D149" s="55">
        <f t="array" ref="D149">births!D49</f>
        <v>1687.6840912588636</v>
      </c>
      <c r="E149" s="55">
        <f t="array" ref="E149">births!E49</f>
        <v>1767.0968394452973</v>
      </c>
      <c r="F149" s="55">
        <f t="array" ref="F149">births!F49</f>
        <v>1243.2468932953966</v>
      </c>
      <c r="G149" s="55">
        <f t="array" ref="G149">births!G49</f>
        <v>1301.7469721799407</v>
      </c>
      <c r="H149" s="55">
        <f t="array" ref="H149">births!H49</f>
        <v>3982</v>
      </c>
      <c r="I149" s="55">
        <f t="array" ref="I149">births!I49</f>
        <v>2307</v>
      </c>
      <c r="J149" s="55">
        <f t="array" ref="J149">births!J49</f>
        <v>2930.9309845542602</v>
      </c>
      <c r="K149" s="55">
        <f t="array" ref="K149">births!K49</f>
        <v>3068.8438116252382</v>
      </c>
      <c r="L149" s="55"/>
      <c r="M149" s="1"/>
      <c r="N149" s="1"/>
      <c r="O149" s="1"/>
      <c r="P149" s="1"/>
      <c r="Q149" s="1"/>
      <c r="R149" s="1"/>
      <c r="S149" s="1"/>
      <c r="T149" s="1"/>
      <c r="U149" s="1"/>
      <c r="V149" s="1"/>
      <c r="W149" s="1"/>
      <c r="X149" s="1"/>
      <c r="Y149" s="1"/>
      <c r="Z149" s="1"/>
    </row>
    <row r="150" spans="1:26" ht="19.5" customHeight="1">
      <c r="A150" s="139" t="str">
        <f t="array" ref="A150">births!$A50</f>
        <v>b43</v>
      </c>
      <c r="B150" s="55"/>
      <c r="C150" s="55">
        <f t="array" ref="C150">births!C50</f>
        <v>3792.9155202904494</v>
      </c>
      <c r="D150" s="55">
        <f t="array" ref="D150">births!D50</f>
        <v>1051.5178880997591</v>
      </c>
      <c r="E150" s="55">
        <f t="array" ref="E150">births!E50</f>
        <v>1100.9962980069772</v>
      </c>
      <c r="F150" s="55">
        <f t="array" ref="F150">births!F50</f>
        <v>801.34726065464019</v>
      </c>
      <c r="G150" s="55">
        <f t="array" ref="G150">births!G50</f>
        <v>839.05407352907309</v>
      </c>
      <c r="H150" s="55">
        <f t="array" ref="H150">births!H50</f>
        <v>2481</v>
      </c>
      <c r="I150" s="55">
        <f t="array" ref="I150">births!I50</f>
        <v>1487</v>
      </c>
      <c r="J150" s="55">
        <f t="array" ref="J150">births!J50</f>
        <v>1852.8651487543993</v>
      </c>
      <c r="K150" s="55">
        <f t="array" ref="K150">births!K50</f>
        <v>1940.0503715360503</v>
      </c>
      <c r="L150" s="55"/>
      <c r="M150" s="1"/>
      <c r="N150" s="1"/>
      <c r="O150" s="1"/>
      <c r="P150" s="1"/>
      <c r="Q150" s="1"/>
      <c r="R150" s="1"/>
      <c r="S150" s="1"/>
      <c r="T150" s="1"/>
      <c r="U150" s="1"/>
      <c r="V150" s="1"/>
      <c r="W150" s="1"/>
      <c r="X150" s="1"/>
      <c r="Y150" s="1"/>
      <c r="Z150" s="1"/>
    </row>
    <row r="151" spans="1:26" ht="19.5" customHeight="1">
      <c r="A151" s="139" t="str">
        <f t="array" ref="A151">births!$A51</f>
        <v>b44</v>
      </c>
      <c r="B151" s="55"/>
      <c r="C151" s="55">
        <f t="array" ref="C151">births!C51</f>
        <v>2198.3541231716381</v>
      </c>
      <c r="D151" s="55">
        <f t="array" ref="D151">births!D51</f>
        <v>558.181805170247</v>
      </c>
      <c r="E151" s="55">
        <f t="array" ref="E151">births!E51</f>
        <v>584.44664428665408</v>
      </c>
      <c r="F151" s="55">
        <f t="array" ref="F151">births!F51</f>
        <v>515.72920541122437</v>
      </c>
      <c r="G151" s="55">
        <f t="array" ref="G151">births!G51</f>
        <v>539.99646830351253</v>
      </c>
      <c r="H151" s="55">
        <f t="array" ref="H151">births!H51</f>
        <v>1317</v>
      </c>
      <c r="I151" s="55">
        <f t="array" ref="I151">births!I51</f>
        <v>957</v>
      </c>
      <c r="J151" s="55">
        <f t="array" ref="J151">births!J51</f>
        <v>1073.9110105814714</v>
      </c>
      <c r="K151" s="55">
        <f t="array" ref="K151">births!K51</f>
        <v>1124.4431125901665</v>
      </c>
      <c r="L151" s="55"/>
      <c r="M151" s="1"/>
      <c r="N151" s="1"/>
      <c r="O151" s="1"/>
      <c r="P151" s="1"/>
      <c r="Q151" s="1"/>
      <c r="R151" s="1"/>
      <c r="S151" s="1"/>
      <c r="T151" s="1"/>
      <c r="U151" s="1"/>
      <c r="V151" s="1"/>
      <c r="W151" s="1"/>
      <c r="X151" s="1"/>
      <c r="Y151" s="1"/>
      <c r="Z151" s="1"/>
    </row>
    <row r="152" spans="1:26" ht="19.5" customHeight="1">
      <c r="A152" s="139" t="str">
        <f t="array" ref="A152">births!$A52</f>
        <v>b45</v>
      </c>
      <c r="B152" s="55"/>
      <c r="C152" s="55">
        <f t="array" ref="C152">births!C52</f>
        <v>1180.5671702685104</v>
      </c>
      <c r="D152" s="55">
        <f t="array" ref="D152">births!D52</f>
        <v>295.40829020779211</v>
      </c>
      <c r="E152" s="55">
        <f t="array" ref="E152">births!E52</f>
        <v>309.30851257995283</v>
      </c>
      <c r="F152" s="55">
        <f t="array" ref="F152">births!F52</f>
        <v>281.30683931521332</v>
      </c>
      <c r="G152" s="55">
        <f t="array" ref="G152">births!G52</f>
        <v>294.54352816555229</v>
      </c>
      <c r="H152" s="55">
        <f t="array" ref="H152">births!H52</f>
        <v>697</v>
      </c>
      <c r="I152" s="55">
        <f t="array" ref="I152">births!I52</f>
        <v>522</v>
      </c>
      <c r="J152" s="55">
        <f t="array" ref="J152">births!J52</f>
        <v>576.71512952300543</v>
      </c>
      <c r="K152" s="55">
        <f t="array" ref="K152">births!K52</f>
        <v>603.85204074550506</v>
      </c>
      <c r="L152" s="55"/>
      <c r="M152" s="1"/>
      <c r="N152" s="1"/>
      <c r="O152" s="1"/>
      <c r="P152" s="1"/>
      <c r="Q152" s="1"/>
      <c r="R152" s="1"/>
      <c r="S152" s="1"/>
      <c r="T152" s="1"/>
      <c r="U152" s="1"/>
      <c r="V152" s="1"/>
      <c r="W152" s="1"/>
      <c r="X152" s="1"/>
      <c r="Y152" s="1"/>
      <c r="Z152" s="1"/>
    </row>
    <row r="153" spans="1:26" ht="19.5" customHeight="1">
      <c r="A153" s="139" t="str">
        <f t="array" ref="A153">births!$A53</f>
        <v>b46</v>
      </c>
      <c r="B153" s="55"/>
      <c r="C153" s="55">
        <f t="array" ref="C153">births!C53</f>
        <v>635.74629170879189</v>
      </c>
      <c r="D153" s="55">
        <f t="array" ref="D153">births!D53</f>
        <v>166.14067397626184</v>
      </c>
      <c r="E153" s="55">
        <f t="array" ref="E153">births!E53</f>
        <v>173.95830262746273</v>
      </c>
      <c r="F153" s="55">
        <f t="array" ref="F153">births!F53</f>
        <v>144.42573359478385</v>
      </c>
      <c r="G153" s="55">
        <f t="array" ref="G153">births!G53</f>
        <v>151.22158151028353</v>
      </c>
      <c r="H153" s="55">
        <f t="array" ref="H153">births!H53</f>
        <v>392</v>
      </c>
      <c r="I153" s="55">
        <f t="array" ref="I153">births!I53</f>
        <v>268</v>
      </c>
      <c r="J153" s="55">
        <f t="array" ref="J153">births!J53</f>
        <v>310.56640757104572</v>
      </c>
      <c r="K153" s="55">
        <f t="array" ref="K153">births!K53</f>
        <v>325.17988413774628</v>
      </c>
      <c r="L153" s="55"/>
      <c r="M153" s="1"/>
      <c r="N153" s="1"/>
      <c r="O153" s="1"/>
      <c r="P153" s="1"/>
      <c r="Q153" s="1"/>
      <c r="R153" s="1"/>
      <c r="S153" s="1"/>
      <c r="T153" s="1"/>
      <c r="U153" s="1"/>
      <c r="V153" s="1"/>
      <c r="W153" s="1"/>
      <c r="X153" s="1"/>
      <c r="Y153" s="1"/>
      <c r="Z153" s="1"/>
    </row>
    <row r="154" spans="1:26" ht="19.5" customHeight="1">
      <c r="A154" s="139" t="str">
        <f t="array" ref="A154">births!$A54</f>
        <v>b47</v>
      </c>
      <c r="B154" s="55"/>
      <c r="C154" s="55">
        <f t="array" ref="C154">births!C54</f>
        <v>354.51304162418103</v>
      </c>
      <c r="D154" s="55">
        <f t="array" ref="D154">births!D54</f>
        <v>82.646508738191471</v>
      </c>
      <c r="E154" s="55">
        <f t="array" ref="E154">births!E54</f>
        <v>86.535380133559258</v>
      </c>
      <c r="F154" s="55">
        <f t="array" ref="F154">births!F54</f>
        <v>90.535534492252552</v>
      </c>
      <c r="G154" s="55">
        <f t="array" ref="G154">births!G54</f>
        <v>94.795618260177747</v>
      </c>
      <c r="H154" s="55">
        <f t="array" ref="H154">births!H54</f>
        <v>195</v>
      </c>
      <c r="I154" s="55">
        <f t="array" ref="I154">births!I54</f>
        <v>168</v>
      </c>
      <c r="J154" s="55">
        <f t="array" ref="J154">births!J54</f>
        <v>173.18204323044404</v>
      </c>
      <c r="K154" s="55">
        <f t="array" ref="K154">births!K54</f>
        <v>181.33099839373699</v>
      </c>
      <c r="L154" s="55"/>
      <c r="M154" s="1"/>
      <c r="N154" s="1"/>
      <c r="O154" s="1"/>
      <c r="P154" s="1"/>
      <c r="Q154" s="1"/>
      <c r="R154" s="1"/>
      <c r="S154" s="1"/>
      <c r="T154" s="1"/>
      <c r="U154" s="1"/>
      <c r="V154" s="1"/>
      <c r="W154" s="1"/>
      <c r="X154" s="1"/>
      <c r="Y154" s="1"/>
      <c r="Z154" s="1"/>
    </row>
    <row r="155" spans="1:26" ht="19.5" customHeight="1">
      <c r="A155" s="139" t="str">
        <f t="array" ref="A155">births!$A55</f>
        <v>b48</v>
      </c>
      <c r="B155" s="55"/>
      <c r="C155" s="55">
        <f t="array" ref="C155">births!C55</f>
        <v>188.96911311859634</v>
      </c>
      <c r="D155" s="55">
        <f t="array" ref="D155">births!D55</f>
        <v>47.044935743278216</v>
      </c>
      <c r="E155" s="55">
        <f t="array" ref="E155">births!E55</f>
        <v>49.25860099910296</v>
      </c>
      <c r="F155" s="55">
        <f t="array" ref="F155">births!F55</f>
        <v>45.267767246126276</v>
      </c>
      <c r="G155" s="55">
        <f t="array" ref="G155">births!G55</f>
        <v>47.397809130088874</v>
      </c>
      <c r="H155" s="55">
        <f t="array" ref="H155">births!H55</f>
        <v>111</v>
      </c>
      <c r="I155" s="55">
        <f t="array" ref="I155">births!I55</f>
        <v>84</v>
      </c>
      <c r="J155" s="55">
        <f t="array" ref="J155">births!J55</f>
        <v>92.312702989404499</v>
      </c>
      <c r="K155" s="55">
        <f t="array" ref="K155">births!K55</f>
        <v>96.65641012919184</v>
      </c>
      <c r="L155" s="55"/>
      <c r="M155" s="1"/>
      <c r="N155" s="1"/>
      <c r="O155" s="1"/>
      <c r="P155" s="1"/>
      <c r="Q155" s="1"/>
      <c r="R155" s="1"/>
      <c r="S155" s="1"/>
      <c r="T155" s="1"/>
      <c r="U155" s="1"/>
      <c r="V155" s="1"/>
      <c r="W155" s="1"/>
      <c r="X155" s="1"/>
      <c r="Y155" s="1"/>
      <c r="Z155" s="1"/>
    </row>
    <row r="156" spans="1:26" ht="19.5" customHeight="1">
      <c r="A156" s="139" t="str">
        <f t="array" ref="A156">births!$A56</f>
        <v>b49</v>
      </c>
      <c r="B156" s="55"/>
      <c r="C156" s="55">
        <f t="array" ref="C156">births!C56</f>
        <v>129.83466734668741</v>
      </c>
      <c r="D156" s="55">
        <f t="array" ref="D156">births!D56</f>
        <v>28.396492745942712</v>
      </c>
      <c r="E156" s="55">
        <f t="array" ref="E156">births!E56</f>
        <v>29.732669071530619</v>
      </c>
      <c r="F156" s="55">
        <f t="array" ref="F156">births!F56</f>
        <v>35.028629416645337</v>
      </c>
      <c r="G156" s="55">
        <f t="array" ref="G156">births!G56</f>
        <v>36.676876112568763</v>
      </c>
      <c r="H156" s="55">
        <f t="array" ref="H156">births!H56</f>
        <v>67</v>
      </c>
      <c r="I156" s="55">
        <f t="array" ref="I156">births!I56</f>
        <v>65</v>
      </c>
      <c r="J156" s="55">
        <f t="array" ref="J156">births!J56</f>
        <v>63.425122162588053</v>
      </c>
      <c r="K156" s="55">
        <f t="array" ref="K156">births!K56</f>
        <v>66.409545184099386</v>
      </c>
      <c r="L156" s="55"/>
      <c r="M156" s="1"/>
      <c r="N156" s="1"/>
      <c r="O156" s="1"/>
      <c r="P156" s="1"/>
      <c r="Q156" s="1"/>
      <c r="R156" s="1"/>
      <c r="S156" s="1"/>
      <c r="T156" s="1"/>
      <c r="U156" s="1"/>
      <c r="V156" s="1"/>
      <c r="W156" s="1"/>
      <c r="X156" s="1"/>
      <c r="Y156" s="1"/>
      <c r="Z156" s="1"/>
    </row>
    <row r="157" spans="1:26" ht="19.5" customHeight="1">
      <c r="A157" s="143" t="str">
        <f t="array" ref="A157">births!$A57</f>
        <v>bt</v>
      </c>
      <c r="B157" s="106"/>
      <c r="C157" s="106">
        <f t="array" ref="C157">births!C57</f>
        <v>613930.00000000012</v>
      </c>
      <c r="D157" s="55">
        <f t="array" ref="D157">births!D57</f>
        <v>207157.5005206514</v>
      </c>
      <c r="E157" s="55">
        <f t="array" ref="E157">births!E57</f>
        <v>216905.1461309779</v>
      </c>
      <c r="F157" s="55">
        <f t="array" ref="F157">births!F57</f>
        <v>92751.49947934864</v>
      </c>
      <c r="G157" s="55">
        <f t="array" ref="G157">births!G57</f>
        <v>97115.853869022088</v>
      </c>
      <c r="H157" s="55">
        <f t="array" ref="H157">births!H57</f>
        <v>488777</v>
      </c>
      <c r="I157" s="55">
        <f t="array" ref="I157">births!I57</f>
        <v>172112</v>
      </c>
      <c r="J157" s="55">
        <f t="array" ref="J157">births!J57</f>
        <v>299908.99999999988</v>
      </c>
      <c r="K157" s="55">
        <f t="array" ref="K157">births!K57</f>
        <v>314021.00000000006</v>
      </c>
      <c r="L157" s="55"/>
      <c r="M157" s="1"/>
      <c r="N157" s="1"/>
      <c r="O157" s="1"/>
      <c r="P157" s="1"/>
      <c r="Q157" s="1"/>
      <c r="R157" s="1"/>
      <c r="S157" s="1"/>
      <c r="T157" s="1"/>
      <c r="U157" s="1"/>
      <c r="V157" s="1"/>
      <c r="W157" s="1"/>
      <c r="X157" s="1"/>
      <c r="Y157" s="1"/>
      <c r="Z157" s="1"/>
    </row>
    <row r="158" spans="1:26" ht="43.5" customHeight="1">
      <c r="A158" s="144" t="str">
        <f t="array" ref="A158">births!$A59</f>
        <v>bs</v>
      </c>
      <c r="B158" s="145"/>
      <c r="C158" s="130" t="str">
        <f t="array" ref="C158">births!C59</f>
        <v>siehe C14 (TFR-Quelle); ASFR-Shape aus Eurostat demo_facbc 2024; downloaded 2026-05-22</v>
      </c>
      <c r="D158" s="55"/>
      <c r="E158" s="55"/>
      <c r="F158" s="55"/>
      <c r="G158" s="55"/>
      <c r="H158" s="55"/>
      <c r="I158" s="55"/>
      <c r="J158" s="55"/>
      <c r="K158" s="55"/>
      <c r="L158" s="55"/>
      <c r="M158" s="1"/>
      <c r="N158" s="1"/>
      <c r="O158" s="1"/>
      <c r="P158" s="1"/>
      <c r="Q158" s="1"/>
      <c r="R158" s="1"/>
      <c r="S158" s="1"/>
      <c r="T158" s="1"/>
      <c r="U158" s="1"/>
      <c r="V158" s="1"/>
      <c r="W158" s="1"/>
      <c r="X158" s="1"/>
      <c r="Y158" s="1"/>
      <c r="Z158" s="1"/>
    </row>
    <row r="159" spans="1:26" ht="19.5" customHeight="1">
      <c r="A159" s="150"/>
      <c r="B159" s="148"/>
      <c r="C159" s="148"/>
      <c r="D159" s="55"/>
      <c r="E159" s="55"/>
      <c r="F159" s="55"/>
      <c r="G159" s="55"/>
      <c r="H159" s="55"/>
      <c r="I159" s="55"/>
      <c r="J159" s="55"/>
      <c r="K159" s="55"/>
      <c r="L159" s="55"/>
      <c r="M159" s="1"/>
      <c r="N159" s="1"/>
      <c r="O159" s="1"/>
      <c r="P159" s="1"/>
      <c r="Q159" s="1"/>
      <c r="R159" s="1"/>
      <c r="S159" s="1"/>
      <c r="T159" s="1"/>
      <c r="U159" s="1"/>
      <c r="V159" s="1"/>
      <c r="W159" s="1"/>
      <c r="X159" s="1"/>
      <c r="Y159" s="1"/>
      <c r="Z159" s="1"/>
    </row>
    <row r="160" spans="1:26" ht="26.25" customHeight="1">
      <c r="A160" s="19"/>
      <c r="B160" s="20" t="s">
        <v>403</v>
      </c>
      <c r="C160" s="177"/>
      <c r="D160" s="164"/>
      <c r="E160" s="164"/>
      <c r="F160" s="164"/>
      <c r="G160" s="164"/>
      <c r="H160" s="164"/>
      <c r="I160" s="164"/>
      <c r="J160" s="164"/>
      <c r="K160" s="165"/>
      <c r="L160" s="21"/>
      <c r="M160" s="1"/>
      <c r="N160" s="1"/>
      <c r="O160" s="1"/>
      <c r="P160" s="1"/>
      <c r="Q160" s="1"/>
      <c r="R160" s="1"/>
      <c r="S160" s="1"/>
      <c r="T160" s="1"/>
      <c r="U160" s="1"/>
      <c r="V160" s="1"/>
      <c r="W160" s="1"/>
      <c r="X160" s="1"/>
      <c r="Y160" s="1"/>
      <c r="Z160" s="1"/>
    </row>
    <row r="161" spans="1:26" ht="19.5" customHeight="1">
      <c r="A161" s="139" t="str">
        <f t="array" ref="A161">deaths!$A7</f>
        <v>d00</v>
      </c>
      <c r="B161" s="55"/>
      <c r="C161" s="55">
        <f t="array" ref="C161">deaths!C7</f>
        <v>2024</v>
      </c>
      <c r="D161" s="55">
        <f t="array" ref="D161">deaths!D7</f>
        <v>891</v>
      </c>
      <c r="E161" s="55">
        <f t="array" ref="E161">deaths!E7</f>
        <v>1141</v>
      </c>
      <c r="F161" s="55">
        <f t="array" ref="F161">deaths!F7</f>
        <v>306</v>
      </c>
      <c r="G161" s="55">
        <f t="array" ref="G161">deaths!G7</f>
        <v>372</v>
      </c>
      <c r="H161" s="55">
        <f t="array" ref="H161">deaths!H7</f>
        <v>2032</v>
      </c>
      <c r="I161" s="55">
        <f t="array" ref="I161">deaths!I7</f>
        <v>678</v>
      </c>
      <c r="J161" s="55">
        <f t="array" ref="J161">deaths!J7</f>
        <v>1197</v>
      </c>
      <c r="K161" s="55">
        <f t="array" ref="K161">deaths!K7</f>
        <v>1513</v>
      </c>
      <c r="L161" s="55"/>
      <c r="M161" s="1"/>
      <c r="N161" s="1"/>
      <c r="O161" s="1"/>
      <c r="P161" s="1"/>
      <c r="Q161" s="1"/>
      <c r="R161" s="1"/>
      <c r="S161" s="1"/>
      <c r="T161" s="1"/>
      <c r="U161" s="1"/>
      <c r="V161" s="1"/>
      <c r="W161" s="1"/>
      <c r="X161" s="1"/>
      <c r="Y161" s="1"/>
      <c r="Z161" s="1"/>
    </row>
    <row r="162" spans="1:26" ht="19.5" customHeight="1">
      <c r="A162" s="139" t="str">
        <f t="array" ref="A162">deaths!$A8</f>
        <v>d01</v>
      </c>
      <c r="B162" s="55"/>
      <c r="C162" s="55">
        <f t="array" ref="C162">deaths!C8</f>
        <v>190</v>
      </c>
      <c r="D162" s="55">
        <f t="array" ref="D162">deaths!D8</f>
        <v>67</v>
      </c>
      <c r="E162" s="55">
        <f t="array" ref="E162">deaths!E8</f>
        <v>75</v>
      </c>
      <c r="F162" s="55">
        <f t="array" ref="F162">deaths!F8</f>
        <v>23</v>
      </c>
      <c r="G162" s="55">
        <f t="array" ref="G162">deaths!G8</f>
        <v>25</v>
      </c>
      <c r="H162" s="55">
        <f t="array" ref="H162">deaths!H8</f>
        <v>142</v>
      </c>
      <c r="I162" s="55">
        <f t="array" ref="I162">deaths!I8</f>
        <v>48</v>
      </c>
      <c r="J162" s="55">
        <f t="array" ref="J162">deaths!J8</f>
        <v>90</v>
      </c>
      <c r="K162" s="55">
        <f t="array" ref="K162">deaths!K8</f>
        <v>100</v>
      </c>
      <c r="L162" s="55"/>
      <c r="M162" s="1"/>
      <c r="N162" s="1"/>
      <c r="O162" s="1"/>
      <c r="P162" s="1"/>
      <c r="Q162" s="1"/>
      <c r="R162" s="1"/>
      <c r="S162" s="1"/>
      <c r="T162" s="1"/>
      <c r="U162" s="1"/>
      <c r="V162" s="1"/>
      <c r="W162" s="1"/>
      <c r="X162" s="1"/>
      <c r="Y162" s="1"/>
      <c r="Z162" s="1"/>
    </row>
    <row r="163" spans="1:26" ht="19.5" customHeight="1">
      <c r="A163" s="139" t="str">
        <f t="array" ref="A163">deaths!$A9</f>
        <v>d02</v>
      </c>
      <c r="B163" s="55"/>
      <c r="C163" s="55">
        <f t="array" ref="C163">deaths!C9</f>
        <v>134</v>
      </c>
      <c r="D163" s="55">
        <f t="array" ref="D163">deaths!D9</f>
        <v>42</v>
      </c>
      <c r="E163" s="55">
        <f t="array" ref="E163">deaths!E9</f>
        <v>58</v>
      </c>
      <c r="F163" s="55">
        <f t="array" ref="F163">deaths!F9</f>
        <v>15</v>
      </c>
      <c r="G163" s="55">
        <f t="array" ref="G163">deaths!G9</f>
        <v>19</v>
      </c>
      <c r="H163" s="55">
        <f t="array" ref="H163">deaths!H9</f>
        <v>100</v>
      </c>
      <c r="I163" s="55">
        <f t="array" ref="I163">deaths!I9</f>
        <v>34</v>
      </c>
      <c r="J163" s="55">
        <f t="array" ref="J163">deaths!J9</f>
        <v>57</v>
      </c>
      <c r="K163" s="55">
        <f t="array" ref="K163">deaths!K9</f>
        <v>77</v>
      </c>
      <c r="L163" s="55"/>
      <c r="M163" s="1"/>
      <c r="N163" s="1"/>
      <c r="O163" s="1"/>
      <c r="P163" s="1"/>
      <c r="Q163" s="1"/>
      <c r="R163" s="1"/>
      <c r="S163" s="1"/>
      <c r="T163" s="1"/>
      <c r="U163" s="1"/>
      <c r="V163" s="1"/>
      <c r="W163" s="1"/>
      <c r="X163" s="1"/>
      <c r="Y163" s="1"/>
      <c r="Z163" s="1"/>
    </row>
    <row r="164" spans="1:26" ht="19.5" customHeight="1">
      <c r="A164" s="139" t="str">
        <f t="array" ref="A164">deaths!$A10</f>
        <v>d03</v>
      </c>
      <c r="B164" s="55"/>
      <c r="C164" s="55">
        <f t="array" ref="C164">deaths!C10</f>
        <v>87</v>
      </c>
      <c r="D164" s="55">
        <f t="array" ref="D164">deaths!D10</f>
        <v>23</v>
      </c>
      <c r="E164" s="55">
        <f t="array" ref="E164">deaths!E10</f>
        <v>42</v>
      </c>
      <c r="F164" s="55">
        <f t="array" ref="F164">deaths!F10</f>
        <v>8</v>
      </c>
      <c r="G164" s="55">
        <f t="array" ref="G164">deaths!G10</f>
        <v>14</v>
      </c>
      <c r="H164" s="55">
        <f t="array" ref="H164">deaths!H10</f>
        <v>65</v>
      </c>
      <c r="I164" s="55">
        <f t="array" ref="I164">deaths!I10</f>
        <v>22</v>
      </c>
      <c r="J164" s="55">
        <f t="array" ref="J164">deaths!J10</f>
        <v>31</v>
      </c>
      <c r="K164" s="55">
        <f t="array" ref="K164">deaths!K10</f>
        <v>56</v>
      </c>
      <c r="L164" s="55"/>
      <c r="M164" s="1"/>
      <c r="N164" s="1"/>
      <c r="O164" s="1"/>
      <c r="P164" s="1"/>
      <c r="Q164" s="1"/>
      <c r="R164" s="1"/>
      <c r="S164" s="1"/>
      <c r="T164" s="1"/>
      <c r="U164" s="1"/>
      <c r="V164" s="1"/>
      <c r="W164" s="1"/>
      <c r="X164" s="1"/>
      <c r="Y164" s="1"/>
      <c r="Z164" s="1"/>
    </row>
    <row r="165" spans="1:26" ht="19.5" customHeight="1">
      <c r="A165" s="139" t="str">
        <f t="array" ref="A165">deaths!$A11</f>
        <v>d04</v>
      </c>
      <c r="B165" s="55"/>
      <c r="C165" s="55">
        <f t="array" ref="C165">deaths!C11</f>
        <v>98</v>
      </c>
      <c r="D165" s="55">
        <f t="array" ref="D165">deaths!D11</f>
        <v>31</v>
      </c>
      <c r="E165" s="55">
        <f t="array" ref="E165">deaths!E11</f>
        <v>42</v>
      </c>
      <c r="F165" s="55">
        <f t="array" ref="F165">deaths!F11</f>
        <v>11</v>
      </c>
      <c r="G165" s="55">
        <f t="array" ref="G165">deaths!G11</f>
        <v>14</v>
      </c>
      <c r="H165" s="55">
        <f t="array" ref="H165">deaths!H11</f>
        <v>73</v>
      </c>
      <c r="I165" s="55">
        <f t="array" ref="I165">deaths!I11</f>
        <v>25</v>
      </c>
      <c r="J165" s="55">
        <f t="array" ref="J165">deaths!J11</f>
        <v>42</v>
      </c>
      <c r="K165" s="55">
        <f t="array" ref="K165">deaths!K11</f>
        <v>56</v>
      </c>
      <c r="L165" s="55"/>
      <c r="M165" s="1"/>
      <c r="N165" s="1"/>
      <c r="O165" s="1"/>
      <c r="P165" s="1"/>
      <c r="Q165" s="1"/>
      <c r="R165" s="1"/>
      <c r="S165" s="1"/>
      <c r="T165" s="1"/>
      <c r="U165" s="1"/>
      <c r="V165" s="1"/>
      <c r="W165" s="1"/>
      <c r="X165" s="1"/>
      <c r="Y165" s="1"/>
      <c r="Z165" s="1"/>
    </row>
    <row r="166" spans="1:26" ht="19.5" customHeight="1">
      <c r="A166" s="139" t="str">
        <f t="array" ref="A166">deaths!$A12</f>
        <v>d05</v>
      </c>
      <c r="B166" s="55"/>
      <c r="C166" s="55">
        <f t="array" ref="C166">deaths!C12</f>
        <v>65</v>
      </c>
      <c r="D166" s="55">
        <f t="array" ref="D166">deaths!D12</f>
        <v>23</v>
      </c>
      <c r="E166" s="55">
        <f t="array" ref="E166">deaths!E12</f>
        <v>26</v>
      </c>
      <c r="F166" s="55">
        <f t="array" ref="F166">deaths!F12</f>
        <v>8</v>
      </c>
      <c r="G166" s="55">
        <f t="array" ref="G166">deaths!G12</f>
        <v>8</v>
      </c>
      <c r="H166" s="55">
        <f t="array" ref="H166">deaths!H12</f>
        <v>49</v>
      </c>
      <c r="I166" s="55">
        <f t="array" ref="I166">deaths!I12</f>
        <v>16</v>
      </c>
      <c r="J166" s="55">
        <f t="array" ref="J166">deaths!J12</f>
        <v>31</v>
      </c>
      <c r="K166" s="55">
        <f t="array" ref="K166">deaths!K12</f>
        <v>34</v>
      </c>
      <c r="L166" s="55"/>
      <c r="M166" s="1"/>
      <c r="N166" s="1"/>
      <c r="O166" s="1"/>
      <c r="P166" s="1"/>
      <c r="Q166" s="1"/>
      <c r="R166" s="1"/>
      <c r="S166" s="1"/>
      <c r="T166" s="1"/>
      <c r="U166" s="1"/>
      <c r="V166" s="1"/>
      <c r="W166" s="1"/>
      <c r="X166" s="1"/>
      <c r="Y166" s="1"/>
      <c r="Z166" s="1"/>
    </row>
    <row r="167" spans="1:26" ht="19.5" customHeight="1">
      <c r="A167" s="139" t="str">
        <f t="array" ref="A167">deaths!$A13</f>
        <v>d06</v>
      </c>
      <c r="B167" s="55"/>
      <c r="C167" s="55">
        <f t="array" ref="C167">deaths!C13</f>
        <v>66</v>
      </c>
      <c r="D167" s="55">
        <f t="array" ref="D167">deaths!D13</f>
        <v>21</v>
      </c>
      <c r="E167" s="55">
        <f t="array" ref="E167">deaths!E13</f>
        <v>29</v>
      </c>
      <c r="F167" s="55">
        <f t="array" ref="F167">deaths!F13</f>
        <v>7</v>
      </c>
      <c r="G167" s="55">
        <f t="array" ref="G167">deaths!G13</f>
        <v>9</v>
      </c>
      <c r="H167" s="55">
        <f t="array" ref="H167">deaths!H13</f>
        <v>50</v>
      </c>
      <c r="I167" s="55">
        <f t="array" ref="I167">deaths!I13</f>
        <v>16</v>
      </c>
      <c r="J167" s="55">
        <f t="array" ref="J167">deaths!J13</f>
        <v>28</v>
      </c>
      <c r="K167" s="55">
        <f t="array" ref="K167">deaths!K13</f>
        <v>38</v>
      </c>
      <c r="L167" s="55"/>
      <c r="M167" s="1"/>
      <c r="N167" s="1"/>
      <c r="O167" s="1"/>
      <c r="P167" s="1"/>
      <c r="Q167" s="1"/>
      <c r="R167" s="1"/>
      <c r="S167" s="1"/>
      <c r="T167" s="1"/>
      <c r="U167" s="1"/>
      <c r="V167" s="1"/>
      <c r="W167" s="1"/>
      <c r="X167" s="1"/>
      <c r="Y167" s="1"/>
      <c r="Z167" s="1"/>
    </row>
    <row r="168" spans="1:26" ht="19.5" customHeight="1">
      <c r="A168" s="139" t="str">
        <f t="array" ref="A168">deaths!$A14</f>
        <v>d07</v>
      </c>
      <c r="B168" s="55"/>
      <c r="C168" s="55">
        <f t="array" ref="C168">deaths!C14</f>
        <v>60</v>
      </c>
      <c r="D168" s="55">
        <f t="array" ref="D168">deaths!D14</f>
        <v>24</v>
      </c>
      <c r="E168" s="55">
        <f t="array" ref="E168">deaths!E14</f>
        <v>21</v>
      </c>
      <c r="F168" s="55">
        <f t="array" ref="F168">deaths!F14</f>
        <v>8</v>
      </c>
      <c r="G168" s="55">
        <f t="array" ref="G168">deaths!G14</f>
        <v>7</v>
      </c>
      <c r="H168" s="55">
        <f t="array" ref="H168">deaths!H14</f>
        <v>45</v>
      </c>
      <c r="I168" s="55">
        <f t="array" ref="I168">deaths!I14</f>
        <v>15</v>
      </c>
      <c r="J168" s="55">
        <f t="array" ref="J168">deaths!J14</f>
        <v>32</v>
      </c>
      <c r="K168" s="55">
        <f t="array" ref="K168">deaths!K14</f>
        <v>28</v>
      </c>
      <c r="L168" s="55"/>
      <c r="M168" s="1"/>
      <c r="N168" s="1"/>
      <c r="O168" s="1"/>
      <c r="P168" s="1"/>
      <c r="Q168" s="1"/>
      <c r="R168" s="1"/>
      <c r="S168" s="1"/>
      <c r="T168" s="1"/>
      <c r="U168" s="1"/>
      <c r="V168" s="1"/>
      <c r="W168" s="1"/>
      <c r="X168" s="1"/>
      <c r="Y168" s="1"/>
      <c r="Z168" s="1"/>
    </row>
    <row r="169" spans="1:26" ht="19.5" customHeight="1">
      <c r="A169" s="139" t="str">
        <f t="array" ref="A169">deaths!$A15</f>
        <v>d08</v>
      </c>
      <c r="B169" s="55"/>
      <c r="C169" s="55">
        <f t="array" ref="C169">deaths!C15</f>
        <v>65</v>
      </c>
      <c r="D169" s="55">
        <f t="array" ref="D169">deaths!D15</f>
        <v>22</v>
      </c>
      <c r="E169" s="55">
        <f t="array" ref="E169">deaths!E15</f>
        <v>26</v>
      </c>
      <c r="F169" s="55">
        <f t="array" ref="F169">deaths!F15</f>
        <v>8</v>
      </c>
      <c r="G169" s="55">
        <f t="array" ref="G169">deaths!G15</f>
        <v>9</v>
      </c>
      <c r="H169" s="55">
        <f t="array" ref="H169">deaths!H15</f>
        <v>48</v>
      </c>
      <c r="I169" s="55">
        <f t="array" ref="I169">deaths!I15</f>
        <v>17</v>
      </c>
      <c r="J169" s="55">
        <f t="array" ref="J169">deaths!J15</f>
        <v>30</v>
      </c>
      <c r="K169" s="55">
        <f t="array" ref="K169">deaths!K15</f>
        <v>35</v>
      </c>
      <c r="L169" s="55"/>
      <c r="M169" s="1"/>
      <c r="N169" s="1"/>
      <c r="O169" s="1"/>
      <c r="P169" s="1"/>
      <c r="Q169" s="1"/>
      <c r="R169" s="1"/>
      <c r="S169" s="1"/>
      <c r="T169" s="1"/>
      <c r="U169" s="1"/>
      <c r="V169" s="1"/>
      <c r="W169" s="1"/>
      <c r="X169" s="1"/>
      <c r="Y169" s="1"/>
      <c r="Z169" s="1"/>
    </row>
    <row r="170" spans="1:26" ht="19.5" customHeight="1">
      <c r="A170" s="139" t="str">
        <f t="array" ref="A170">deaths!$A16</f>
        <v>d09</v>
      </c>
      <c r="B170" s="55"/>
      <c r="C170" s="55">
        <f t="array" ref="C170">deaths!C16</f>
        <v>52</v>
      </c>
      <c r="D170" s="55">
        <f t="array" ref="D170">deaths!D16</f>
        <v>15</v>
      </c>
      <c r="E170" s="55">
        <f t="array" ref="E170">deaths!E16</f>
        <v>24</v>
      </c>
      <c r="F170" s="55">
        <f t="array" ref="F170">deaths!F16</f>
        <v>5</v>
      </c>
      <c r="G170" s="55">
        <f t="array" ref="G170">deaths!G16</f>
        <v>8</v>
      </c>
      <c r="H170" s="55">
        <f t="array" ref="H170">deaths!H16</f>
        <v>39</v>
      </c>
      <c r="I170" s="55">
        <f t="array" ref="I170">deaths!I16</f>
        <v>13</v>
      </c>
      <c r="J170" s="55">
        <f t="array" ref="J170">deaths!J16</f>
        <v>20</v>
      </c>
      <c r="K170" s="55">
        <f t="array" ref="K170">deaths!K16</f>
        <v>32</v>
      </c>
      <c r="L170" s="55"/>
      <c r="M170" s="1"/>
      <c r="N170" s="1"/>
      <c r="O170" s="1"/>
      <c r="P170" s="1"/>
      <c r="Q170" s="1"/>
      <c r="R170" s="1"/>
      <c r="S170" s="1"/>
      <c r="T170" s="1"/>
      <c r="U170" s="1"/>
      <c r="V170" s="1"/>
      <c r="W170" s="1"/>
      <c r="X170" s="1"/>
      <c r="Y170" s="1"/>
      <c r="Z170" s="1"/>
    </row>
    <row r="171" spans="1:26" ht="19.5" customHeight="1">
      <c r="A171" s="139" t="str">
        <f t="array" ref="A171">deaths!$A17</f>
        <v>d10</v>
      </c>
      <c r="B171" s="55"/>
      <c r="C171" s="55">
        <f t="array" ref="C171">deaths!C17</f>
        <v>74</v>
      </c>
      <c r="D171" s="55">
        <f t="array" ref="D171">deaths!D17</f>
        <v>28</v>
      </c>
      <c r="E171" s="55">
        <f t="array" ref="E171">deaths!E17</f>
        <v>28</v>
      </c>
      <c r="F171" s="55">
        <f t="array" ref="F171">deaths!F17</f>
        <v>9</v>
      </c>
      <c r="G171" s="55">
        <f t="array" ref="G171">deaths!G17</f>
        <v>9</v>
      </c>
      <c r="H171" s="55">
        <f t="array" ref="H171">deaths!H17</f>
        <v>56</v>
      </c>
      <c r="I171" s="55">
        <f t="array" ref="I171">deaths!I17</f>
        <v>18</v>
      </c>
      <c r="J171" s="55">
        <f t="array" ref="J171">deaths!J17</f>
        <v>37</v>
      </c>
      <c r="K171" s="55">
        <f t="array" ref="K171">deaths!K17</f>
        <v>37</v>
      </c>
      <c r="L171" s="55"/>
      <c r="M171" s="1"/>
      <c r="N171" s="1"/>
      <c r="O171" s="1"/>
      <c r="P171" s="1"/>
      <c r="Q171" s="1"/>
      <c r="R171" s="1"/>
      <c r="S171" s="1"/>
      <c r="T171" s="1"/>
      <c r="U171" s="1"/>
      <c r="V171" s="1"/>
      <c r="W171" s="1"/>
      <c r="X171" s="1"/>
      <c r="Y171" s="1"/>
      <c r="Z171" s="1"/>
    </row>
    <row r="172" spans="1:26" ht="19.5" customHeight="1">
      <c r="A172" s="139" t="str">
        <f t="array" ref="A172">deaths!$A18</f>
        <v>d11</v>
      </c>
      <c r="B172" s="55"/>
      <c r="C172" s="55">
        <f t="array" ref="C172">deaths!C18</f>
        <v>62</v>
      </c>
      <c r="D172" s="55">
        <f t="array" ref="D172">deaths!D18</f>
        <v>20</v>
      </c>
      <c r="E172" s="55">
        <f t="array" ref="E172">deaths!E18</f>
        <v>26</v>
      </c>
      <c r="F172" s="55">
        <f t="array" ref="F172">deaths!F18</f>
        <v>7</v>
      </c>
      <c r="G172" s="55">
        <f t="array" ref="G172">deaths!G18</f>
        <v>9</v>
      </c>
      <c r="H172" s="55">
        <f t="array" ref="H172">deaths!H18</f>
        <v>46</v>
      </c>
      <c r="I172" s="55">
        <f t="array" ref="I172">deaths!I18</f>
        <v>16</v>
      </c>
      <c r="J172" s="55">
        <f t="array" ref="J172">deaths!J18</f>
        <v>27</v>
      </c>
      <c r="K172" s="55">
        <f t="array" ref="K172">deaths!K18</f>
        <v>35</v>
      </c>
      <c r="L172" s="55"/>
      <c r="M172" s="1"/>
      <c r="N172" s="1"/>
      <c r="O172" s="1"/>
      <c r="P172" s="1"/>
      <c r="Q172" s="1"/>
      <c r="R172" s="1"/>
      <c r="S172" s="1"/>
      <c r="T172" s="1"/>
      <c r="U172" s="1"/>
      <c r="V172" s="1"/>
      <c r="W172" s="1"/>
      <c r="X172" s="1"/>
      <c r="Y172" s="1"/>
      <c r="Z172" s="1"/>
    </row>
    <row r="173" spans="1:26" ht="19.5" customHeight="1">
      <c r="A173" s="139" t="str">
        <f t="array" ref="A173">deaths!$A19</f>
        <v>d12</v>
      </c>
      <c r="B173" s="55"/>
      <c r="C173" s="55">
        <f t="array" ref="C173">deaths!C19</f>
        <v>74</v>
      </c>
      <c r="D173" s="55">
        <f t="array" ref="D173">deaths!D19</f>
        <v>19</v>
      </c>
      <c r="E173" s="55">
        <f t="array" ref="E173">deaths!E19</f>
        <v>36</v>
      </c>
      <c r="F173" s="55">
        <f t="array" ref="F173">deaths!F19</f>
        <v>7</v>
      </c>
      <c r="G173" s="55">
        <f t="array" ref="G173">deaths!G19</f>
        <v>12</v>
      </c>
      <c r="H173" s="55">
        <f t="array" ref="H173">deaths!H19</f>
        <v>55</v>
      </c>
      <c r="I173" s="55">
        <f t="array" ref="I173">deaths!I19</f>
        <v>19</v>
      </c>
      <c r="J173" s="55">
        <f t="array" ref="J173">deaths!J19</f>
        <v>26</v>
      </c>
      <c r="K173" s="55">
        <f t="array" ref="K173">deaths!K19</f>
        <v>48</v>
      </c>
      <c r="L173" s="55"/>
      <c r="M173" s="1"/>
      <c r="N173" s="1"/>
      <c r="O173" s="1"/>
      <c r="P173" s="1"/>
      <c r="Q173" s="1"/>
      <c r="R173" s="1"/>
      <c r="S173" s="1"/>
      <c r="T173" s="1"/>
      <c r="U173" s="1"/>
      <c r="V173" s="1"/>
      <c r="W173" s="1"/>
      <c r="X173" s="1"/>
      <c r="Y173" s="1"/>
      <c r="Z173" s="1"/>
    </row>
    <row r="174" spans="1:26" ht="19.5" customHeight="1">
      <c r="A174" s="139" t="str">
        <f t="array" ref="A174">deaths!$A20</f>
        <v>d13</v>
      </c>
      <c r="B174" s="55"/>
      <c r="C174" s="55">
        <f t="array" ref="C174">deaths!C20</f>
        <v>105</v>
      </c>
      <c r="D174" s="55">
        <f t="array" ref="D174">deaths!D20</f>
        <v>36</v>
      </c>
      <c r="E174" s="55">
        <f t="array" ref="E174">deaths!E20</f>
        <v>43</v>
      </c>
      <c r="F174" s="55">
        <f t="array" ref="F174">deaths!F20</f>
        <v>12</v>
      </c>
      <c r="G174" s="55">
        <f t="array" ref="G174">deaths!G20</f>
        <v>14</v>
      </c>
      <c r="H174" s="55">
        <f t="array" ref="H174">deaths!H20</f>
        <v>79</v>
      </c>
      <c r="I174" s="55">
        <f t="array" ref="I174">deaths!I20</f>
        <v>26</v>
      </c>
      <c r="J174" s="55">
        <f t="array" ref="J174">deaths!J20</f>
        <v>48</v>
      </c>
      <c r="K174" s="55">
        <f t="array" ref="K174">deaths!K20</f>
        <v>57</v>
      </c>
      <c r="L174" s="55"/>
      <c r="M174" s="1"/>
      <c r="N174" s="1"/>
      <c r="O174" s="1"/>
      <c r="P174" s="1"/>
      <c r="Q174" s="1"/>
      <c r="R174" s="1"/>
      <c r="S174" s="1"/>
      <c r="T174" s="1"/>
      <c r="U174" s="1"/>
      <c r="V174" s="1"/>
      <c r="W174" s="1"/>
      <c r="X174" s="1"/>
      <c r="Y174" s="1"/>
      <c r="Z174" s="1"/>
    </row>
    <row r="175" spans="1:26" ht="19.5" customHeight="1">
      <c r="A175" s="139" t="str">
        <f t="array" ref="A175">deaths!$A21</f>
        <v>d14</v>
      </c>
      <c r="B175" s="55"/>
      <c r="C175" s="55">
        <f t="array" ref="C175">deaths!C21</f>
        <v>101</v>
      </c>
      <c r="D175" s="55">
        <f t="array" ref="D175">deaths!D21</f>
        <v>36</v>
      </c>
      <c r="E175" s="55">
        <f t="array" ref="E175">deaths!E21</f>
        <v>39</v>
      </c>
      <c r="F175" s="55">
        <f t="array" ref="F175">deaths!F21</f>
        <v>13</v>
      </c>
      <c r="G175" s="55">
        <f t="array" ref="G175">deaths!G21</f>
        <v>13</v>
      </c>
      <c r="H175" s="55">
        <f t="array" ref="H175">deaths!H21</f>
        <v>75</v>
      </c>
      <c r="I175" s="55">
        <f t="array" ref="I175">deaths!I21</f>
        <v>26</v>
      </c>
      <c r="J175" s="55">
        <f t="array" ref="J175">deaths!J21</f>
        <v>49</v>
      </c>
      <c r="K175" s="55">
        <f t="array" ref="K175">deaths!K21</f>
        <v>52</v>
      </c>
      <c r="L175" s="55"/>
      <c r="M175" s="1"/>
      <c r="N175" s="1"/>
      <c r="O175" s="1"/>
      <c r="P175" s="1"/>
      <c r="Q175" s="1"/>
      <c r="R175" s="1"/>
      <c r="S175" s="1"/>
      <c r="T175" s="1"/>
      <c r="U175" s="1"/>
      <c r="V175" s="1"/>
      <c r="W175" s="1"/>
      <c r="X175" s="1"/>
      <c r="Y175" s="1"/>
      <c r="Z175" s="1"/>
    </row>
    <row r="176" spans="1:26" ht="19.5" customHeight="1">
      <c r="A176" s="139" t="str">
        <f t="array" ref="A176">deaths!$A22</f>
        <v>d15</v>
      </c>
      <c r="B176" s="55"/>
      <c r="C176" s="55">
        <f t="array" ref="C176">deaths!C22</f>
        <v>141</v>
      </c>
      <c r="D176" s="55">
        <f t="array" ref="D176">deaths!D22</f>
        <v>44</v>
      </c>
      <c r="E176" s="55">
        <f t="array" ref="E176">deaths!E22</f>
        <v>62</v>
      </c>
      <c r="F176" s="55">
        <f t="array" ref="F176">deaths!F22</f>
        <v>15</v>
      </c>
      <c r="G176" s="55">
        <f t="array" ref="G176">deaths!G22</f>
        <v>20</v>
      </c>
      <c r="H176" s="55">
        <f t="array" ref="H176">deaths!H22</f>
        <v>106</v>
      </c>
      <c r="I176" s="55">
        <f t="array" ref="I176">deaths!I22</f>
        <v>35</v>
      </c>
      <c r="J176" s="55">
        <f t="array" ref="J176">deaths!J22</f>
        <v>59</v>
      </c>
      <c r="K176" s="55">
        <f t="array" ref="K176">deaths!K22</f>
        <v>82</v>
      </c>
      <c r="L176" s="55"/>
      <c r="M176" s="1"/>
      <c r="N176" s="1"/>
      <c r="O176" s="1"/>
      <c r="P176" s="1"/>
      <c r="Q176" s="1"/>
      <c r="R176" s="1"/>
      <c r="S176" s="1"/>
      <c r="T176" s="1"/>
      <c r="U176" s="1"/>
      <c r="V176" s="1"/>
      <c r="W176" s="1"/>
      <c r="X176" s="1"/>
      <c r="Y176" s="1"/>
      <c r="Z176" s="1"/>
    </row>
    <row r="177" spans="1:26" ht="19.5" customHeight="1">
      <c r="A177" s="139" t="str">
        <f t="array" ref="A177">deaths!$A23</f>
        <v>d16</v>
      </c>
      <c r="B177" s="55"/>
      <c r="C177" s="55">
        <f t="array" ref="C177">deaths!C23</f>
        <v>171</v>
      </c>
      <c r="D177" s="55">
        <f t="array" ref="D177">deaths!D23</f>
        <v>46</v>
      </c>
      <c r="E177" s="55">
        <f t="array" ref="E177">deaths!E23</f>
        <v>82</v>
      </c>
      <c r="F177" s="55">
        <f t="array" ref="F177">deaths!F23</f>
        <v>16</v>
      </c>
      <c r="G177" s="55">
        <f t="array" ref="G177">deaths!G23</f>
        <v>27</v>
      </c>
      <c r="H177" s="55">
        <f t="array" ref="H177">deaths!H23</f>
        <v>128</v>
      </c>
      <c r="I177" s="55">
        <f t="array" ref="I177">deaths!I23</f>
        <v>43</v>
      </c>
      <c r="J177" s="55">
        <f t="array" ref="J177">deaths!J23</f>
        <v>62</v>
      </c>
      <c r="K177" s="55">
        <f t="array" ref="K177">deaths!K23</f>
        <v>109</v>
      </c>
      <c r="L177" s="55"/>
      <c r="M177" s="1"/>
      <c r="N177" s="1"/>
      <c r="O177" s="1"/>
      <c r="P177" s="1"/>
      <c r="Q177" s="1"/>
      <c r="R177" s="1"/>
      <c r="S177" s="1"/>
      <c r="T177" s="1"/>
      <c r="U177" s="1"/>
      <c r="V177" s="1"/>
      <c r="W177" s="1"/>
      <c r="X177" s="1"/>
      <c r="Y177" s="1"/>
      <c r="Z177" s="1"/>
    </row>
    <row r="178" spans="1:26" ht="19.5" customHeight="1">
      <c r="A178" s="139" t="str">
        <f t="array" ref="A178">deaths!$A24</f>
        <v>d17</v>
      </c>
      <c r="B178" s="55"/>
      <c r="C178" s="55">
        <f t="array" ref="C178">deaths!C24</f>
        <v>191</v>
      </c>
      <c r="D178" s="55">
        <f t="array" ref="D178">deaths!D24</f>
        <v>37</v>
      </c>
      <c r="E178" s="55">
        <f t="array" ref="E178">deaths!E24</f>
        <v>106</v>
      </c>
      <c r="F178" s="55">
        <f t="array" ref="F178">deaths!F24</f>
        <v>13</v>
      </c>
      <c r="G178" s="55">
        <f t="array" ref="G178">deaths!G24</f>
        <v>35</v>
      </c>
      <c r="H178" s="55">
        <f t="array" ref="H178">deaths!H24</f>
        <v>143</v>
      </c>
      <c r="I178" s="55">
        <f t="array" ref="I178">deaths!I24</f>
        <v>48</v>
      </c>
      <c r="J178" s="55">
        <f t="array" ref="J178">deaths!J24</f>
        <v>50</v>
      </c>
      <c r="K178" s="55">
        <f t="array" ref="K178">deaths!K24</f>
        <v>141</v>
      </c>
      <c r="L178" s="55"/>
      <c r="M178" s="1"/>
      <c r="N178" s="1"/>
      <c r="O178" s="1"/>
      <c r="P178" s="1"/>
      <c r="Q178" s="1"/>
      <c r="R178" s="1"/>
      <c r="S178" s="1"/>
      <c r="T178" s="1"/>
      <c r="U178" s="1"/>
      <c r="V178" s="1"/>
      <c r="W178" s="1"/>
      <c r="X178" s="1"/>
      <c r="Y178" s="1"/>
      <c r="Z178" s="1"/>
    </row>
    <row r="179" spans="1:26" ht="19.5" customHeight="1">
      <c r="A179" s="139" t="str">
        <f t="array" ref="A179">deaths!$A25</f>
        <v>d18</v>
      </c>
      <c r="B179" s="55"/>
      <c r="C179" s="55">
        <f t="array" ref="C179">deaths!C25</f>
        <v>284</v>
      </c>
      <c r="D179" s="55">
        <f t="array" ref="D179">deaths!D25</f>
        <v>62</v>
      </c>
      <c r="E179" s="55">
        <f t="array" ref="E179">deaths!E25</f>
        <v>152</v>
      </c>
      <c r="F179" s="55">
        <f t="array" ref="F179">deaths!F25</f>
        <v>21</v>
      </c>
      <c r="G179" s="55">
        <f t="array" ref="G179">deaths!G25</f>
        <v>49</v>
      </c>
      <c r="H179" s="55">
        <f t="array" ref="H179">deaths!H25</f>
        <v>214</v>
      </c>
      <c r="I179" s="55">
        <f t="array" ref="I179">deaths!I25</f>
        <v>70</v>
      </c>
      <c r="J179" s="55">
        <f t="array" ref="J179">deaths!J25</f>
        <v>83</v>
      </c>
      <c r="K179" s="55">
        <f t="array" ref="K179">deaths!K25</f>
        <v>201</v>
      </c>
      <c r="L179" s="55"/>
      <c r="M179" s="1"/>
      <c r="N179" s="1"/>
      <c r="O179" s="1"/>
      <c r="P179" s="1"/>
      <c r="Q179" s="1"/>
      <c r="R179" s="1"/>
      <c r="S179" s="1"/>
      <c r="T179" s="1"/>
      <c r="U179" s="1"/>
      <c r="V179" s="1"/>
      <c r="W179" s="1"/>
      <c r="X179" s="1"/>
      <c r="Y179" s="1"/>
      <c r="Z179" s="1"/>
    </row>
    <row r="180" spans="1:26" ht="19.5" customHeight="1">
      <c r="A180" s="139" t="str">
        <f t="array" ref="A180">deaths!$A26</f>
        <v>d19</v>
      </c>
      <c r="B180" s="55"/>
      <c r="C180" s="55">
        <f t="array" ref="C180">deaths!C26</f>
        <v>299</v>
      </c>
      <c r="D180" s="55">
        <f t="array" ref="D180">deaths!D26</f>
        <v>70</v>
      </c>
      <c r="E180" s="55">
        <f t="array" ref="E180">deaths!E26</f>
        <v>155</v>
      </c>
      <c r="F180" s="55">
        <f t="array" ref="F180">deaths!F26</f>
        <v>24</v>
      </c>
      <c r="G180" s="55">
        <f t="array" ref="G180">deaths!G26</f>
        <v>50</v>
      </c>
      <c r="H180" s="55">
        <f t="array" ref="H180">deaths!H26</f>
        <v>225</v>
      </c>
      <c r="I180" s="55">
        <f t="array" ref="I180">deaths!I26</f>
        <v>74</v>
      </c>
      <c r="J180" s="55">
        <f t="array" ref="J180">deaths!J26</f>
        <v>94</v>
      </c>
      <c r="K180" s="55">
        <f t="array" ref="K180">deaths!K26</f>
        <v>205</v>
      </c>
      <c r="L180" s="55"/>
      <c r="M180" s="1"/>
      <c r="N180" s="1"/>
      <c r="O180" s="1"/>
      <c r="P180" s="1"/>
      <c r="Q180" s="1"/>
      <c r="R180" s="1"/>
      <c r="S180" s="1"/>
      <c r="T180" s="1"/>
      <c r="U180" s="1"/>
      <c r="V180" s="1"/>
      <c r="W180" s="1"/>
      <c r="X180" s="1"/>
      <c r="Y180" s="1"/>
      <c r="Z180" s="1"/>
    </row>
    <row r="181" spans="1:26" ht="19.5" customHeight="1">
      <c r="A181" s="139" t="str">
        <f t="array" ref="A181">deaths!$A27</f>
        <v>d20</v>
      </c>
      <c r="B181" s="55"/>
      <c r="C181" s="55">
        <f t="array" ref="C181">deaths!C27</f>
        <v>299</v>
      </c>
      <c r="D181" s="55">
        <f t="array" ref="D181">deaths!D27</f>
        <v>73</v>
      </c>
      <c r="E181" s="55">
        <f t="array" ref="E181">deaths!E27</f>
        <v>152</v>
      </c>
      <c r="F181" s="55">
        <f t="array" ref="F181">deaths!F27</f>
        <v>25</v>
      </c>
      <c r="G181" s="55">
        <f t="array" ref="G181">deaths!G27</f>
        <v>49</v>
      </c>
      <c r="H181" s="55">
        <f t="array" ref="H181">deaths!H27</f>
        <v>225</v>
      </c>
      <c r="I181" s="55">
        <f t="array" ref="I181">deaths!I27</f>
        <v>74</v>
      </c>
      <c r="J181" s="55">
        <f t="array" ref="J181">deaths!J27</f>
        <v>98</v>
      </c>
      <c r="K181" s="55">
        <f t="array" ref="K181">deaths!K27</f>
        <v>201</v>
      </c>
      <c r="L181" s="55"/>
      <c r="M181" s="1"/>
      <c r="N181" s="1"/>
      <c r="O181" s="1"/>
      <c r="P181" s="1"/>
      <c r="Q181" s="1"/>
      <c r="R181" s="1"/>
      <c r="S181" s="1"/>
      <c r="T181" s="1"/>
      <c r="U181" s="1"/>
      <c r="V181" s="1"/>
      <c r="W181" s="1"/>
      <c r="X181" s="1"/>
      <c r="Y181" s="1"/>
      <c r="Z181" s="1"/>
    </row>
    <row r="182" spans="1:26" ht="19.5" customHeight="1">
      <c r="A182" s="139" t="str">
        <f t="array" ref="A182">deaths!$A28</f>
        <v>d21</v>
      </c>
      <c r="B182" s="55"/>
      <c r="C182" s="55">
        <f t="array" ref="C182">deaths!C28</f>
        <v>347</v>
      </c>
      <c r="D182" s="55">
        <f t="array" ref="D182">deaths!D28</f>
        <v>57</v>
      </c>
      <c r="E182" s="55">
        <f t="array" ref="E182">deaths!E28</f>
        <v>204</v>
      </c>
      <c r="F182" s="55">
        <f t="array" ref="F182">deaths!F28</f>
        <v>19</v>
      </c>
      <c r="G182" s="55">
        <f t="array" ref="G182">deaths!G28</f>
        <v>67</v>
      </c>
      <c r="H182" s="55">
        <f t="array" ref="H182">deaths!H28</f>
        <v>261</v>
      </c>
      <c r="I182" s="55">
        <f t="array" ref="I182">deaths!I28</f>
        <v>86</v>
      </c>
      <c r="J182" s="55">
        <f t="array" ref="J182">deaths!J28</f>
        <v>76</v>
      </c>
      <c r="K182" s="55">
        <f t="array" ref="K182">deaths!K28</f>
        <v>271</v>
      </c>
      <c r="L182" s="55"/>
      <c r="M182" s="1"/>
      <c r="N182" s="1"/>
      <c r="O182" s="1"/>
      <c r="P182" s="1"/>
      <c r="Q182" s="1"/>
      <c r="R182" s="1"/>
      <c r="S182" s="1"/>
      <c r="T182" s="1"/>
      <c r="U182" s="1"/>
      <c r="V182" s="1"/>
      <c r="W182" s="1"/>
      <c r="X182" s="1"/>
      <c r="Y182" s="1"/>
      <c r="Z182" s="1"/>
    </row>
    <row r="183" spans="1:26" ht="19.5" customHeight="1">
      <c r="A183" s="139" t="str">
        <f t="array" ref="A183">deaths!$A29</f>
        <v>d22</v>
      </c>
      <c r="B183" s="55"/>
      <c r="C183" s="55">
        <f t="array" ref="C183">deaths!C29</f>
        <v>335</v>
      </c>
      <c r="D183" s="55">
        <f t="array" ref="D183">deaths!D29</f>
        <v>65</v>
      </c>
      <c r="E183" s="55">
        <f t="array" ref="E183">deaths!E29</f>
        <v>187</v>
      </c>
      <c r="F183" s="55">
        <f t="array" ref="F183">deaths!F29</f>
        <v>22</v>
      </c>
      <c r="G183" s="55">
        <f t="array" ref="G183">deaths!G29</f>
        <v>61</v>
      </c>
      <c r="H183" s="55">
        <f t="array" ref="H183">deaths!H29</f>
        <v>252</v>
      </c>
      <c r="I183" s="55">
        <f t="array" ref="I183">deaths!I29</f>
        <v>83</v>
      </c>
      <c r="J183" s="55">
        <f t="array" ref="J183">deaths!J29</f>
        <v>87</v>
      </c>
      <c r="K183" s="55">
        <f t="array" ref="K183">deaths!K29</f>
        <v>248</v>
      </c>
      <c r="L183" s="55"/>
      <c r="M183" s="1"/>
      <c r="N183" s="1"/>
      <c r="O183" s="1"/>
      <c r="P183" s="1"/>
      <c r="Q183" s="1"/>
      <c r="R183" s="1"/>
      <c r="S183" s="1"/>
      <c r="T183" s="1"/>
      <c r="U183" s="1"/>
      <c r="V183" s="1"/>
      <c r="W183" s="1"/>
      <c r="X183" s="1"/>
      <c r="Y183" s="1"/>
      <c r="Z183" s="1"/>
    </row>
    <row r="184" spans="1:26" ht="19.5" customHeight="1">
      <c r="A184" s="139" t="str">
        <f t="array" ref="A184">deaths!$A30</f>
        <v>d23</v>
      </c>
      <c r="B184" s="55"/>
      <c r="C184" s="55">
        <f t="array" ref="C184">deaths!C30</f>
        <v>341</v>
      </c>
      <c r="D184" s="55">
        <f t="array" ref="D184">deaths!D30</f>
        <v>64</v>
      </c>
      <c r="E184" s="55">
        <f t="array" ref="E184">deaths!E30</f>
        <v>192</v>
      </c>
      <c r="F184" s="55">
        <f t="array" ref="F184">deaths!F30</f>
        <v>21</v>
      </c>
      <c r="G184" s="55">
        <f t="array" ref="G184">deaths!G30</f>
        <v>64</v>
      </c>
      <c r="H184" s="55">
        <f t="array" ref="H184">deaths!H30</f>
        <v>256</v>
      </c>
      <c r="I184" s="55">
        <f t="array" ref="I184">deaths!I30</f>
        <v>85</v>
      </c>
      <c r="J184" s="55">
        <f t="array" ref="J184">deaths!J30</f>
        <v>85</v>
      </c>
      <c r="K184" s="55">
        <f t="array" ref="K184">deaths!K30</f>
        <v>256</v>
      </c>
      <c r="L184" s="55"/>
      <c r="M184" s="1"/>
      <c r="N184" s="1"/>
      <c r="O184" s="1"/>
      <c r="P184" s="1"/>
      <c r="Q184" s="1"/>
      <c r="R184" s="1"/>
      <c r="S184" s="1"/>
      <c r="T184" s="1"/>
      <c r="U184" s="1"/>
      <c r="V184" s="1"/>
      <c r="W184" s="1"/>
      <c r="X184" s="1"/>
      <c r="Y184" s="1"/>
      <c r="Z184" s="1"/>
    </row>
    <row r="185" spans="1:26" ht="19.5" customHeight="1">
      <c r="A185" s="139" t="str">
        <f t="array" ref="A185">deaths!$A31</f>
        <v>d24</v>
      </c>
      <c r="B185" s="55"/>
      <c r="C185" s="55">
        <f t="array" ref="C185">deaths!C31</f>
        <v>317</v>
      </c>
      <c r="D185" s="55">
        <f t="array" ref="D185">deaths!D31</f>
        <v>56</v>
      </c>
      <c r="E185" s="55">
        <f t="array" ref="E185">deaths!E31</f>
        <v>182</v>
      </c>
      <c r="F185" s="55">
        <f t="array" ref="F185">deaths!F31</f>
        <v>19</v>
      </c>
      <c r="G185" s="55">
        <f t="array" ref="G185">deaths!G31</f>
        <v>60</v>
      </c>
      <c r="H185" s="55">
        <f t="array" ref="H185">deaths!H31</f>
        <v>238</v>
      </c>
      <c r="I185" s="55">
        <f t="array" ref="I185">deaths!I31</f>
        <v>79</v>
      </c>
      <c r="J185" s="55">
        <f t="array" ref="J185">deaths!J31</f>
        <v>75</v>
      </c>
      <c r="K185" s="55">
        <f t="array" ref="K185">deaths!K31</f>
        <v>242</v>
      </c>
      <c r="L185" s="55"/>
      <c r="M185" s="1"/>
      <c r="N185" s="1"/>
      <c r="O185" s="1"/>
      <c r="P185" s="1"/>
      <c r="Q185" s="1"/>
      <c r="R185" s="1"/>
      <c r="S185" s="1"/>
      <c r="T185" s="1"/>
      <c r="U185" s="1"/>
      <c r="V185" s="1"/>
      <c r="W185" s="1"/>
      <c r="X185" s="1"/>
      <c r="Y185" s="1"/>
      <c r="Z185" s="1"/>
    </row>
    <row r="186" spans="1:26" ht="19.5" customHeight="1">
      <c r="A186" s="139" t="str">
        <f t="array" ref="A186">deaths!$A32</f>
        <v>d25</v>
      </c>
      <c r="B186" s="55"/>
      <c r="C186" s="55">
        <f t="array" ref="C186">deaths!C32</f>
        <v>320</v>
      </c>
      <c r="D186" s="55">
        <f t="array" ref="D186">deaths!D32</f>
        <v>77</v>
      </c>
      <c r="E186" s="55">
        <f t="array" ref="E186">deaths!E32</f>
        <v>166</v>
      </c>
      <c r="F186" s="55">
        <f t="array" ref="F186">deaths!F32</f>
        <v>26</v>
      </c>
      <c r="G186" s="55">
        <f t="array" ref="G186">deaths!G32</f>
        <v>51</v>
      </c>
      <c r="H186" s="55">
        <f t="array" ref="H186">deaths!H32</f>
        <v>243</v>
      </c>
      <c r="I186" s="55">
        <f t="array" ref="I186">deaths!I32</f>
        <v>77</v>
      </c>
      <c r="J186" s="55">
        <f t="array" ref="J186">deaths!J32</f>
        <v>103</v>
      </c>
      <c r="K186" s="55">
        <f t="array" ref="K186">deaths!K32</f>
        <v>217</v>
      </c>
      <c r="L186" s="55"/>
      <c r="M186" s="1"/>
      <c r="N186" s="1"/>
      <c r="O186" s="1"/>
      <c r="P186" s="1"/>
      <c r="Q186" s="1"/>
      <c r="R186" s="1"/>
      <c r="S186" s="1"/>
      <c r="T186" s="1"/>
      <c r="U186" s="1"/>
      <c r="V186" s="1"/>
      <c r="W186" s="1"/>
      <c r="X186" s="1"/>
      <c r="Y186" s="1"/>
      <c r="Z186" s="1"/>
    </row>
    <row r="187" spans="1:26" ht="19.5" customHeight="1">
      <c r="A187" s="139" t="str">
        <f t="array" ref="A187">deaths!$A33</f>
        <v>d26</v>
      </c>
      <c r="B187" s="55"/>
      <c r="C187" s="55">
        <f t="array" ref="C187">deaths!C33</f>
        <v>371</v>
      </c>
      <c r="D187" s="55">
        <f t="array" ref="D187">deaths!D33</f>
        <v>71</v>
      </c>
      <c r="E187" s="55">
        <f t="array" ref="E187">deaths!E33</f>
        <v>211</v>
      </c>
      <c r="F187" s="55">
        <f t="array" ref="F187">deaths!F33</f>
        <v>23</v>
      </c>
      <c r="G187" s="55">
        <f t="array" ref="G187">deaths!G33</f>
        <v>66</v>
      </c>
      <c r="H187" s="55">
        <f t="array" ref="H187">deaths!H33</f>
        <v>282</v>
      </c>
      <c r="I187" s="55">
        <f t="array" ref="I187">deaths!I33</f>
        <v>89</v>
      </c>
      <c r="J187" s="55">
        <f t="array" ref="J187">deaths!J33</f>
        <v>94</v>
      </c>
      <c r="K187" s="55">
        <f t="array" ref="K187">deaths!K33</f>
        <v>277</v>
      </c>
      <c r="L187" s="55"/>
      <c r="M187" s="1"/>
      <c r="N187" s="1"/>
      <c r="O187" s="1"/>
      <c r="P187" s="1"/>
      <c r="Q187" s="1"/>
      <c r="R187" s="1"/>
      <c r="S187" s="1"/>
      <c r="T187" s="1"/>
      <c r="U187" s="1"/>
      <c r="V187" s="1"/>
      <c r="W187" s="1"/>
      <c r="X187" s="1"/>
      <c r="Y187" s="1"/>
      <c r="Z187" s="1"/>
    </row>
    <row r="188" spans="1:26" ht="19.5" customHeight="1">
      <c r="A188" s="139" t="str">
        <f t="array" ref="A188">deaths!$A34</f>
        <v>d27</v>
      </c>
      <c r="B188" s="55"/>
      <c r="C188" s="55">
        <f t="array" ref="C188">deaths!C34</f>
        <v>370</v>
      </c>
      <c r="D188" s="55">
        <f t="array" ref="D188">deaths!D34</f>
        <v>71</v>
      </c>
      <c r="E188" s="55">
        <f t="array" ref="E188">deaths!E34</f>
        <v>209</v>
      </c>
      <c r="F188" s="55">
        <f t="array" ref="F188">deaths!F34</f>
        <v>24</v>
      </c>
      <c r="G188" s="55">
        <f t="array" ref="G188">deaths!G34</f>
        <v>66</v>
      </c>
      <c r="H188" s="55">
        <f t="array" ref="H188">deaths!H34</f>
        <v>280</v>
      </c>
      <c r="I188" s="55">
        <f t="array" ref="I188">deaths!I34</f>
        <v>90</v>
      </c>
      <c r="J188" s="55">
        <f t="array" ref="J188">deaths!J34</f>
        <v>95</v>
      </c>
      <c r="K188" s="55">
        <f t="array" ref="K188">deaths!K34</f>
        <v>275</v>
      </c>
      <c r="L188" s="55"/>
      <c r="M188" s="1"/>
      <c r="N188" s="1"/>
      <c r="O188" s="1"/>
      <c r="P188" s="1"/>
      <c r="Q188" s="1"/>
      <c r="R188" s="1"/>
      <c r="S188" s="1"/>
      <c r="T188" s="1"/>
      <c r="U188" s="1"/>
      <c r="V188" s="1"/>
      <c r="W188" s="1"/>
      <c r="X188" s="1"/>
      <c r="Y188" s="1"/>
      <c r="Z188" s="1"/>
    </row>
    <row r="189" spans="1:26" ht="19.5" customHeight="1">
      <c r="A189" s="139" t="str">
        <f t="array" ref="A189">deaths!$A35</f>
        <v>d28</v>
      </c>
      <c r="B189" s="55"/>
      <c r="C189" s="55">
        <f t="array" ref="C189">deaths!C35</f>
        <v>417</v>
      </c>
      <c r="D189" s="55">
        <f t="array" ref="D189">deaths!D35</f>
        <v>76</v>
      </c>
      <c r="E189" s="55">
        <f t="array" ref="E189">deaths!E35</f>
        <v>241</v>
      </c>
      <c r="F189" s="55">
        <f t="array" ref="F189">deaths!F35</f>
        <v>25</v>
      </c>
      <c r="G189" s="55">
        <f t="array" ref="G189">deaths!G35</f>
        <v>75</v>
      </c>
      <c r="H189" s="55">
        <f t="array" ref="H189">deaths!H35</f>
        <v>317</v>
      </c>
      <c r="I189" s="55">
        <f t="array" ref="I189">deaths!I35</f>
        <v>100</v>
      </c>
      <c r="J189" s="55">
        <f t="array" ref="J189">deaths!J35</f>
        <v>101</v>
      </c>
      <c r="K189" s="55">
        <f t="array" ref="K189">deaths!K35</f>
        <v>316</v>
      </c>
      <c r="L189" s="55"/>
      <c r="M189" s="1"/>
      <c r="N189" s="1"/>
      <c r="O189" s="1"/>
      <c r="P189" s="1"/>
      <c r="Q189" s="1"/>
      <c r="R189" s="1"/>
      <c r="S189" s="1"/>
      <c r="T189" s="1"/>
      <c r="U189" s="1"/>
      <c r="V189" s="1"/>
      <c r="W189" s="1"/>
      <c r="X189" s="1"/>
      <c r="Y189" s="1"/>
      <c r="Z189" s="1"/>
    </row>
    <row r="190" spans="1:26" ht="19.5" customHeight="1">
      <c r="A190" s="139" t="str">
        <f t="array" ref="A190">deaths!$A36</f>
        <v>d29</v>
      </c>
      <c r="B190" s="55"/>
      <c r="C190" s="55">
        <f t="array" ref="C190">deaths!C36</f>
        <v>408</v>
      </c>
      <c r="D190" s="55">
        <f t="array" ref="D190">deaths!D36</f>
        <v>85</v>
      </c>
      <c r="E190" s="55">
        <f t="array" ref="E190">deaths!E36</f>
        <v>224</v>
      </c>
      <c r="F190" s="55">
        <f t="array" ref="F190">deaths!F36</f>
        <v>28</v>
      </c>
      <c r="G190" s="55">
        <f t="array" ref="G190">deaths!G36</f>
        <v>71</v>
      </c>
      <c r="H190" s="55">
        <f t="array" ref="H190">deaths!H36</f>
        <v>309</v>
      </c>
      <c r="I190" s="55">
        <f t="array" ref="I190">deaths!I36</f>
        <v>99</v>
      </c>
      <c r="J190" s="55">
        <f t="array" ref="J190">deaths!J36</f>
        <v>113</v>
      </c>
      <c r="K190" s="55">
        <f t="array" ref="K190">deaths!K36</f>
        <v>295</v>
      </c>
      <c r="L190" s="55"/>
      <c r="M190" s="1"/>
      <c r="N190" s="1"/>
      <c r="O190" s="1"/>
      <c r="P190" s="1"/>
      <c r="Q190" s="1"/>
      <c r="R190" s="1"/>
      <c r="S190" s="1"/>
      <c r="T190" s="1"/>
      <c r="U190" s="1"/>
      <c r="V190" s="1"/>
      <c r="W190" s="1"/>
      <c r="X190" s="1"/>
      <c r="Y190" s="1"/>
      <c r="Z190" s="1"/>
    </row>
    <row r="191" spans="1:26" ht="19.5" customHeight="1">
      <c r="A191" s="139" t="str">
        <f t="array" ref="A191">deaths!$A37</f>
        <v>d30</v>
      </c>
      <c r="B191" s="55"/>
      <c r="C191" s="55">
        <f t="array" ref="C191">deaths!C37</f>
        <v>411</v>
      </c>
      <c r="D191" s="55">
        <f t="array" ref="D191">deaths!D37</f>
        <v>87</v>
      </c>
      <c r="E191" s="55">
        <f t="array" ref="E191">deaths!E37</f>
        <v>225</v>
      </c>
      <c r="F191" s="55">
        <f t="array" ref="F191">deaths!F37</f>
        <v>28</v>
      </c>
      <c r="G191" s="55">
        <f t="array" ref="G191">deaths!G37</f>
        <v>71</v>
      </c>
      <c r="H191" s="55">
        <f t="array" ref="H191">deaths!H37</f>
        <v>312</v>
      </c>
      <c r="I191" s="55">
        <f t="array" ref="I191">deaths!I37</f>
        <v>99</v>
      </c>
      <c r="J191" s="55">
        <f t="array" ref="J191">deaths!J37</f>
        <v>115</v>
      </c>
      <c r="K191" s="55">
        <f t="array" ref="K191">deaths!K37</f>
        <v>296</v>
      </c>
      <c r="L191" s="55"/>
      <c r="M191" s="1"/>
      <c r="N191" s="1"/>
      <c r="O191" s="1"/>
      <c r="P191" s="1"/>
      <c r="Q191" s="1"/>
      <c r="R191" s="1"/>
      <c r="S191" s="1"/>
      <c r="T191" s="1"/>
      <c r="U191" s="1"/>
      <c r="V191" s="1"/>
      <c r="W191" s="1"/>
      <c r="X191" s="1"/>
      <c r="Y191" s="1"/>
      <c r="Z191" s="1"/>
    </row>
    <row r="192" spans="1:26" ht="19.5" customHeight="1">
      <c r="A192" s="139" t="str">
        <f t="array" ref="A192">deaths!$A38</f>
        <v>d31</v>
      </c>
      <c r="B192" s="55"/>
      <c r="C192" s="55">
        <f t="array" ref="C192">deaths!C38</f>
        <v>431</v>
      </c>
      <c r="D192" s="55">
        <f t="array" ref="D192">deaths!D38</f>
        <v>90</v>
      </c>
      <c r="E192" s="55">
        <f t="array" ref="E192">deaths!E38</f>
        <v>237</v>
      </c>
      <c r="F192" s="55">
        <f t="array" ref="F192">deaths!F38</f>
        <v>29</v>
      </c>
      <c r="G192" s="55">
        <f t="array" ref="G192">deaths!G38</f>
        <v>75</v>
      </c>
      <c r="H192" s="55">
        <f t="array" ref="H192">deaths!H38</f>
        <v>327</v>
      </c>
      <c r="I192" s="55">
        <f t="array" ref="I192">deaths!I38</f>
        <v>104</v>
      </c>
      <c r="J192" s="55">
        <f t="array" ref="J192">deaths!J38</f>
        <v>119</v>
      </c>
      <c r="K192" s="55">
        <f t="array" ref="K192">deaths!K38</f>
        <v>312</v>
      </c>
      <c r="L192" s="55"/>
      <c r="M192" s="1"/>
      <c r="N192" s="1"/>
      <c r="O192" s="1"/>
      <c r="P192" s="1"/>
      <c r="Q192" s="1"/>
      <c r="R192" s="1"/>
      <c r="S192" s="1"/>
      <c r="T192" s="1"/>
      <c r="U192" s="1"/>
      <c r="V192" s="1"/>
      <c r="W192" s="1"/>
      <c r="X192" s="1"/>
      <c r="Y192" s="1"/>
      <c r="Z192" s="1"/>
    </row>
    <row r="193" spans="1:26" ht="19.5" customHeight="1">
      <c r="A193" s="139" t="str">
        <f t="array" ref="A193">deaths!$A39</f>
        <v>d32</v>
      </c>
      <c r="B193" s="55"/>
      <c r="C193" s="55">
        <f t="array" ref="C193">deaths!C39</f>
        <v>471</v>
      </c>
      <c r="D193" s="55">
        <f t="array" ref="D193">deaths!D39</f>
        <v>109</v>
      </c>
      <c r="E193" s="55">
        <f t="array" ref="E193">deaths!E39</f>
        <v>249</v>
      </c>
      <c r="F193" s="55">
        <f t="array" ref="F193">deaths!F39</f>
        <v>35</v>
      </c>
      <c r="G193" s="55">
        <f t="array" ref="G193">deaths!G39</f>
        <v>78</v>
      </c>
      <c r="H193" s="55">
        <f t="array" ref="H193">deaths!H39</f>
        <v>358</v>
      </c>
      <c r="I193" s="55">
        <f t="array" ref="I193">deaths!I39</f>
        <v>113</v>
      </c>
      <c r="J193" s="55">
        <f t="array" ref="J193">deaths!J39</f>
        <v>144</v>
      </c>
      <c r="K193" s="55">
        <f t="array" ref="K193">deaths!K39</f>
        <v>327</v>
      </c>
      <c r="L193" s="55"/>
      <c r="M193" s="1"/>
      <c r="N193" s="1"/>
      <c r="O193" s="1"/>
      <c r="P193" s="1"/>
      <c r="Q193" s="1"/>
      <c r="R193" s="1"/>
      <c r="S193" s="1"/>
      <c r="T193" s="1"/>
      <c r="U193" s="1"/>
      <c r="V193" s="1"/>
      <c r="W193" s="1"/>
      <c r="X193" s="1"/>
      <c r="Y193" s="1"/>
      <c r="Z193" s="1"/>
    </row>
    <row r="194" spans="1:26" ht="19.5" customHeight="1">
      <c r="A194" s="139" t="str">
        <f t="array" ref="A194">deaths!$A40</f>
        <v>d33</v>
      </c>
      <c r="B194" s="55"/>
      <c r="C194" s="55">
        <f t="array" ref="C194">deaths!C40</f>
        <v>503</v>
      </c>
      <c r="D194" s="55">
        <f t="array" ref="D194">deaths!D40</f>
        <v>119</v>
      </c>
      <c r="E194" s="55">
        <f t="array" ref="E194">deaths!E40</f>
        <v>262</v>
      </c>
      <c r="F194" s="55">
        <f t="array" ref="F194">deaths!F40</f>
        <v>39</v>
      </c>
      <c r="G194" s="55">
        <f t="array" ref="G194">deaths!G40</f>
        <v>83</v>
      </c>
      <c r="H194" s="55">
        <f t="array" ref="H194">deaths!H40</f>
        <v>381</v>
      </c>
      <c r="I194" s="55">
        <f t="array" ref="I194">deaths!I40</f>
        <v>122</v>
      </c>
      <c r="J194" s="55">
        <f t="array" ref="J194">deaths!J40</f>
        <v>158</v>
      </c>
      <c r="K194" s="55">
        <f t="array" ref="K194">deaths!K40</f>
        <v>345</v>
      </c>
      <c r="L194" s="55"/>
      <c r="M194" s="1"/>
      <c r="N194" s="1"/>
      <c r="O194" s="1"/>
      <c r="P194" s="1"/>
      <c r="Q194" s="1"/>
      <c r="R194" s="1"/>
      <c r="S194" s="1"/>
      <c r="T194" s="1"/>
      <c r="U194" s="1"/>
      <c r="V194" s="1"/>
      <c r="W194" s="1"/>
      <c r="X194" s="1"/>
      <c r="Y194" s="1"/>
      <c r="Z194" s="1"/>
    </row>
    <row r="195" spans="1:26" ht="19.5" customHeight="1">
      <c r="A195" s="139" t="str">
        <f t="array" ref="A195">deaths!$A41</f>
        <v>d34</v>
      </c>
      <c r="B195" s="55"/>
      <c r="C195" s="55">
        <f t="array" ref="C195">deaths!C41</f>
        <v>545</v>
      </c>
      <c r="D195" s="55">
        <f t="array" ref="D195">deaths!D41</f>
        <v>116</v>
      </c>
      <c r="E195" s="55">
        <f t="array" ref="E195">deaths!E41</f>
        <v>297</v>
      </c>
      <c r="F195" s="55">
        <f t="array" ref="F195">deaths!F41</f>
        <v>38</v>
      </c>
      <c r="G195" s="55">
        <f t="array" ref="G195">deaths!G41</f>
        <v>94</v>
      </c>
      <c r="H195" s="55">
        <f t="array" ref="H195">deaths!H41</f>
        <v>413</v>
      </c>
      <c r="I195" s="55">
        <f t="array" ref="I195">deaths!I41</f>
        <v>132</v>
      </c>
      <c r="J195" s="55">
        <f t="array" ref="J195">deaths!J41</f>
        <v>154</v>
      </c>
      <c r="K195" s="55">
        <f t="array" ref="K195">deaths!K41</f>
        <v>391</v>
      </c>
      <c r="L195" s="55"/>
      <c r="M195" s="1"/>
      <c r="N195" s="1"/>
      <c r="O195" s="1"/>
      <c r="P195" s="1"/>
      <c r="Q195" s="1"/>
      <c r="R195" s="1"/>
      <c r="S195" s="1"/>
      <c r="T195" s="1"/>
      <c r="U195" s="1"/>
      <c r="V195" s="1"/>
      <c r="W195" s="1"/>
      <c r="X195" s="1"/>
      <c r="Y195" s="1"/>
      <c r="Z195" s="1"/>
    </row>
    <row r="196" spans="1:26" ht="19.5" customHeight="1">
      <c r="A196" s="139" t="str">
        <f t="array" ref="A196">deaths!$A42</f>
        <v>d35</v>
      </c>
      <c r="B196" s="55"/>
      <c r="C196" s="55">
        <f t="array" ref="C196">deaths!C42</f>
        <v>589</v>
      </c>
      <c r="D196" s="55">
        <f t="array" ref="D196">deaths!D42</f>
        <v>126</v>
      </c>
      <c r="E196" s="55">
        <f t="array" ref="E196">deaths!E42</f>
        <v>321</v>
      </c>
      <c r="F196" s="55">
        <f t="array" ref="F196">deaths!F42</f>
        <v>41</v>
      </c>
      <c r="G196" s="55">
        <f t="array" ref="G196">deaths!G42</f>
        <v>101</v>
      </c>
      <c r="H196" s="55">
        <f t="array" ref="H196">deaths!H42</f>
        <v>447</v>
      </c>
      <c r="I196" s="55">
        <f t="array" ref="I196">deaths!I42</f>
        <v>142</v>
      </c>
      <c r="J196" s="55">
        <f t="array" ref="J196">deaths!J42</f>
        <v>167</v>
      </c>
      <c r="K196" s="55">
        <f t="array" ref="K196">deaths!K42</f>
        <v>422</v>
      </c>
      <c r="L196" s="55"/>
      <c r="M196" s="1"/>
      <c r="N196" s="1"/>
      <c r="O196" s="1"/>
      <c r="P196" s="1"/>
      <c r="Q196" s="1"/>
      <c r="R196" s="1"/>
      <c r="S196" s="1"/>
      <c r="T196" s="1"/>
      <c r="U196" s="1"/>
      <c r="V196" s="1"/>
      <c r="W196" s="1"/>
      <c r="X196" s="1"/>
      <c r="Y196" s="1"/>
      <c r="Z196" s="1"/>
    </row>
    <row r="197" spans="1:26" ht="19.5" customHeight="1">
      <c r="A197" s="139" t="str">
        <f t="array" ref="A197">deaths!$A43</f>
        <v>d36</v>
      </c>
      <c r="B197" s="55"/>
      <c r="C197" s="55">
        <f t="array" ref="C197">deaths!C43</f>
        <v>696</v>
      </c>
      <c r="D197" s="55">
        <f t="array" ref="D197">deaths!D43</f>
        <v>163</v>
      </c>
      <c r="E197" s="55">
        <f t="array" ref="E197">deaths!E43</f>
        <v>365</v>
      </c>
      <c r="F197" s="55">
        <f t="array" ref="F197">deaths!F43</f>
        <v>53</v>
      </c>
      <c r="G197" s="55">
        <f t="array" ref="G197">deaths!G43</f>
        <v>115</v>
      </c>
      <c r="H197" s="55">
        <f t="array" ref="H197">deaths!H43</f>
        <v>528</v>
      </c>
      <c r="I197" s="55">
        <f t="array" ref="I197">deaths!I43</f>
        <v>168</v>
      </c>
      <c r="J197" s="55">
        <f t="array" ref="J197">deaths!J43</f>
        <v>216</v>
      </c>
      <c r="K197" s="55">
        <f t="array" ref="K197">deaths!K43</f>
        <v>480</v>
      </c>
      <c r="L197" s="55"/>
      <c r="M197" s="1"/>
      <c r="N197" s="1"/>
      <c r="O197" s="1"/>
      <c r="P197" s="1"/>
      <c r="Q197" s="1"/>
      <c r="R197" s="1"/>
      <c r="S197" s="1"/>
      <c r="T197" s="1"/>
      <c r="U197" s="1"/>
      <c r="V197" s="1"/>
      <c r="W197" s="1"/>
      <c r="X197" s="1"/>
      <c r="Y197" s="1"/>
      <c r="Z197" s="1"/>
    </row>
    <row r="198" spans="1:26" ht="19.5" customHeight="1">
      <c r="A198" s="139" t="str">
        <f t="array" ref="A198">deaths!$A44</f>
        <v>d37</v>
      </c>
      <c r="B198" s="55"/>
      <c r="C198" s="55">
        <f t="array" ref="C198">deaths!C44</f>
        <v>724</v>
      </c>
      <c r="D198" s="55">
        <f t="array" ref="D198">deaths!D44</f>
        <v>175</v>
      </c>
      <c r="E198" s="55">
        <f t="array" ref="E198">deaths!E44</f>
        <v>374</v>
      </c>
      <c r="F198" s="55">
        <f t="array" ref="F198">deaths!F44</f>
        <v>57</v>
      </c>
      <c r="G198" s="55">
        <f t="array" ref="G198">deaths!G44</f>
        <v>118</v>
      </c>
      <c r="H198" s="55">
        <f t="array" ref="H198">deaths!H44</f>
        <v>549</v>
      </c>
      <c r="I198" s="55">
        <f t="array" ref="I198">deaths!I44</f>
        <v>175</v>
      </c>
      <c r="J198" s="55">
        <f t="array" ref="J198">deaths!J44</f>
        <v>232</v>
      </c>
      <c r="K198" s="55">
        <f t="array" ref="K198">deaths!K44</f>
        <v>492</v>
      </c>
      <c r="L198" s="55"/>
      <c r="M198" s="1"/>
      <c r="N198" s="1"/>
      <c r="O198" s="1"/>
      <c r="P198" s="1"/>
      <c r="Q198" s="1"/>
      <c r="R198" s="1"/>
      <c r="S198" s="1"/>
      <c r="T198" s="1"/>
      <c r="U198" s="1"/>
      <c r="V198" s="1"/>
      <c r="W198" s="1"/>
      <c r="X198" s="1"/>
      <c r="Y198" s="1"/>
      <c r="Z198" s="1"/>
    </row>
    <row r="199" spans="1:26" ht="19.5" customHeight="1">
      <c r="A199" s="139" t="str">
        <f t="array" ref="A199">deaths!$A45</f>
        <v>d38</v>
      </c>
      <c r="B199" s="55"/>
      <c r="C199" s="55">
        <f t="array" ref="C199">deaths!C45</f>
        <v>775</v>
      </c>
      <c r="D199" s="55">
        <f t="array" ref="D199">deaths!D45</f>
        <v>181</v>
      </c>
      <c r="E199" s="55">
        <f t="array" ref="E199">deaths!E45</f>
        <v>406</v>
      </c>
      <c r="F199" s="55">
        <f t="array" ref="F199">deaths!F45</f>
        <v>59</v>
      </c>
      <c r="G199" s="55">
        <f t="array" ref="G199">deaths!G45</f>
        <v>129</v>
      </c>
      <c r="H199" s="55">
        <f t="array" ref="H199">deaths!H45</f>
        <v>587</v>
      </c>
      <c r="I199" s="55">
        <f t="array" ref="I199">deaths!I45</f>
        <v>188</v>
      </c>
      <c r="J199" s="55">
        <f t="array" ref="J199">deaths!J45</f>
        <v>240</v>
      </c>
      <c r="K199" s="55">
        <f t="array" ref="K199">deaths!K45</f>
        <v>535</v>
      </c>
      <c r="L199" s="55"/>
      <c r="M199" s="1"/>
      <c r="N199" s="1"/>
      <c r="O199" s="1"/>
      <c r="P199" s="1"/>
      <c r="Q199" s="1"/>
      <c r="R199" s="1"/>
      <c r="S199" s="1"/>
      <c r="T199" s="1"/>
      <c r="U199" s="1"/>
      <c r="V199" s="1"/>
      <c r="W199" s="1"/>
      <c r="X199" s="1"/>
      <c r="Y199" s="1"/>
      <c r="Z199" s="1"/>
    </row>
    <row r="200" spans="1:26" ht="19.5" customHeight="1">
      <c r="A200" s="139" t="str">
        <f t="array" ref="A200">deaths!$A46</f>
        <v>d39</v>
      </c>
      <c r="B200" s="55"/>
      <c r="C200" s="55">
        <f t="array" ref="C200">deaths!C46</f>
        <v>874</v>
      </c>
      <c r="D200" s="55">
        <f t="array" ref="D200">deaths!D46</f>
        <v>213</v>
      </c>
      <c r="E200" s="55">
        <f t="array" ref="E200">deaths!E46</f>
        <v>449</v>
      </c>
      <c r="F200" s="55">
        <f t="array" ref="F200">deaths!F46</f>
        <v>70</v>
      </c>
      <c r="G200" s="55">
        <f t="array" ref="G200">deaths!G46</f>
        <v>142</v>
      </c>
      <c r="H200" s="55">
        <f t="array" ref="H200">deaths!H46</f>
        <v>662</v>
      </c>
      <c r="I200" s="55">
        <f t="array" ref="I200">deaths!I46</f>
        <v>212</v>
      </c>
      <c r="J200" s="55">
        <f t="array" ref="J200">deaths!J46</f>
        <v>283</v>
      </c>
      <c r="K200" s="55">
        <f t="array" ref="K200">deaths!K46</f>
        <v>591</v>
      </c>
      <c r="L200" s="55"/>
      <c r="M200" s="1"/>
      <c r="N200" s="1"/>
      <c r="O200" s="1"/>
      <c r="P200" s="1"/>
      <c r="Q200" s="1"/>
      <c r="R200" s="1"/>
      <c r="S200" s="1"/>
      <c r="T200" s="1"/>
      <c r="U200" s="1"/>
      <c r="V200" s="1"/>
      <c r="W200" s="1"/>
      <c r="X200" s="1"/>
      <c r="Y200" s="1"/>
      <c r="Z200" s="1"/>
    </row>
    <row r="201" spans="1:26" ht="19.5" customHeight="1">
      <c r="A201" s="139" t="str">
        <f t="array" ref="A201">deaths!$A47</f>
        <v>d40</v>
      </c>
      <c r="B201" s="55"/>
      <c r="C201" s="55">
        <f t="array" ref="C201">deaths!C47</f>
        <v>923</v>
      </c>
      <c r="D201" s="55">
        <f t="array" ref="D201">deaths!D47</f>
        <v>223</v>
      </c>
      <c r="E201" s="55">
        <f t="array" ref="E201">deaths!E47</f>
        <v>476</v>
      </c>
      <c r="F201" s="55">
        <f t="array" ref="F201">deaths!F47</f>
        <v>72</v>
      </c>
      <c r="G201" s="55">
        <f t="array" ref="G201">deaths!G47</f>
        <v>152</v>
      </c>
      <c r="H201" s="55">
        <f t="array" ref="H201">deaths!H47</f>
        <v>699</v>
      </c>
      <c r="I201" s="55">
        <f t="array" ref="I201">deaths!I47</f>
        <v>224</v>
      </c>
      <c r="J201" s="55">
        <f t="array" ref="J201">deaths!J47</f>
        <v>295</v>
      </c>
      <c r="K201" s="55">
        <f t="array" ref="K201">deaths!K47</f>
        <v>628</v>
      </c>
      <c r="L201" s="55"/>
      <c r="M201" s="1"/>
      <c r="N201" s="1"/>
      <c r="O201" s="1"/>
      <c r="P201" s="1"/>
      <c r="Q201" s="1"/>
      <c r="R201" s="1"/>
      <c r="S201" s="1"/>
      <c r="T201" s="1"/>
      <c r="U201" s="1"/>
      <c r="V201" s="1"/>
      <c r="W201" s="1"/>
      <c r="X201" s="1"/>
      <c r="Y201" s="1"/>
      <c r="Z201" s="1"/>
    </row>
    <row r="202" spans="1:26" ht="19.5" customHeight="1">
      <c r="A202" s="139" t="str">
        <f t="array" ref="A202">deaths!$A48</f>
        <v>d41</v>
      </c>
      <c r="B202" s="55"/>
      <c r="C202" s="55">
        <f t="array" ref="C202">deaths!C48</f>
        <v>980</v>
      </c>
      <c r="D202" s="55">
        <f t="array" ref="D202">deaths!D48</f>
        <v>254</v>
      </c>
      <c r="E202" s="55">
        <f t="array" ref="E202">deaths!E48</f>
        <v>489</v>
      </c>
      <c r="F202" s="55">
        <f t="array" ref="F202">deaths!F48</f>
        <v>82</v>
      </c>
      <c r="G202" s="55">
        <f t="array" ref="G202">deaths!G48</f>
        <v>155</v>
      </c>
      <c r="H202" s="55">
        <f t="array" ref="H202">deaths!H48</f>
        <v>743</v>
      </c>
      <c r="I202" s="55">
        <f t="array" ref="I202">deaths!I48</f>
        <v>237</v>
      </c>
      <c r="J202" s="55">
        <f t="array" ref="J202">deaths!J48</f>
        <v>336</v>
      </c>
      <c r="K202" s="55">
        <f t="array" ref="K202">deaths!K48</f>
        <v>644</v>
      </c>
      <c r="L202" s="55"/>
      <c r="M202" s="1"/>
      <c r="N202" s="1"/>
      <c r="O202" s="1"/>
      <c r="P202" s="1"/>
      <c r="Q202" s="1"/>
      <c r="R202" s="1"/>
      <c r="S202" s="1"/>
      <c r="T202" s="1"/>
      <c r="U202" s="1"/>
      <c r="V202" s="1"/>
      <c r="W202" s="1"/>
      <c r="X202" s="1"/>
      <c r="Y202" s="1"/>
      <c r="Z202" s="1"/>
    </row>
    <row r="203" spans="1:26" ht="19.5" customHeight="1">
      <c r="A203" s="139" t="str">
        <f t="array" ref="A203">deaths!$A49</f>
        <v>d42</v>
      </c>
      <c r="B203" s="55"/>
      <c r="C203" s="55">
        <f t="array" ref="C203">deaths!C49</f>
        <v>1156</v>
      </c>
      <c r="D203" s="55">
        <f t="array" ref="D203">deaths!D49</f>
        <v>312</v>
      </c>
      <c r="E203" s="55">
        <f t="array" ref="E203">deaths!E49</f>
        <v>563</v>
      </c>
      <c r="F203" s="55">
        <f t="array" ref="F203">deaths!F49</f>
        <v>102</v>
      </c>
      <c r="G203" s="55">
        <f t="array" ref="G203">deaths!G49</f>
        <v>179</v>
      </c>
      <c r="H203" s="55">
        <f t="array" ref="H203">deaths!H49</f>
        <v>875</v>
      </c>
      <c r="I203" s="55">
        <f t="array" ref="I203">deaths!I49</f>
        <v>281</v>
      </c>
      <c r="J203" s="55">
        <f t="array" ref="J203">deaths!J49</f>
        <v>414</v>
      </c>
      <c r="K203" s="55">
        <f t="array" ref="K203">deaths!K49</f>
        <v>742</v>
      </c>
      <c r="L203" s="55"/>
      <c r="M203" s="1"/>
      <c r="N203" s="1"/>
      <c r="O203" s="1"/>
      <c r="P203" s="1"/>
      <c r="Q203" s="1"/>
      <c r="R203" s="1"/>
      <c r="S203" s="1"/>
      <c r="T203" s="1"/>
      <c r="U203" s="1"/>
      <c r="V203" s="1"/>
      <c r="W203" s="1"/>
      <c r="X203" s="1"/>
      <c r="Y203" s="1"/>
      <c r="Z203" s="1"/>
    </row>
    <row r="204" spans="1:26" ht="19.5" customHeight="1">
      <c r="A204" s="139" t="str">
        <f t="array" ref="A204">deaths!$A50</f>
        <v>d43</v>
      </c>
      <c r="B204" s="55"/>
      <c r="C204" s="55">
        <f t="array" ref="C204">deaths!C50</f>
        <v>1197</v>
      </c>
      <c r="D204" s="55">
        <f t="array" ref="D204">deaths!D50</f>
        <v>290</v>
      </c>
      <c r="E204" s="55">
        <f t="array" ref="E204">deaths!E50</f>
        <v>617</v>
      </c>
      <c r="F204" s="55">
        <f t="array" ref="F204">deaths!F50</f>
        <v>94</v>
      </c>
      <c r="G204" s="55">
        <f t="array" ref="G204">deaths!G50</f>
        <v>196</v>
      </c>
      <c r="H204" s="55">
        <f t="array" ref="H204">deaths!H50</f>
        <v>907</v>
      </c>
      <c r="I204" s="55">
        <f t="array" ref="I204">deaths!I50</f>
        <v>290</v>
      </c>
      <c r="J204" s="55">
        <f t="array" ref="J204">deaths!J50</f>
        <v>384</v>
      </c>
      <c r="K204" s="55">
        <f t="array" ref="K204">deaths!K50</f>
        <v>813</v>
      </c>
      <c r="L204" s="55"/>
      <c r="M204" s="1"/>
      <c r="N204" s="1"/>
      <c r="O204" s="1"/>
      <c r="P204" s="1"/>
      <c r="Q204" s="1"/>
      <c r="R204" s="1"/>
      <c r="S204" s="1"/>
      <c r="T204" s="1"/>
      <c r="U204" s="1"/>
      <c r="V204" s="1"/>
      <c r="W204" s="1"/>
      <c r="X204" s="1"/>
      <c r="Y204" s="1"/>
      <c r="Z204" s="1"/>
    </row>
    <row r="205" spans="1:26" ht="19.5" customHeight="1">
      <c r="A205" s="139" t="str">
        <f t="array" ref="A205">deaths!$A51</f>
        <v>d44</v>
      </c>
      <c r="B205" s="55"/>
      <c r="C205" s="55">
        <f t="array" ref="C205">deaths!C51</f>
        <v>1331</v>
      </c>
      <c r="D205" s="55">
        <f t="array" ref="D205">deaths!D51</f>
        <v>321</v>
      </c>
      <c r="E205" s="55">
        <f t="array" ref="E205">deaths!E51</f>
        <v>687</v>
      </c>
      <c r="F205" s="55">
        <f t="array" ref="F205">deaths!F51</f>
        <v>105</v>
      </c>
      <c r="G205" s="55">
        <f t="array" ref="G205">deaths!G51</f>
        <v>218</v>
      </c>
      <c r="H205" s="55">
        <f t="array" ref="H205">deaths!H51</f>
        <v>1008</v>
      </c>
      <c r="I205" s="55">
        <f t="array" ref="I205">deaths!I51</f>
        <v>323</v>
      </c>
      <c r="J205" s="55">
        <f t="array" ref="J205">deaths!J51</f>
        <v>426</v>
      </c>
      <c r="K205" s="55">
        <f t="array" ref="K205">deaths!K51</f>
        <v>905</v>
      </c>
      <c r="L205" s="55"/>
      <c r="M205" s="1"/>
      <c r="N205" s="1"/>
      <c r="O205" s="1"/>
      <c r="P205" s="1"/>
      <c r="Q205" s="1"/>
      <c r="R205" s="1"/>
      <c r="S205" s="1"/>
      <c r="T205" s="1"/>
      <c r="U205" s="1"/>
      <c r="V205" s="1"/>
      <c r="W205" s="1"/>
      <c r="X205" s="1"/>
      <c r="Y205" s="1"/>
      <c r="Z205" s="1"/>
    </row>
    <row r="206" spans="1:26" ht="19.5" customHeight="1">
      <c r="A206" s="139" t="str">
        <f t="array" ref="A206">deaths!$A52</f>
        <v>d45</v>
      </c>
      <c r="B206" s="55"/>
      <c r="C206" s="55">
        <f t="array" ref="C206">deaths!C52</f>
        <v>1343</v>
      </c>
      <c r="D206" s="55">
        <f t="array" ref="D206">deaths!D52</f>
        <v>356</v>
      </c>
      <c r="E206" s="55">
        <f t="array" ref="E206">deaths!E52</f>
        <v>662</v>
      </c>
      <c r="F206" s="55">
        <f t="array" ref="F206">deaths!F52</f>
        <v>116</v>
      </c>
      <c r="G206" s="55">
        <f t="array" ref="G206">deaths!G52</f>
        <v>209</v>
      </c>
      <c r="H206" s="55">
        <f t="array" ref="H206">deaths!H52</f>
        <v>1018</v>
      </c>
      <c r="I206" s="55">
        <f t="array" ref="I206">deaths!I52</f>
        <v>325</v>
      </c>
      <c r="J206" s="55">
        <f t="array" ref="J206">deaths!J52</f>
        <v>472</v>
      </c>
      <c r="K206" s="55">
        <f t="array" ref="K206">deaths!K52</f>
        <v>871</v>
      </c>
      <c r="L206" s="55"/>
      <c r="M206" s="1"/>
      <c r="N206" s="1"/>
      <c r="O206" s="1"/>
      <c r="P206" s="1"/>
      <c r="Q206" s="1"/>
      <c r="R206" s="1"/>
      <c r="S206" s="1"/>
      <c r="T206" s="1"/>
      <c r="U206" s="1"/>
      <c r="V206" s="1"/>
      <c r="W206" s="1"/>
      <c r="X206" s="1"/>
      <c r="Y206" s="1"/>
      <c r="Z206" s="1"/>
    </row>
    <row r="207" spans="1:26" ht="19.5" customHeight="1">
      <c r="A207" s="139" t="str">
        <f t="array" ref="A207">deaths!$A53</f>
        <v>d46</v>
      </c>
      <c r="B207" s="55"/>
      <c r="C207" s="55">
        <f t="array" ref="C207">deaths!C53</f>
        <v>1510</v>
      </c>
      <c r="D207" s="55">
        <f t="array" ref="D207">deaths!D53</f>
        <v>398</v>
      </c>
      <c r="E207" s="55">
        <f t="array" ref="E207">deaths!E53</f>
        <v>746</v>
      </c>
      <c r="F207" s="55">
        <f t="array" ref="F207">deaths!F53</f>
        <v>130</v>
      </c>
      <c r="G207" s="55">
        <f t="array" ref="G207">deaths!G53</f>
        <v>236</v>
      </c>
      <c r="H207" s="55">
        <f t="array" ref="H207">deaths!H53</f>
        <v>1144</v>
      </c>
      <c r="I207" s="55">
        <f t="array" ref="I207">deaths!I53</f>
        <v>366</v>
      </c>
      <c r="J207" s="55">
        <f t="array" ref="J207">deaths!J53</f>
        <v>528</v>
      </c>
      <c r="K207" s="55">
        <f t="array" ref="K207">deaths!K53</f>
        <v>982</v>
      </c>
      <c r="L207" s="55"/>
      <c r="M207" s="1"/>
      <c r="N207" s="1"/>
      <c r="O207" s="1"/>
      <c r="P207" s="1"/>
      <c r="Q207" s="1"/>
      <c r="R207" s="1"/>
      <c r="S207" s="1"/>
      <c r="T207" s="1"/>
      <c r="U207" s="1"/>
      <c r="V207" s="1"/>
      <c r="W207" s="1"/>
      <c r="X207" s="1"/>
      <c r="Y207" s="1"/>
      <c r="Z207" s="1"/>
    </row>
    <row r="208" spans="1:26" ht="19.5" customHeight="1">
      <c r="A208" s="139" t="str">
        <f t="array" ref="A208">deaths!$A54</f>
        <v>d47</v>
      </c>
      <c r="B208" s="55"/>
      <c r="C208" s="55">
        <f t="array" ref="C208">deaths!C54</f>
        <v>1627</v>
      </c>
      <c r="D208" s="55">
        <f t="array" ref="D208">deaths!D54</f>
        <v>426</v>
      </c>
      <c r="E208" s="55">
        <f t="array" ref="E208">deaths!E54</f>
        <v>808</v>
      </c>
      <c r="F208" s="55">
        <f t="array" ref="F208">deaths!F54</f>
        <v>139</v>
      </c>
      <c r="G208" s="55">
        <f t="array" ref="G208">deaths!G54</f>
        <v>254</v>
      </c>
      <c r="H208" s="55">
        <f t="array" ref="H208">deaths!H54</f>
        <v>1234</v>
      </c>
      <c r="I208" s="55">
        <f t="array" ref="I208">deaths!I54</f>
        <v>393</v>
      </c>
      <c r="J208" s="55">
        <f t="array" ref="J208">deaths!J54</f>
        <v>565</v>
      </c>
      <c r="K208" s="55">
        <f t="array" ref="K208">deaths!K54</f>
        <v>1062</v>
      </c>
      <c r="L208" s="55"/>
      <c r="M208" s="1"/>
      <c r="N208" s="1"/>
      <c r="O208" s="1"/>
      <c r="P208" s="1"/>
      <c r="Q208" s="1"/>
      <c r="R208" s="1"/>
      <c r="S208" s="1"/>
      <c r="T208" s="1"/>
      <c r="U208" s="1"/>
      <c r="V208" s="1"/>
      <c r="W208" s="1"/>
      <c r="X208" s="1"/>
      <c r="Y208" s="1"/>
      <c r="Z208" s="1"/>
    </row>
    <row r="209" spans="1:26" ht="19.5" customHeight="1">
      <c r="A209" s="139" t="str">
        <f t="array" ref="A209">deaths!$A55</f>
        <v>d48</v>
      </c>
      <c r="B209" s="55"/>
      <c r="C209" s="55">
        <f t="array" ref="C209">deaths!C55</f>
        <v>1710</v>
      </c>
      <c r="D209" s="55">
        <f t="array" ref="D209">deaths!D55</f>
        <v>419</v>
      </c>
      <c r="E209" s="55">
        <f t="array" ref="E209">deaths!E55</f>
        <v>877</v>
      </c>
      <c r="F209" s="55">
        <f t="array" ref="F209">deaths!F55</f>
        <v>138</v>
      </c>
      <c r="G209" s="55">
        <f t="array" ref="G209">deaths!G55</f>
        <v>276</v>
      </c>
      <c r="H209" s="55">
        <f t="array" ref="H209">deaths!H55</f>
        <v>1296</v>
      </c>
      <c r="I209" s="55">
        <f t="array" ref="I209">deaths!I55</f>
        <v>414</v>
      </c>
      <c r="J209" s="55">
        <f t="array" ref="J209">deaths!J55</f>
        <v>557</v>
      </c>
      <c r="K209" s="55">
        <f t="array" ref="K209">deaths!K55</f>
        <v>1153</v>
      </c>
      <c r="L209" s="55"/>
      <c r="M209" s="1"/>
      <c r="N209" s="1"/>
      <c r="O209" s="1"/>
      <c r="P209" s="1"/>
      <c r="Q209" s="1"/>
      <c r="R209" s="1"/>
      <c r="S209" s="1"/>
      <c r="T209" s="1"/>
      <c r="U209" s="1"/>
      <c r="V209" s="1"/>
      <c r="W209" s="1"/>
      <c r="X209" s="1"/>
      <c r="Y209" s="1"/>
      <c r="Z209" s="1"/>
    </row>
    <row r="210" spans="1:26" ht="19.5" customHeight="1">
      <c r="A210" s="139" t="str">
        <f t="array" ref="A210">deaths!$A56</f>
        <v>d49</v>
      </c>
      <c r="B210" s="55"/>
      <c r="C210" s="55">
        <f t="array" ref="C210">deaths!C56</f>
        <v>1939</v>
      </c>
      <c r="D210" s="55">
        <f t="array" ref="D210">deaths!D56</f>
        <v>505</v>
      </c>
      <c r="E210" s="55">
        <f t="array" ref="E210">deaths!E56</f>
        <v>964</v>
      </c>
      <c r="F210" s="55">
        <f t="array" ref="F210">deaths!F56</f>
        <v>166</v>
      </c>
      <c r="G210" s="55">
        <f t="array" ref="G210">deaths!G56</f>
        <v>304</v>
      </c>
      <c r="H210" s="55">
        <f t="array" ref="H210">deaths!H56</f>
        <v>1469</v>
      </c>
      <c r="I210" s="55">
        <f t="array" ref="I210">deaths!I56</f>
        <v>470</v>
      </c>
      <c r="J210" s="55">
        <f t="array" ref="J210">deaths!J56</f>
        <v>671</v>
      </c>
      <c r="K210" s="55">
        <f t="array" ref="K210">deaths!K56</f>
        <v>1268</v>
      </c>
      <c r="L210" s="55"/>
      <c r="M210" s="1"/>
      <c r="N210" s="1"/>
      <c r="O210" s="1"/>
      <c r="P210" s="1"/>
      <c r="Q210" s="1"/>
      <c r="R210" s="1"/>
      <c r="S210" s="1"/>
      <c r="T210" s="1"/>
      <c r="U210" s="1"/>
      <c r="V210" s="1"/>
      <c r="W210" s="1"/>
      <c r="X210" s="1"/>
      <c r="Y210" s="1"/>
      <c r="Z210" s="1"/>
    </row>
    <row r="211" spans="1:26" ht="19.5" customHeight="1">
      <c r="A211" s="139" t="str">
        <f t="array" ref="A211">deaths!$A57</f>
        <v>d50</v>
      </c>
      <c r="B211" s="55"/>
      <c r="C211" s="55">
        <f t="array" ref="C211">deaths!C57</f>
        <v>2303</v>
      </c>
      <c r="D211" s="55">
        <f t="array" ref="D211">deaths!D57</f>
        <v>607</v>
      </c>
      <c r="E211" s="55">
        <f t="array" ref="E211">deaths!E57</f>
        <v>1139</v>
      </c>
      <c r="F211" s="55">
        <f t="array" ref="F211">deaths!F57</f>
        <v>199</v>
      </c>
      <c r="G211" s="55">
        <f t="array" ref="G211">deaths!G57</f>
        <v>358</v>
      </c>
      <c r="H211" s="55">
        <f t="array" ref="H211">deaths!H57</f>
        <v>1746</v>
      </c>
      <c r="I211" s="55">
        <f t="array" ref="I211">deaths!I57</f>
        <v>557</v>
      </c>
      <c r="J211" s="55">
        <f t="array" ref="J211">deaths!J57</f>
        <v>806</v>
      </c>
      <c r="K211" s="55">
        <f t="array" ref="K211">deaths!K57</f>
        <v>1497</v>
      </c>
      <c r="L211" s="55"/>
      <c r="M211" s="1"/>
      <c r="N211" s="1"/>
      <c r="O211" s="1"/>
      <c r="P211" s="1"/>
      <c r="Q211" s="1"/>
      <c r="R211" s="1"/>
      <c r="S211" s="1"/>
      <c r="T211" s="1"/>
      <c r="U211" s="1"/>
      <c r="V211" s="1"/>
      <c r="W211" s="1"/>
      <c r="X211" s="1"/>
      <c r="Y211" s="1"/>
      <c r="Z211" s="1"/>
    </row>
    <row r="212" spans="1:26" ht="19.5" customHeight="1">
      <c r="A212" s="139" t="str">
        <f t="array" ref="A212">deaths!$A58</f>
        <v>d51</v>
      </c>
      <c r="B212" s="55"/>
      <c r="C212" s="55">
        <f t="array" ref="C212">deaths!C58</f>
        <v>2616</v>
      </c>
      <c r="D212" s="55">
        <f t="array" ref="D212">deaths!D58</f>
        <v>691</v>
      </c>
      <c r="E212" s="55">
        <f t="array" ref="E212">deaths!E58</f>
        <v>1291</v>
      </c>
      <c r="F212" s="55">
        <f t="array" ref="F212">deaths!F58</f>
        <v>227</v>
      </c>
      <c r="G212" s="55">
        <f t="array" ref="G212">deaths!G58</f>
        <v>407</v>
      </c>
      <c r="H212" s="55">
        <f t="array" ref="H212">deaths!H58</f>
        <v>1982</v>
      </c>
      <c r="I212" s="55">
        <f t="array" ref="I212">deaths!I58</f>
        <v>634</v>
      </c>
      <c r="J212" s="55">
        <f t="array" ref="J212">deaths!J58</f>
        <v>918</v>
      </c>
      <c r="K212" s="55">
        <f t="array" ref="K212">deaths!K58</f>
        <v>1698</v>
      </c>
      <c r="L212" s="55"/>
      <c r="M212" s="1"/>
      <c r="N212" s="1"/>
      <c r="O212" s="1"/>
      <c r="P212" s="1"/>
      <c r="Q212" s="1"/>
      <c r="R212" s="1"/>
      <c r="S212" s="1"/>
      <c r="T212" s="1"/>
      <c r="U212" s="1"/>
      <c r="V212" s="1"/>
      <c r="W212" s="1"/>
      <c r="X212" s="1"/>
      <c r="Y212" s="1"/>
      <c r="Z212" s="1"/>
    </row>
    <row r="213" spans="1:26" ht="19.5" customHeight="1">
      <c r="A213" s="139" t="str">
        <f t="array" ref="A213">deaths!$A59</f>
        <v>d52</v>
      </c>
      <c r="B213" s="55"/>
      <c r="C213" s="55">
        <f t="array" ref="C213">deaths!C59</f>
        <v>2877</v>
      </c>
      <c r="D213" s="55">
        <f t="array" ref="D213">deaths!D59</f>
        <v>750</v>
      </c>
      <c r="E213" s="55">
        <f t="array" ref="E213">deaths!E59</f>
        <v>1431</v>
      </c>
      <c r="F213" s="55">
        <f t="array" ref="F213">deaths!F59</f>
        <v>246</v>
      </c>
      <c r="G213" s="55">
        <f t="array" ref="G213">deaths!G59</f>
        <v>450</v>
      </c>
      <c r="H213" s="55">
        <f t="array" ref="H213">deaths!H59</f>
        <v>2181</v>
      </c>
      <c r="I213" s="55">
        <f t="array" ref="I213">deaths!I59</f>
        <v>696</v>
      </c>
      <c r="J213" s="55">
        <f t="array" ref="J213">deaths!J59</f>
        <v>996</v>
      </c>
      <c r="K213" s="55">
        <f t="array" ref="K213">deaths!K59</f>
        <v>1881</v>
      </c>
      <c r="L213" s="55"/>
      <c r="M213" s="1"/>
      <c r="N213" s="1"/>
      <c r="O213" s="1"/>
      <c r="P213" s="1"/>
      <c r="Q213" s="1"/>
      <c r="R213" s="1"/>
      <c r="S213" s="1"/>
      <c r="T213" s="1"/>
      <c r="U213" s="1"/>
      <c r="V213" s="1"/>
      <c r="W213" s="1"/>
      <c r="X213" s="1"/>
      <c r="Y213" s="1"/>
      <c r="Z213" s="1"/>
    </row>
    <row r="214" spans="1:26" ht="19.5" customHeight="1">
      <c r="A214" s="139" t="str">
        <f t="array" ref="A214">deaths!$A60</f>
        <v>d53</v>
      </c>
      <c r="B214" s="55"/>
      <c r="C214" s="55">
        <f t="array" ref="C214">deaths!C60</f>
        <v>3104</v>
      </c>
      <c r="D214" s="55">
        <f t="array" ref="D214">deaths!D60</f>
        <v>786</v>
      </c>
      <c r="E214" s="55">
        <f t="array" ref="E214">deaths!E60</f>
        <v>1566</v>
      </c>
      <c r="F214" s="55">
        <f t="array" ref="F214">deaths!F60</f>
        <v>258</v>
      </c>
      <c r="G214" s="55">
        <f t="array" ref="G214">deaths!G60</f>
        <v>494</v>
      </c>
      <c r="H214" s="55">
        <f t="array" ref="H214">deaths!H60</f>
        <v>2352</v>
      </c>
      <c r="I214" s="55">
        <f t="array" ref="I214">deaths!I60</f>
        <v>752</v>
      </c>
      <c r="J214" s="55">
        <f t="array" ref="J214">deaths!J60</f>
        <v>1044</v>
      </c>
      <c r="K214" s="55">
        <f t="array" ref="K214">deaths!K60</f>
        <v>2060</v>
      </c>
      <c r="L214" s="55"/>
      <c r="M214" s="1"/>
      <c r="N214" s="1"/>
      <c r="O214" s="1"/>
      <c r="P214" s="1"/>
      <c r="Q214" s="1"/>
      <c r="R214" s="1"/>
      <c r="S214" s="1"/>
      <c r="T214" s="1"/>
      <c r="U214" s="1"/>
      <c r="V214" s="1"/>
      <c r="W214" s="1"/>
      <c r="X214" s="1"/>
      <c r="Y214" s="1"/>
      <c r="Z214" s="1"/>
    </row>
    <row r="215" spans="1:26" ht="19.5" customHeight="1">
      <c r="A215" s="139" t="str">
        <f t="array" ref="A215">deaths!$A61</f>
        <v>d54</v>
      </c>
      <c r="B215" s="55"/>
      <c r="C215" s="55">
        <f t="array" ref="C215">deaths!C61</f>
        <v>3255</v>
      </c>
      <c r="D215" s="55">
        <f t="array" ref="D215">deaths!D61</f>
        <v>823</v>
      </c>
      <c r="E215" s="55">
        <f t="array" ref="E215">deaths!E61</f>
        <v>1644</v>
      </c>
      <c r="F215" s="55">
        <f t="array" ref="F215">deaths!F61</f>
        <v>270</v>
      </c>
      <c r="G215" s="55">
        <f t="array" ref="G215">deaths!G61</f>
        <v>518</v>
      </c>
      <c r="H215" s="55">
        <f t="array" ref="H215">deaths!H61</f>
        <v>2467</v>
      </c>
      <c r="I215" s="55">
        <f t="array" ref="I215">deaths!I61</f>
        <v>788</v>
      </c>
      <c r="J215" s="55">
        <f t="array" ref="J215">deaths!J61</f>
        <v>1093</v>
      </c>
      <c r="K215" s="55">
        <f t="array" ref="K215">deaths!K61</f>
        <v>2162</v>
      </c>
      <c r="L215" s="55"/>
      <c r="M215" s="1"/>
      <c r="N215" s="1"/>
      <c r="O215" s="1"/>
      <c r="P215" s="1"/>
      <c r="Q215" s="1"/>
      <c r="R215" s="1"/>
      <c r="S215" s="1"/>
      <c r="T215" s="1"/>
      <c r="U215" s="1"/>
      <c r="V215" s="1"/>
      <c r="W215" s="1"/>
      <c r="X215" s="1"/>
      <c r="Y215" s="1"/>
      <c r="Z215" s="1"/>
    </row>
    <row r="216" spans="1:26" ht="19.5" customHeight="1">
      <c r="A216" s="139" t="str">
        <f t="array" ref="A216">deaths!$A62</f>
        <v>d55</v>
      </c>
      <c r="B216" s="55"/>
      <c r="C216" s="55">
        <f t="array" ref="C216">deaths!C62</f>
        <v>3554</v>
      </c>
      <c r="D216" s="55">
        <f t="array" ref="D216">deaths!D62</f>
        <v>1010</v>
      </c>
      <c r="E216" s="55">
        <f t="array" ref="E216">deaths!E62</f>
        <v>1951</v>
      </c>
      <c r="F216" s="55">
        <f t="array" ref="F216">deaths!F62</f>
        <v>188</v>
      </c>
      <c r="G216" s="55">
        <f t="array" ref="G216">deaths!G62</f>
        <v>405</v>
      </c>
      <c r="H216" s="55">
        <f t="array" ref="H216">deaths!H62</f>
        <v>2961</v>
      </c>
      <c r="I216" s="55">
        <f t="array" ref="I216">deaths!I62</f>
        <v>593</v>
      </c>
      <c r="J216" s="55">
        <f t="array" ref="J216">deaths!J62</f>
        <v>1198</v>
      </c>
      <c r="K216" s="55">
        <f t="array" ref="K216">deaths!K62</f>
        <v>2356</v>
      </c>
      <c r="L216" s="55"/>
      <c r="M216" s="1"/>
      <c r="N216" s="1"/>
      <c r="O216" s="1"/>
      <c r="P216" s="1"/>
      <c r="Q216" s="1"/>
      <c r="R216" s="1"/>
      <c r="S216" s="1"/>
      <c r="T216" s="1"/>
      <c r="U216" s="1"/>
      <c r="V216" s="1"/>
      <c r="W216" s="1"/>
      <c r="X216" s="1"/>
      <c r="Y216" s="1"/>
      <c r="Z216" s="1"/>
    </row>
    <row r="217" spans="1:26" ht="19.5" customHeight="1">
      <c r="A217" s="139" t="str">
        <f t="array" ref="A217">deaths!$A63</f>
        <v>d56</v>
      </c>
      <c r="B217" s="55"/>
      <c r="C217" s="55">
        <f t="array" ref="C217">deaths!C63</f>
        <v>3915</v>
      </c>
      <c r="D217" s="55">
        <f t="array" ref="D217">deaths!D63</f>
        <v>1128</v>
      </c>
      <c r="E217" s="55">
        <f t="array" ref="E217">deaths!E63</f>
        <v>2135</v>
      </c>
      <c r="F217" s="55">
        <f t="array" ref="F217">deaths!F63</f>
        <v>209</v>
      </c>
      <c r="G217" s="55">
        <f t="array" ref="G217">deaths!G63</f>
        <v>443</v>
      </c>
      <c r="H217" s="55">
        <f t="array" ref="H217">deaths!H63</f>
        <v>3263</v>
      </c>
      <c r="I217" s="55">
        <f t="array" ref="I217">deaths!I63</f>
        <v>652</v>
      </c>
      <c r="J217" s="55">
        <f t="array" ref="J217">deaths!J63</f>
        <v>1337</v>
      </c>
      <c r="K217" s="55">
        <f t="array" ref="K217">deaths!K63</f>
        <v>2578</v>
      </c>
      <c r="L217" s="55"/>
      <c r="M217" s="1"/>
      <c r="N217" s="1"/>
      <c r="O217" s="1"/>
      <c r="P217" s="1"/>
      <c r="Q217" s="1"/>
      <c r="R217" s="1"/>
      <c r="S217" s="1"/>
      <c r="T217" s="1"/>
      <c r="U217" s="1"/>
      <c r="V217" s="1"/>
      <c r="W217" s="1"/>
      <c r="X217" s="1"/>
      <c r="Y217" s="1"/>
      <c r="Z217" s="1"/>
    </row>
    <row r="218" spans="1:26" ht="19.5" customHeight="1">
      <c r="A218" s="139" t="str">
        <f t="array" ref="A218">deaths!$A64</f>
        <v>d57</v>
      </c>
      <c r="B218" s="55"/>
      <c r="C218" s="55">
        <f t="array" ref="C218">deaths!C64</f>
        <v>4342</v>
      </c>
      <c r="D218" s="55">
        <f t="array" ref="D218">deaths!D64</f>
        <v>1304</v>
      </c>
      <c r="E218" s="55">
        <f t="array" ref="E218">deaths!E64</f>
        <v>2315</v>
      </c>
      <c r="F218" s="55">
        <f t="array" ref="F218">deaths!F64</f>
        <v>242</v>
      </c>
      <c r="G218" s="55">
        <f t="array" ref="G218">deaths!G64</f>
        <v>481</v>
      </c>
      <c r="H218" s="55">
        <f t="array" ref="H218">deaths!H64</f>
        <v>3619</v>
      </c>
      <c r="I218" s="55">
        <f t="array" ref="I218">deaths!I64</f>
        <v>723</v>
      </c>
      <c r="J218" s="55">
        <f t="array" ref="J218">deaths!J64</f>
        <v>1546</v>
      </c>
      <c r="K218" s="55">
        <f t="array" ref="K218">deaths!K64</f>
        <v>2796</v>
      </c>
      <c r="L218" s="55"/>
      <c r="M218" s="1"/>
      <c r="N218" s="1"/>
      <c r="O218" s="1"/>
      <c r="P218" s="1"/>
      <c r="Q218" s="1"/>
      <c r="R218" s="1"/>
      <c r="S218" s="1"/>
      <c r="T218" s="1"/>
      <c r="U218" s="1"/>
      <c r="V218" s="1"/>
      <c r="W218" s="1"/>
      <c r="X218" s="1"/>
      <c r="Y218" s="1"/>
      <c r="Z218" s="1"/>
    </row>
    <row r="219" spans="1:26" ht="19.5" customHeight="1">
      <c r="A219" s="139" t="str">
        <f t="array" ref="A219">deaths!$A65</f>
        <v>d58</v>
      </c>
      <c r="B219" s="55"/>
      <c r="C219" s="55">
        <f t="array" ref="C219">deaths!C65</f>
        <v>4718</v>
      </c>
      <c r="D219" s="55">
        <f t="array" ref="D219">deaths!D65</f>
        <v>1387</v>
      </c>
      <c r="E219" s="55">
        <f t="array" ref="E219">deaths!E65</f>
        <v>2544</v>
      </c>
      <c r="F219" s="55">
        <f t="array" ref="F219">deaths!F65</f>
        <v>258</v>
      </c>
      <c r="G219" s="55">
        <f t="array" ref="G219">deaths!G65</f>
        <v>529</v>
      </c>
      <c r="H219" s="55">
        <f t="array" ref="H219">deaths!H65</f>
        <v>3931</v>
      </c>
      <c r="I219" s="55">
        <f t="array" ref="I219">deaths!I65</f>
        <v>787</v>
      </c>
      <c r="J219" s="55">
        <f t="array" ref="J219">deaths!J65</f>
        <v>1645</v>
      </c>
      <c r="K219" s="55">
        <f t="array" ref="K219">deaths!K65</f>
        <v>3073</v>
      </c>
      <c r="L219" s="55"/>
      <c r="M219" s="1"/>
      <c r="N219" s="1"/>
      <c r="O219" s="1"/>
      <c r="P219" s="1"/>
      <c r="Q219" s="1"/>
      <c r="R219" s="1"/>
      <c r="S219" s="1"/>
      <c r="T219" s="1"/>
      <c r="U219" s="1"/>
      <c r="V219" s="1"/>
      <c r="W219" s="1"/>
      <c r="X219" s="1"/>
      <c r="Y219" s="1"/>
      <c r="Z219" s="1"/>
    </row>
    <row r="220" spans="1:26" ht="19.5" customHeight="1">
      <c r="A220" s="139" t="str">
        <f t="array" ref="A220">deaths!$A66</f>
        <v>d59</v>
      </c>
      <c r="B220" s="55"/>
      <c r="C220" s="55">
        <f t="array" ref="C220">deaths!C66</f>
        <v>4981</v>
      </c>
      <c r="D220" s="55">
        <f t="array" ref="D220">deaths!D66</f>
        <v>1506</v>
      </c>
      <c r="E220" s="55">
        <f t="array" ref="E220">deaths!E66</f>
        <v>2646</v>
      </c>
      <c r="F220" s="55">
        <f t="array" ref="F220">deaths!F66</f>
        <v>279</v>
      </c>
      <c r="G220" s="55">
        <f t="array" ref="G220">deaths!G66</f>
        <v>550</v>
      </c>
      <c r="H220" s="55">
        <f t="array" ref="H220">deaths!H66</f>
        <v>4152</v>
      </c>
      <c r="I220" s="55">
        <f t="array" ref="I220">deaths!I66</f>
        <v>829</v>
      </c>
      <c r="J220" s="55">
        <f t="array" ref="J220">deaths!J66</f>
        <v>1785</v>
      </c>
      <c r="K220" s="55">
        <f t="array" ref="K220">deaths!K66</f>
        <v>3196</v>
      </c>
      <c r="L220" s="55"/>
      <c r="M220" s="1"/>
      <c r="N220" s="1"/>
      <c r="O220" s="1"/>
      <c r="P220" s="1"/>
      <c r="Q220" s="1"/>
      <c r="R220" s="1"/>
      <c r="S220" s="1"/>
      <c r="T220" s="1"/>
      <c r="U220" s="1"/>
      <c r="V220" s="1"/>
      <c r="W220" s="1"/>
      <c r="X220" s="1"/>
      <c r="Y220" s="1"/>
      <c r="Z220" s="1"/>
    </row>
    <row r="221" spans="1:26" ht="19.5" customHeight="1">
      <c r="A221" s="139" t="str">
        <f t="array" ref="A221">deaths!$A67</f>
        <v>d60</v>
      </c>
      <c r="B221" s="55"/>
      <c r="C221" s="55">
        <f t="array" ref="C221">deaths!C67</f>
        <v>5458</v>
      </c>
      <c r="D221" s="55">
        <f t="array" ref="D221">deaths!D67</f>
        <v>1638</v>
      </c>
      <c r="E221" s="55">
        <f t="array" ref="E221">deaths!E67</f>
        <v>2911</v>
      </c>
      <c r="F221" s="55">
        <f t="array" ref="F221">deaths!F67</f>
        <v>303</v>
      </c>
      <c r="G221" s="55">
        <f t="array" ref="G221">deaths!G67</f>
        <v>606</v>
      </c>
      <c r="H221" s="55">
        <f t="array" ref="H221">deaths!H67</f>
        <v>4549</v>
      </c>
      <c r="I221" s="55">
        <f t="array" ref="I221">deaths!I67</f>
        <v>909</v>
      </c>
      <c r="J221" s="55">
        <f t="array" ref="J221">deaths!J67</f>
        <v>1941</v>
      </c>
      <c r="K221" s="55">
        <f t="array" ref="K221">deaths!K67</f>
        <v>3517</v>
      </c>
      <c r="L221" s="55"/>
      <c r="M221" s="1"/>
      <c r="N221" s="1"/>
      <c r="O221" s="1"/>
      <c r="P221" s="1"/>
      <c r="Q221" s="1"/>
      <c r="R221" s="1"/>
      <c r="S221" s="1"/>
      <c r="T221" s="1"/>
      <c r="U221" s="1"/>
      <c r="V221" s="1"/>
      <c r="W221" s="1"/>
      <c r="X221" s="1"/>
      <c r="Y221" s="1"/>
      <c r="Z221" s="1"/>
    </row>
    <row r="222" spans="1:26" ht="19.5" customHeight="1">
      <c r="A222" s="139" t="str">
        <f t="array" ref="A222">deaths!$A68</f>
        <v>d61</v>
      </c>
      <c r="B222" s="55"/>
      <c r="C222" s="55">
        <f t="array" ref="C222">deaths!C68</f>
        <v>5723</v>
      </c>
      <c r="D222" s="55">
        <f t="array" ref="D222">deaths!D68</f>
        <v>1713</v>
      </c>
      <c r="E222" s="55">
        <f t="array" ref="E222">deaths!E68</f>
        <v>3055</v>
      </c>
      <c r="F222" s="55">
        <f t="array" ref="F222">deaths!F68</f>
        <v>316</v>
      </c>
      <c r="G222" s="55">
        <f t="array" ref="G222">deaths!G68</f>
        <v>639</v>
      </c>
      <c r="H222" s="55">
        <f t="array" ref="H222">deaths!H68</f>
        <v>4768</v>
      </c>
      <c r="I222" s="55">
        <f t="array" ref="I222">deaths!I68</f>
        <v>955</v>
      </c>
      <c r="J222" s="55">
        <f t="array" ref="J222">deaths!J68</f>
        <v>2029</v>
      </c>
      <c r="K222" s="55">
        <f t="array" ref="K222">deaths!K68</f>
        <v>3694</v>
      </c>
      <c r="L222" s="55"/>
      <c r="M222" s="1"/>
      <c r="N222" s="1"/>
      <c r="O222" s="1"/>
      <c r="P222" s="1"/>
      <c r="Q222" s="1"/>
      <c r="R222" s="1"/>
      <c r="S222" s="1"/>
      <c r="T222" s="1"/>
      <c r="U222" s="1"/>
      <c r="V222" s="1"/>
      <c r="W222" s="1"/>
      <c r="X222" s="1"/>
      <c r="Y222" s="1"/>
      <c r="Z222" s="1"/>
    </row>
    <row r="223" spans="1:26" ht="19.5" customHeight="1">
      <c r="A223" s="139" t="str">
        <f t="array" ref="A223">deaths!$A69</f>
        <v>d62</v>
      </c>
      <c r="B223" s="55"/>
      <c r="C223" s="55">
        <f t="array" ref="C223">deaths!C69</f>
        <v>6101</v>
      </c>
      <c r="D223" s="55">
        <f t="array" ref="D223">deaths!D69</f>
        <v>1902</v>
      </c>
      <c r="E223" s="55">
        <f t="array" ref="E223">deaths!E69</f>
        <v>3183</v>
      </c>
      <c r="F223" s="55">
        <f t="array" ref="F223">deaths!F69</f>
        <v>351</v>
      </c>
      <c r="G223" s="55">
        <f t="array" ref="G223">deaths!G69</f>
        <v>665</v>
      </c>
      <c r="H223" s="55">
        <f t="array" ref="H223">deaths!H69</f>
        <v>5085</v>
      </c>
      <c r="I223" s="55">
        <f t="array" ref="I223">deaths!I69</f>
        <v>1016</v>
      </c>
      <c r="J223" s="55">
        <f t="array" ref="J223">deaths!J69</f>
        <v>2253</v>
      </c>
      <c r="K223" s="55">
        <f t="array" ref="K223">deaths!K69</f>
        <v>3848</v>
      </c>
      <c r="L223" s="55"/>
      <c r="M223" s="1"/>
      <c r="N223" s="1"/>
      <c r="O223" s="1"/>
      <c r="P223" s="1"/>
      <c r="Q223" s="1"/>
      <c r="R223" s="1"/>
      <c r="S223" s="1"/>
      <c r="T223" s="1"/>
      <c r="U223" s="1"/>
      <c r="V223" s="1"/>
      <c r="W223" s="1"/>
      <c r="X223" s="1"/>
      <c r="Y223" s="1"/>
      <c r="Z223" s="1"/>
    </row>
    <row r="224" spans="1:26" ht="19.5" customHeight="1">
      <c r="A224" s="139" t="str">
        <f t="array" ref="A224">deaths!$A70</f>
        <v>d63</v>
      </c>
      <c r="B224" s="55"/>
      <c r="C224" s="55">
        <f t="array" ref="C224">deaths!C70</f>
        <v>6776</v>
      </c>
      <c r="D224" s="55">
        <f t="array" ref="D224">deaths!D70</f>
        <v>2021</v>
      </c>
      <c r="E224" s="55">
        <f t="array" ref="E224">deaths!E70</f>
        <v>3624</v>
      </c>
      <c r="F224" s="55">
        <f t="array" ref="F224">deaths!F70</f>
        <v>373</v>
      </c>
      <c r="G224" s="55">
        <f t="array" ref="G224">deaths!G70</f>
        <v>758</v>
      </c>
      <c r="H224" s="55">
        <f t="array" ref="H224">deaths!H70</f>
        <v>5645</v>
      </c>
      <c r="I224" s="55">
        <f t="array" ref="I224">deaths!I70</f>
        <v>1131</v>
      </c>
      <c r="J224" s="55">
        <f t="array" ref="J224">deaths!J70</f>
        <v>2394</v>
      </c>
      <c r="K224" s="55">
        <f t="array" ref="K224">deaths!K70</f>
        <v>4382</v>
      </c>
      <c r="L224" s="55"/>
      <c r="M224" s="1"/>
      <c r="N224" s="1"/>
      <c r="O224" s="1"/>
      <c r="P224" s="1"/>
      <c r="Q224" s="1"/>
      <c r="R224" s="1"/>
      <c r="S224" s="1"/>
      <c r="T224" s="1"/>
      <c r="U224" s="1"/>
      <c r="V224" s="1"/>
      <c r="W224" s="1"/>
      <c r="X224" s="1"/>
      <c r="Y224" s="1"/>
      <c r="Z224" s="1"/>
    </row>
    <row r="225" spans="1:26" ht="19.5" customHeight="1">
      <c r="A225" s="139" t="str">
        <f t="array" ref="A225">deaths!$A71</f>
        <v>d64</v>
      </c>
      <c r="B225" s="55"/>
      <c r="C225" s="55">
        <f t="array" ref="C225">deaths!C71</f>
        <v>7204</v>
      </c>
      <c r="D225" s="55">
        <f t="array" ref="D225">deaths!D71</f>
        <v>2198</v>
      </c>
      <c r="E225" s="55">
        <f t="array" ref="E225">deaths!E71</f>
        <v>3804</v>
      </c>
      <c r="F225" s="55">
        <f t="array" ref="F225">deaths!F71</f>
        <v>404</v>
      </c>
      <c r="G225" s="55">
        <f t="array" ref="G225">deaths!G71</f>
        <v>798</v>
      </c>
      <c r="H225" s="55">
        <f t="array" ref="H225">deaths!H71</f>
        <v>6002</v>
      </c>
      <c r="I225" s="55">
        <f t="array" ref="I225">deaths!I71</f>
        <v>1202</v>
      </c>
      <c r="J225" s="55">
        <f t="array" ref="J225">deaths!J71</f>
        <v>2602</v>
      </c>
      <c r="K225" s="55">
        <f t="array" ref="K225">deaths!K71</f>
        <v>4602</v>
      </c>
      <c r="L225" s="55"/>
      <c r="M225" s="1"/>
      <c r="N225" s="1"/>
      <c r="O225" s="1"/>
      <c r="P225" s="1"/>
      <c r="Q225" s="1"/>
      <c r="R225" s="1"/>
      <c r="S225" s="1"/>
      <c r="T225" s="1"/>
      <c r="U225" s="1"/>
      <c r="V225" s="1"/>
      <c r="W225" s="1"/>
      <c r="X225" s="1"/>
      <c r="Y225" s="1"/>
      <c r="Z225" s="1"/>
    </row>
    <row r="226" spans="1:26" ht="19.5" customHeight="1">
      <c r="A226" s="139" t="str">
        <f t="array" ref="A226">deaths!$A72</f>
        <v>d65</v>
      </c>
      <c r="B226" s="55"/>
      <c r="C226" s="55">
        <f t="array" ref="C226">deaths!C72</f>
        <v>7612</v>
      </c>
      <c r="D226" s="55">
        <f t="array" ref="D226">deaths!D72</f>
        <v>2237</v>
      </c>
      <c r="E226" s="55">
        <f t="array" ref="E226">deaths!E72</f>
        <v>4102</v>
      </c>
      <c r="F226" s="55">
        <f t="array" ref="F226">deaths!F72</f>
        <v>411</v>
      </c>
      <c r="G226" s="55">
        <f t="array" ref="G226">deaths!G72</f>
        <v>862</v>
      </c>
      <c r="H226" s="55">
        <f t="array" ref="H226">deaths!H72</f>
        <v>6339</v>
      </c>
      <c r="I226" s="55">
        <f t="array" ref="I226">deaths!I72</f>
        <v>1273</v>
      </c>
      <c r="J226" s="55">
        <f t="array" ref="J226">deaths!J72</f>
        <v>2648</v>
      </c>
      <c r="K226" s="55">
        <f t="array" ref="K226">deaths!K72</f>
        <v>4964</v>
      </c>
      <c r="L226" s="55"/>
      <c r="M226" s="1"/>
      <c r="N226" s="1"/>
      <c r="O226" s="1"/>
      <c r="P226" s="1"/>
      <c r="Q226" s="1"/>
      <c r="R226" s="1"/>
      <c r="S226" s="1"/>
      <c r="T226" s="1"/>
      <c r="U226" s="1"/>
      <c r="V226" s="1"/>
      <c r="W226" s="1"/>
      <c r="X226" s="1"/>
      <c r="Y226" s="1"/>
      <c r="Z226" s="1"/>
    </row>
    <row r="227" spans="1:26" ht="19.5" customHeight="1">
      <c r="A227" s="139" t="str">
        <f t="array" ref="A227">deaths!$A73</f>
        <v>d66</v>
      </c>
      <c r="B227" s="55"/>
      <c r="C227" s="55">
        <f t="array" ref="C227">deaths!C73</f>
        <v>7963</v>
      </c>
      <c r="D227" s="55">
        <f t="array" ref="D227">deaths!D73</f>
        <v>2413</v>
      </c>
      <c r="E227" s="55">
        <f t="array" ref="E227">deaths!E73</f>
        <v>4218</v>
      </c>
      <c r="F227" s="55">
        <f t="array" ref="F227">deaths!F73</f>
        <v>441</v>
      </c>
      <c r="G227" s="55">
        <f t="array" ref="G227">deaths!G73</f>
        <v>891</v>
      </c>
      <c r="H227" s="55">
        <f t="array" ref="H227">deaths!H73</f>
        <v>6631</v>
      </c>
      <c r="I227" s="55">
        <f t="array" ref="I227">deaths!I73</f>
        <v>1332</v>
      </c>
      <c r="J227" s="55">
        <f t="array" ref="J227">deaths!J73</f>
        <v>2854</v>
      </c>
      <c r="K227" s="55">
        <f t="array" ref="K227">deaths!K73</f>
        <v>5109</v>
      </c>
      <c r="L227" s="55"/>
      <c r="M227" s="1"/>
      <c r="N227" s="1"/>
      <c r="O227" s="1"/>
      <c r="P227" s="1"/>
      <c r="Q227" s="1"/>
      <c r="R227" s="1"/>
      <c r="S227" s="1"/>
      <c r="T227" s="1"/>
      <c r="U227" s="1"/>
      <c r="V227" s="1"/>
      <c r="W227" s="1"/>
      <c r="X227" s="1"/>
      <c r="Y227" s="1"/>
      <c r="Z227" s="1"/>
    </row>
    <row r="228" spans="1:26" ht="19.5" customHeight="1">
      <c r="A228" s="139" t="str">
        <f t="array" ref="A228">deaths!$A74</f>
        <v>d67</v>
      </c>
      <c r="B228" s="55"/>
      <c r="C228" s="55">
        <f t="array" ref="C228">deaths!C74</f>
        <v>8524</v>
      </c>
      <c r="D228" s="55">
        <f t="array" ref="D228">deaths!D74</f>
        <v>2456</v>
      </c>
      <c r="E228" s="55">
        <f t="array" ref="E228">deaths!E74</f>
        <v>4638</v>
      </c>
      <c r="F228" s="55">
        <f t="array" ref="F228">deaths!F74</f>
        <v>448</v>
      </c>
      <c r="G228" s="55">
        <f t="array" ref="G228">deaths!G74</f>
        <v>982</v>
      </c>
      <c r="H228" s="55">
        <f t="array" ref="H228">deaths!H74</f>
        <v>7094</v>
      </c>
      <c r="I228" s="55">
        <f t="array" ref="I228">deaths!I74</f>
        <v>1430</v>
      </c>
      <c r="J228" s="55">
        <f t="array" ref="J228">deaths!J74</f>
        <v>2904</v>
      </c>
      <c r="K228" s="55">
        <f t="array" ref="K228">deaths!K74</f>
        <v>5620</v>
      </c>
      <c r="L228" s="55"/>
      <c r="M228" s="1"/>
      <c r="N228" s="1"/>
      <c r="O228" s="1"/>
      <c r="P228" s="1"/>
      <c r="Q228" s="1"/>
      <c r="R228" s="1"/>
      <c r="S228" s="1"/>
      <c r="T228" s="1"/>
      <c r="U228" s="1"/>
      <c r="V228" s="1"/>
      <c r="W228" s="1"/>
      <c r="X228" s="1"/>
      <c r="Y228" s="1"/>
      <c r="Z228" s="1"/>
    </row>
    <row r="229" spans="1:26" ht="19.5" customHeight="1">
      <c r="A229" s="139" t="str">
        <f t="array" ref="A229">deaths!$A75</f>
        <v>d68</v>
      </c>
      <c r="B229" s="55"/>
      <c r="C229" s="55">
        <f t="array" ref="C229">deaths!C75</f>
        <v>9094</v>
      </c>
      <c r="D229" s="55">
        <f t="array" ref="D229">deaths!D75</f>
        <v>2811</v>
      </c>
      <c r="E229" s="55">
        <f t="array" ref="E229">deaths!E75</f>
        <v>4760</v>
      </c>
      <c r="F229" s="55">
        <f t="array" ref="F229">deaths!F75</f>
        <v>511</v>
      </c>
      <c r="G229" s="55">
        <f t="array" ref="G229">deaths!G75</f>
        <v>1012</v>
      </c>
      <c r="H229" s="55">
        <f t="array" ref="H229">deaths!H75</f>
        <v>7571</v>
      </c>
      <c r="I229" s="55">
        <f t="array" ref="I229">deaths!I75</f>
        <v>1523</v>
      </c>
      <c r="J229" s="55">
        <f t="array" ref="J229">deaths!J75</f>
        <v>3322</v>
      </c>
      <c r="K229" s="55">
        <f t="array" ref="K229">deaths!K75</f>
        <v>5772</v>
      </c>
      <c r="L229" s="55"/>
      <c r="M229" s="1"/>
      <c r="N229" s="1"/>
      <c r="O229" s="1"/>
      <c r="P229" s="1"/>
      <c r="Q229" s="1"/>
      <c r="R229" s="1"/>
      <c r="S229" s="1"/>
      <c r="T229" s="1"/>
      <c r="U229" s="1"/>
      <c r="V229" s="1"/>
      <c r="W229" s="1"/>
      <c r="X229" s="1"/>
      <c r="Y229" s="1"/>
      <c r="Z229" s="1"/>
    </row>
    <row r="230" spans="1:26" ht="19.5" customHeight="1">
      <c r="A230" s="139" t="str">
        <f t="array" ref="A230">deaths!$A76</f>
        <v>d69</v>
      </c>
      <c r="B230" s="55"/>
      <c r="C230" s="55">
        <f t="array" ref="C230">deaths!C76</f>
        <v>9644</v>
      </c>
      <c r="D230" s="55">
        <f t="array" ref="D230">deaths!D76</f>
        <v>2987</v>
      </c>
      <c r="E230" s="55">
        <f t="array" ref="E230">deaths!E76</f>
        <v>5041</v>
      </c>
      <c r="F230" s="55">
        <f t="array" ref="F230">deaths!F76</f>
        <v>542</v>
      </c>
      <c r="G230" s="55">
        <f t="array" ref="G230">deaths!G76</f>
        <v>1074</v>
      </c>
      <c r="H230" s="55">
        <f t="array" ref="H230">deaths!H76</f>
        <v>8028</v>
      </c>
      <c r="I230" s="55">
        <f t="array" ref="I230">deaths!I76</f>
        <v>1616</v>
      </c>
      <c r="J230" s="55">
        <f t="array" ref="J230">deaths!J76</f>
        <v>3529</v>
      </c>
      <c r="K230" s="55">
        <f t="array" ref="K230">deaths!K76</f>
        <v>6115</v>
      </c>
      <c r="L230" s="55"/>
      <c r="M230" s="1"/>
      <c r="N230" s="1"/>
      <c r="O230" s="1"/>
      <c r="P230" s="1"/>
      <c r="Q230" s="1"/>
      <c r="R230" s="1"/>
      <c r="S230" s="1"/>
      <c r="T230" s="1"/>
      <c r="U230" s="1"/>
      <c r="V230" s="1"/>
      <c r="W230" s="1"/>
      <c r="X230" s="1"/>
      <c r="Y230" s="1"/>
      <c r="Z230" s="1"/>
    </row>
    <row r="231" spans="1:26" ht="19.5" customHeight="1">
      <c r="A231" s="139" t="str">
        <f t="array" ref="A231">deaths!$A77</f>
        <v>d70</v>
      </c>
      <c r="B231" s="55"/>
      <c r="C231" s="55">
        <f t="array" ref="C231">deaths!C77</f>
        <v>10023</v>
      </c>
      <c r="D231" s="55">
        <f t="array" ref="D231">deaths!D77</f>
        <v>3161</v>
      </c>
      <c r="E231" s="55">
        <f t="array" ref="E231">deaths!E77</f>
        <v>5184</v>
      </c>
      <c r="F231" s="55">
        <f t="array" ref="F231">deaths!F77</f>
        <v>573</v>
      </c>
      <c r="G231" s="55">
        <f t="array" ref="G231">deaths!G77</f>
        <v>1105</v>
      </c>
      <c r="H231" s="55">
        <f t="array" ref="H231">deaths!H77</f>
        <v>8345</v>
      </c>
      <c r="I231" s="55">
        <f t="array" ref="I231">deaths!I77</f>
        <v>1678</v>
      </c>
      <c r="J231" s="55">
        <f t="array" ref="J231">deaths!J77</f>
        <v>3734</v>
      </c>
      <c r="K231" s="55">
        <f t="array" ref="K231">deaths!K77</f>
        <v>6289</v>
      </c>
      <c r="L231" s="55"/>
      <c r="M231" s="1"/>
      <c r="N231" s="1"/>
      <c r="O231" s="1"/>
      <c r="P231" s="1"/>
      <c r="Q231" s="1"/>
      <c r="R231" s="1"/>
      <c r="S231" s="1"/>
      <c r="T231" s="1"/>
      <c r="U231" s="1"/>
      <c r="V231" s="1"/>
      <c r="W231" s="1"/>
      <c r="X231" s="1"/>
      <c r="Y231" s="1"/>
      <c r="Z231" s="1"/>
    </row>
    <row r="232" spans="1:26" ht="19.5" customHeight="1">
      <c r="A232" s="139" t="str">
        <f t="array" ref="A232">deaths!$A78</f>
        <v>d71</v>
      </c>
      <c r="B232" s="55"/>
      <c r="C232" s="55">
        <f t="array" ref="C232">deaths!C78</f>
        <v>10759</v>
      </c>
      <c r="D232" s="55">
        <f t="array" ref="D232">deaths!D78</f>
        <v>3384</v>
      </c>
      <c r="E232" s="55">
        <f t="array" ref="E232">deaths!E78</f>
        <v>5571</v>
      </c>
      <c r="F232" s="55">
        <f t="array" ref="F232">deaths!F78</f>
        <v>612</v>
      </c>
      <c r="G232" s="55">
        <f t="array" ref="G232">deaths!G78</f>
        <v>1192</v>
      </c>
      <c r="H232" s="55">
        <f t="array" ref="H232">deaths!H78</f>
        <v>8955</v>
      </c>
      <c r="I232" s="55">
        <f t="array" ref="I232">deaths!I78</f>
        <v>1804</v>
      </c>
      <c r="J232" s="55">
        <f t="array" ref="J232">deaths!J78</f>
        <v>3996</v>
      </c>
      <c r="K232" s="55">
        <f t="array" ref="K232">deaths!K78</f>
        <v>6763</v>
      </c>
      <c r="L232" s="55"/>
      <c r="M232" s="1"/>
      <c r="N232" s="1"/>
      <c r="O232" s="1"/>
      <c r="P232" s="1"/>
      <c r="Q232" s="1"/>
      <c r="R232" s="1"/>
      <c r="S232" s="1"/>
      <c r="T232" s="1"/>
      <c r="U232" s="1"/>
      <c r="V232" s="1"/>
      <c r="W232" s="1"/>
      <c r="X232" s="1"/>
      <c r="Y232" s="1"/>
      <c r="Z232" s="1"/>
    </row>
    <row r="233" spans="1:26" ht="19.5" customHeight="1">
      <c r="A233" s="139" t="str">
        <f t="array" ref="A233">deaths!$A79</f>
        <v>d72</v>
      </c>
      <c r="B233" s="55"/>
      <c r="C233" s="55">
        <f t="array" ref="C233">deaths!C79</f>
        <v>11434</v>
      </c>
      <c r="D233" s="55">
        <f t="array" ref="D233">deaths!D79</f>
        <v>3702</v>
      </c>
      <c r="E233" s="55">
        <f t="array" ref="E233">deaths!E79</f>
        <v>5816</v>
      </c>
      <c r="F233" s="55">
        <f t="array" ref="F233">deaths!F79</f>
        <v>668</v>
      </c>
      <c r="G233" s="55">
        <f t="array" ref="G233">deaths!G79</f>
        <v>1248</v>
      </c>
      <c r="H233" s="55">
        <f t="array" ref="H233">deaths!H79</f>
        <v>9518</v>
      </c>
      <c r="I233" s="55">
        <f t="array" ref="I233">deaths!I79</f>
        <v>1916</v>
      </c>
      <c r="J233" s="55">
        <f t="array" ref="J233">deaths!J79</f>
        <v>4370</v>
      </c>
      <c r="K233" s="55">
        <f t="array" ref="K233">deaths!K79</f>
        <v>7064</v>
      </c>
      <c r="L233" s="55"/>
      <c r="M233" s="1"/>
      <c r="N233" s="1"/>
      <c r="O233" s="1"/>
      <c r="P233" s="1"/>
      <c r="Q233" s="1"/>
      <c r="R233" s="1"/>
      <c r="S233" s="1"/>
      <c r="T233" s="1"/>
      <c r="U233" s="1"/>
      <c r="V233" s="1"/>
      <c r="W233" s="1"/>
      <c r="X233" s="1"/>
      <c r="Y233" s="1"/>
      <c r="Z233" s="1"/>
    </row>
    <row r="234" spans="1:26" ht="19.5" customHeight="1">
      <c r="A234" s="139" t="str">
        <f t="array" ref="A234">deaths!$A80</f>
        <v>d73</v>
      </c>
      <c r="B234" s="55"/>
      <c r="C234" s="55">
        <f t="array" ref="C234">deaths!C80</f>
        <v>12362</v>
      </c>
      <c r="D234" s="55">
        <f t="array" ref="D234">deaths!D80</f>
        <v>3964</v>
      </c>
      <c r="E234" s="55">
        <f t="array" ref="E234">deaths!E80</f>
        <v>6325</v>
      </c>
      <c r="F234" s="55">
        <f t="array" ref="F234">deaths!F80</f>
        <v>714</v>
      </c>
      <c r="G234" s="55">
        <f t="array" ref="G234">deaths!G80</f>
        <v>1359</v>
      </c>
      <c r="H234" s="55">
        <f t="array" ref="H234">deaths!H80</f>
        <v>10289</v>
      </c>
      <c r="I234" s="55">
        <f t="array" ref="I234">deaths!I80</f>
        <v>2073</v>
      </c>
      <c r="J234" s="55">
        <f t="array" ref="J234">deaths!J80</f>
        <v>4678</v>
      </c>
      <c r="K234" s="55">
        <f t="array" ref="K234">deaths!K80</f>
        <v>7684</v>
      </c>
      <c r="L234" s="55"/>
      <c r="M234" s="1"/>
      <c r="N234" s="1"/>
      <c r="O234" s="1"/>
      <c r="P234" s="1"/>
      <c r="Q234" s="1"/>
      <c r="R234" s="1"/>
      <c r="S234" s="1"/>
      <c r="T234" s="1"/>
      <c r="U234" s="1"/>
      <c r="V234" s="1"/>
      <c r="W234" s="1"/>
      <c r="X234" s="1"/>
      <c r="Y234" s="1"/>
      <c r="Z234" s="1"/>
    </row>
    <row r="235" spans="1:26" ht="19.5" customHeight="1">
      <c r="A235" s="139" t="str">
        <f t="array" ref="A235">deaths!$A81</f>
        <v>d74</v>
      </c>
      <c r="B235" s="55"/>
      <c r="C235" s="55">
        <f t="array" ref="C235">deaths!C81</f>
        <v>13483</v>
      </c>
      <c r="D235" s="55">
        <f t="array" ref="D235">deaths!D81</f>
        <v>4376</v>
      </c>
      <c r="E235" s="55">
        <f t="array" ref="E235">deaths!E81</f>
        <v>6847</v>
      </c>
      <c r="F235" s="55">
        <f t="array" ref="F235">deaths!F81</f>
        <v>789</v>
      </c>
      <c r="G235" s="55">
        <f t="array" ref="G235">deaths!G81</f>
        <v>1471</v>
      </c>
      <c r="H235" s="55">
        <f t="array" ref="H235">deaths!H81</f>
        <v>11223</v>
      </c>
      <c r="I235" s="55">
        <f t="array" ref="I235">deaths!I81</f>
        <v>2260</v>
      </c>
      <c r="J235" s="55">
        <f t="array" ref="J235">deaths!J81</f>
        <v>5165</v>
      </c>
      <c r="K235" s="55">
        <f t="array" ref="K235">deaths!K81</f>
        <v>8318</v>
      </c>
      <c r="L235" s="55"/>
      <c r="M235" s="1"/>
      <c r="N235" s="1"/>
      <c r="O235" s="1"/>
      <c r="P235" s="1"/>
      <c r="Q235" s="1"/>
      <c r="R235" s="1"/>
      <c r="S235" s="1"/>
      <c r="T235" s="1"/>
      <c r="U235" s="1"/>
      <c r="V235" s="1"/>
      <c r="W235" s="1"/>
      <c r="X235" s="1"/>
      <c r="Y235" s="1"/>
      <c r="Z235" s="1"/>
    </row>
    <row r="236" spans="1:26" ht="19.5" customHeight="1">
      <c r="A236" s="139" t="str">
        <f t="array" ref="A236">deaths!$A82</f>
        <v>d75</v>
      </c>
      <c r="B236" s="55"/>
      <c r="C236" s="55">
        <f t="array" ref="C236">deaths!C82</f>
        <v>13992</v>
      </c>
      <c r="D236" s="55">
        <f t="array" ref="D236">deaths!D82</f>
        <v>4626</v>
      </c>
      <c r="E236" s="55">
        <f t="array" ref="E236">deaths!E82</f>
        <v>7019</v>
      </c>
      <c r="F236" s="55">
        <f t="array" ref="F236">deaths!F82</f>
        <v>830</v>
      </c>
      <c r="G236" s="55">
        <f t="array" ref="G236">deaths!G82</f>
        <v>1517</v>
      </c>
      <c r="H236" s="55">
        <f t="array" ref="H236">deaths!H82</f>
        <v>11645</v>
      </c>
      <c r="I236" s="55">
        <f t="array" ref="I236">deaths!I82</f>
        <v>2347</v>
      </c>
      <c r="J236" s="55">
        <f t="array" ref="J236">deaths!J82</f>
        <v>5456</v>
      </c>
      <c r="K236" s="55">
        <f t="array" ref="K236">deaths!K82</f>
        <v>8536</v>
      </c>
      <c r="L236" s="55"/>
      <c r="M236" s="1"/>
      <c r="N236" s="1"/>
      <c r="O236" s="1"/>
      <c r="P236" s="1"/>
      <c r="Q236" s="1"/>
      <c r="R236" s="1"/>
      <c r="S236" s="1"/>
      <c r="T236" s="1"/>
      <c r="U236" s="1"/>
      <c r="V236" s="1"/>
      <c r="W236" s="1"/>
      <c r="X236" s="1"/>
      <c r="Y236" s="1"/>
      <c r="Z236" s="1"/>
    </row>
    <row r="237" spans="1:26" ht="19.5" customHeight="1">
      <c r="A237" s="139" t="str">
        <f t="array" ref="A237">deaths!$A83</f>
        <v>d76</v>
      </c>
      <c r="B237" s="55"/>
      <c r="C237" s="55">
        <f t="array" ref="C237">deaths!C83</f>
        <v>15055</v>
      </c>
      <c r="D237" s="55">
        <f t="array" ref="D237">deaths!D83</f>
        <v>4970</v>
      </c>
      <c r="E237" s="55">
        <f t="array" ref="E237">deaths!E83</f>
        <v>7561</v>
      </c>
      <c r="F237" s="55">
        <f t="array" ref="F237">deaths!F83</f>
        <v>893</v>
      </c>
      <c r="G237" s="55">
        <f t="array" ref="G237">deaths!G83</f>
        <v>1631</v>
      </c>
      <c r="H237" s="55">
        <f t="array" ref="H237">deaths!H83</f>
        <v>12531</v>
      </c>
      <c r="I237" s="55">
        <f t="array" ref="I237">deaths!I83</f>
        <v>2524</v>
      </c>
      <c r="J237" s="55">
        <f t="array" ref="J237">deaths!J83</f>
        <v>5863</v>
      </c>
      <c r="K237" s="55">
        <f t="array" ref="K237">deaths!K83</f>
        <v>9192</v>
      </c>
      <c r="L237" s="55"/>
      <c r="M237" s="1"/>
      <c r="N237" s="1"/>
      <c r="O237" s="1"/>
      <c r="P237" s="1"/>
      <c r="Q237" s="1"/>
      <c r="R237" s="1"/>
      <c r="S237" s="1"/>
      <c r="T237" s="1"/>
      <c r="U237" s="1"/>
      <c r="V237" s="1"/>
      <c r="W237" s="1"/>
      <c r="X237" s="1"/>
      <c r="Y237" s="1"/>
      <c r="Z237" s="1"/>
    </row>
    <row r="238" spans="1:26" ht="19.5" customHeight="1">
      <c r="A238" s="139" t="str">
        <f t="array" ref="A238">deaths!$A84</f>
        <v>d77</v>
      </c>
      <c r="B238" s="55"/>
      <c r="C238" s="55">
        <f t="array" ref="C238">deaths!C84</f>
        <v>15821</v>
      </c>
      <c r="D238" s="55">
        <f t="array" ref="D238">deaths!D84</f>
        <v>5334</v>
      </c>
      <c r="E238" s="55">
        <f t="array" ref="E238">deaths!E84</f>
        <v>7833</v>
      </c>
      <c r="F238" s="55">
        <f t="array" ref="F238">deaths!F84</f>
        <v>954</v>
      </c>
      <c r="G238" s="55">
        <f t="array" ref="G238">deaths!G84</f>
        <v>1700</v>
      </c>
      <c r="H238" s="55">
        <f t="array" ref="H238">deaths!H84</f>
        <v>13167</v>
      </c>
      <c r="I238" s="55">
        <f t="array" ref="I238">deaths!I84</f>
        <v>2654</v>
      </c>
      <c r="J238" s="55">
        <f t="array" ref="J238">deaths!J84</f>
        <v>6288</v>
      </c>
      <c r="K238" s="55">
        <f t="array" ref="K238">deaths!K84</f>
        <v>9533</v>
      </c>
      <c r="L238" s="55"/>
      <c r="M238" s="1"/>
      <c r="N238" s="1"/>
      <c r="O238" s="1"/>
      <c r="P238" s="1"/>
      <c r="Q238" s="1"/>
      <c r="R238" s="1"/>
      <c r="S238" s="1"/>
      <c r="T238" s="1"/>
      <c r="U238" s="1"/>
      <c r="V238" s="1"/>
      <c r="W238" s="1"/>
      <c r="X238" s="1"/>
      <c r="Y238" s="1"/>
      <c r="Z238" s="1"/>
    </row>
    <row r="239" spans="1:26" ht="19.5" customHeight="1">
      <c r="A239" s="139" t="str">
        <f t="array" ref="A239">deaths!$A85</f>
        <v>d78</v>
      </c>
      <c r="B239" s="55"/>
      <c r="C239" s="55">
        <f t="array" ref="C239">deaths!C85</f>
        <v>14641</v>
      </c>
      <c r="D239" s="55">
        <f t="array" ref="D239">deaths!D85</f>
        <v>5220</v>
      </c>
      <c r="E239" s="55">
        <f t="array" ref="E239">deaths!E85</f>
        <v>6972</v>
      </c>
      <c r="F239" s="55">
        <f t="array" ref="F239">deaths!F85</f>
        <v>932</v>
      </c>
      <c r="G239" s="55">
        <f t="array" ref="G239">deaths!G85</f>
        <v>1517</v>
      </c>
      <c r="H239" s="55">
        <f t="array" ref="H239">deaths!H85</f>
        <v>12192</v>
      </c>
      <c r="I239" s="55">
        <f t="array" ref="I239">deaths!I85</f>
        <v>2449</v>
      </c>
      <c r="J239" s="55">
        <f t="array" ref="J239">deaths!J85</f>
        <v>6152</v>
      </c>
      <c r="K239" s="55">
        <f t="array" ref="K239">deaths!K85</f>
        <v>8489</v>
      </c>
      <c r="L239" s="55"/>
      <c r="M239" s="1"/>
      <c r="N239" s="1"/>
      <c r="O239" s="1"/>
      <c r="P239" s="1"/>
      <c r="Q239" s="1"/>
      <c r="R239" s="1"/>
      <c r="S239" s="1"/>
      <c r="T239" s="1"/>
      <c r="U239" s="1"/>
      <c r="V239" s="1"/>
      <c r="W239" s="1"/>
      <c r="X239" s="1"/>
      <c r="Y239" s="1"/>
      <c r="Z239" s="1"/>
    </row>
    <row r="240" spans="1:26" ht="19.5" customHeight="1">
      <c r="A240" s="139" t="str">
        <f t="array" ref="A240">deaths!$A86</f>
        <v>d79</v>
      </c>
      <c r="B240" s="55"/>
      <c r="C240" s="55">
        <f t="array" ref="C240">deaths!C86</f>
        <v>13518</v>
      </c>
      <c r="D240" s="55">
        <f t="array" ref="D240">deaths!D86</f>
        <v>4896</v>
      </c>
      <c r="E240" s="55">
        <f t="array" ref="E240">deaths!E86</f>
        <v>6359</v>
      </c>
      <c r="F240" s="55">
        <f t="array" ref="F240">deaths!F86</f>
        <v>870</v>
      </c>
      <c r="G240" s="55">
        <f t="array" ref="G240">deaths!G86</f>
        <v>1393</v>
      </c>
      <c r="H240" s="55">
        <f t="array" ref="H240">deaths!H86</f>
        <v>11255</v>
      </c>
      <c r="I240" s="55">
        <f t="array" ref="I240">deaths!I86</f>
        <v>2263</v>
      </c>
      <c r="J240" s="55">
        <f t="array" ref="J240">deaths!J86</f>
        <v>5766</v>
      </c>
      <c r="K240" s="55">
        <f t="array" ref="K240">deaths!K86</f>
        <v>7752</v>
      </c>
      <c r="L240" s="55"/>
      <c r="M240" s="1"/>
      <c r="N240" s="1"/>
      <c r="O240" s="1"/>
      <c r="P240" s="1"/>
      <c r="Q240" s="1"/>
      <c r="R240" s="1"/>
      <c r="S240" s="1"/>
      <c r="T240" s="1"/>
      <c r="U240" s="1"/>
      <c r="V240" s="1"/>
      <c r="W240" s="1"/>
      <c r="X240" s="1"/>
      <c r="Y240" s="1"/>
      <c r="Z240" s="1"/>
    </row>
    <row r="241" spans="1:26" ht="19.5" customHeight="1">
      <c r="A241" s="139" t="str">
        <f t="array" ref="A241">deaths!$A87</f>
        <v>d80</v>
      </c>
      <c r="B241" s="55"/>
      <c r="C241" s="55">
        <f t="array" ref="C241">deaths!C87</f>
        <v>14256</v>
      </c>
      <c r="D241" s="55">
        <f t="array" ref="D241">deaths!D87</f>
        <v>5273</v>
      </c>
      <c r="E241" s="55">
        <f t="array" ref="E241">deaths!E87</f>
        <v>6598</v>
      </c>
      <c r="F241" s="55">
        <f t="array" ref="F241">deaths!F87</f>
        <v>933</v>
      </c>
      <c r="G241" s="55">
        <f t="array" ref="G241">deaths!G87</f>
        <v>1452</v>
      </c>
      <c r="H241" s="55">
        <f t="array" ref="H241">deaths!H87</f>
        <v>11871</v>
      </c>
      <c r="I241" s="55">
        <f t="array" ref="I241">deaths!I87</f>
        <v>2385</v>
      </c>
      <c r="J241" s="55">
        <f t="array" ref="J241">deaths!J87</f>
        <v>6206</v>
      </c>
      <c r="K241" s="55">
        <f t="array" ref="K241">deaths!K87</f>
        <v>8050</v>
      </c>
      <c r="L241" s="55"/>
      <c r="M241" s="1"/>
      <c r="N241" s="1"/>
      <c r="O241" s="1"/>
      <c r="P241" s="1"/>
      <c r="Q241" s="1"/>
      <c r="R241" s="1"/>
      <c r="S241" s="1"/>
      <c r="T241" s="1"/>
      <c r="U241" s="1"/>
      <c r="V241" s="1"/>
      <c r="W241" s="1"/>
      <c r="X241" s="1"/>
      <c r="Y241" s="1"/>
      <c r="Z241" s="1"/>
    </row>
    <row r="242" spans="1:26" ht="19.5" customHeight="1">
      <c r="A242" s="139" t="str">
        <f t="array" ref="A242">deaths!$A88</f>
        <v>d81</v>
      </c>
      <c r="B242" s="55"/>
      <c r="C242" s="55">
        <f t="array" ref="C242">deaths!C88</f>
        <v>15042</v>
      </c>
      <c r="D242" s="55">
        <f t="array" ref="D242">deaths!D88</f>
        <v>5666</v>
      </c>
      <c r="E242" s="55">
        <f t="array" ref="E242">deaths!E88</f>
        <v>6859</v>
      </c>
      <c r="F242" s="55">
        <f t="array" ref="F242">deaths!F88</f>
        <v>1000</v>
      </c>
      <c r="G242" s="55">
        <f t="array" ref="G242">deaths!G88</f>
        <v>1517</v>
      </c>
      <c r="H242" s="55">
        <f t="array" ref="H242">deaths!H88</f>
        <v>12525</v>
      </c>
      <c r="I242" s="55">
        <f t="array" ref="I242">deaths!I88</f>
        <v>2517</v>
      </c>
      <c r="J242" s="55">
        <f t="array" ref="J242">deaths!J88</f>
        <v>6666</v>
      </c>
      <c r="K242" s="55">
        <f t="array" ref="K242">deaths!K88</f>
        <v>8376</v>
      </c>
      <c r="L242" s="55"/>
      <c r="M242" s="1"/>
      <c r="N242" s="1"/>
      <c r="O242" s="1"/>
      <c r="P242" s="1"/>
      <c r="Q242" s="1"/>
      <c r="R242" s="1"/>
      <c r="S242" s="1"/>
      <c r="T242" s="1"/>
      <c r="U242" s="1"/>
      <c r="V242" s="1"/>
      <c r="W242" s="1"/>
      <c r="X242" s="1"/>
      <c r="Y242" s="1"/>
      <c r="Z242" s="1"/>
    </row>
    <row r="243" spans="1:26" ht="19.5" customHeight="1">
      <c r="A243" s="139" t="str">
        <f t="array" ref="A243">deaths!$A89</f>
        <v>d82</v>
      </c>
      <c r="B243" s="55"/>
      <c r="C243" s="55">
        <f t="array" ref="C243">deaths!C89</f>
        <v>15307</v>
      </c>
      <c r="D243" s="55">
        <f t="array" ref="D243">deaths!D89</f>
        <v>6038</v>
      </c>
      <c r="E243" s="55">
        <f t="array" ref="E243">deaths!E89</f>
        <v>6713</v>
      </c>
      <c r="F243" s="55">
        <f t="array" ref="F243">deaths!F89</f>
        <v>1059</v>
      </c>
      <c r="G243" s="55">
        <f t="array" ref="G243">deaths!G89</f>
        <v>1497</v>
      </c>
      <c r="H243" s="55">
        <f t="array" ref="H243">deaths!H89</f>
        <v>12751</v>
      </c>
      <c r="I243" s="55">
        <f t="array" ref="I243">deaths!I89</f>
        <v>2556</v>
      </c>
      <c r="J243" s="55">
        <f t="array" ref="J243">deaths!J89</f>
        <v>7097</v>
      </c>
      <c r="K243" s="55">
        <f t="array" ref="K243">deaths!K89</f>
        <v>8210</v>
      </c>
      <c r="L243" s="55"/>
      <c r="M243" s="1"/>
      <c r="N243" s="1"/>
      <c r="O243" s="1"/>
      <c r="P243" s="1"/>
      <c r="Q243" s="1"/>
      <c r="R243" s="1"/>
      <c r="S243" s="1"/>
      <c r="T243" s="1"/>
      <c r="U243" s="1"/>
      <c r="V243" s="1"/>
      <c r="W243" s="1"/>
      <c r="X243" s="1"/>
      <c r="Y243" s="1"/>
      <c r="Z243" s="1"/>
    </row>
    <row r="244" spans="1:26" ht="19.5" customHeight="1">
      <c r="A244" s="139" t="str">
        <f t="array" ref="A244">deaths!$A90</f>
        <v>d83</v>
      </c>
      <c r="B244" s="55"/>
      <c r="C244" s="55">
        <f t="array" ref="C244">deaths!C90</f>
        <v>14885</v>
      </c>
      <c r="D244" s="55">
        <f t="array" ref="D244">deaths!D90</f>
        <v>5916</v>
      </c>
      <c r="E244" s="55">
        <f t="array" ref="E244">deaths!E90</f>
        <v>6478</v>
      </c>
      <c r="F244" s="55">
        <f t="array" ref="F244">deaths!F90</f>
        <v>1032</v>
      </c>
      <c r="G244" s="55">
        <f t="array" ref="G244">deaths!G90</f>
        <v>1459</v>
      </c>
      <c r="H244" s="55">
        <f t="array" ref="H244">deaths!H90</f>
        <v>12394</v>
      </c>
      <c r="I244" s="55">
        <f t="array" ref="I244">deaths!I90</f>
        <v>2491</v>
      </c>
      <c r="J244" s="55">
        <f t="array" ref="J244">deaths!J90</f>
        <v>6948</v>
      </c>
      <c r="K244" s="55">
        <f t="array" ref="K244">deaths!K90</f>
        <v>7937</v>
      </c>
      <c r="L244" s="55"/>
      <c r="M244" s="1"/>
      <c r="N244" s="1"/>
      <c r="O244" s="1"/>
      <c r="P244" s="1"/>
      <c r="Q244" s="1"/>
      <c r="R244" s="1"/>
      <c r="S244" s="1"/>
      <c r="T244" s="1"/>
      <c r="U244" s="1"/>
      <c r="V244" s="1"/>
      <c r="W244" s="1"/>
      <c r="X244" s="1"/>
      <c r="Y244" s="1"/>
      <c r="Z244" s="1"/>
    </row>
    <row r="245" spans="1:26" ht="19.5" customHeight="1">
      <c r="A245" s="139" t="str">
        <f t="array" ref="A245">deaths!$A91</f>
        <v>d84</v>
      </c>
      <c r="B245" s="55"/>
      <c r="C245" s="55">
        <f t="array" ref="C245">deaths!C91</f>
        <v>18191</v>
      </c>
      <c r="D245" s="55">
        <f t="array" ref="D245">deaths!D91</f>
        <v>7523</v>
      </c>
      <c r="E245" s="55">
        <f t="array" ref="E245">deaths!E91</f>
        <v>7629</v>
      </c>
      <c r="F245" s="55">
        <f t="array" ref="F245">deaths!F91</f>
        <v>1305</v>
      </c>
      <c r="G245" s="55">
        <f t="array" ref="G245">deaths!G91</f>
        <v>1734</v>
      </c>
      <c r="H245" s="55">
        <f t="array" ref="H245">deaths!H91</f>
        <v>15152</v>
      </c>
      <c r="I245" s="55">
        <f t="array" ref="I245">deaths!I91</f>
        <v>3039</v>
      </c>
      <c r="J245" s="55">
        <f t="array" ref="J245">deaths!J91</f>
        <v>8828</v>
      </c>
      <c r="K245" s="55">
        <f t="array" ref="K245">deaths!K91</f>
        <v>9363</v>
      </c>
      <c r="L245" s="55"/>
      <c r="M245" s="1"/>
      <c r="N245" s="1"/>
      <c r="O245" s="1"/>
      <c r="P245" s="1"/>
      <c r="Q245" s="1"/>
      <c r="R245" s="1"/>
      <c r="S245" s="1"/>
      <c r="T245" s="1"/>
      <c r="U245" s="1"/>
      <c r="V245" s="1"/>
      <c r="W245" s="1"/>
      <c r="X245" s="1"/>
      <c r="Y245" s="1"/>
      <c r="Z245" s="1"/>
    </row>
    <row r="246" spans="1:26" ht="19.5" customHeight="1">
      <c r="A246" s="139" t="str">
        <f t="array" ref="A246">deaths!$A92</f>
        <v>d85</v>
      </c>
      <c r="B246" s="55"/>
      <c r="C246" s="55">
        <f t="array" ref="C246">deaths!C92</f>
        <v>19767</v>
      </c>
      <c r="D246" s="55">
        <f t="array" ref="D246">deaths!D92</f>
        <v>8484</v>
      </c>
      <c r="E246" s="55">
        <f t="array" ref="E246">deaths!E92</f>
        <v>7979</v>
      </c>
      <c r="F246" s="55">
        <f t="array" ref="F246">deaths!F92</f>
        <v>1458</v>
      </c>
      <c r="G246" s="55">
        <f t="array" ref="G246">deaths!G92</f>
        <v>1846</v>
      </c>
      <c r="H246" s="55">
        <f t="array" ref="H246">deaths!H92</f>
        <v>16463</v>
      </c>
      <c r="I246" s="55">
        <f t="array" ref="I246">deaths!I92</f>
        <v>3304</v>
      </c>
      <c r="J246" s="55">
        <f t="array" ref="J246">deaths!J92</f>
        <v>9942</v>
      </c>
      <c r="K246" s="55">
        <f t="array" ref="K246">deaths!K92</f>
        <v>9825</v>
      </c>
      <c r="L246" s="55"/>
      <c r="M246" s="1"/>
      <c r="N246" s="1"/>
      <c r="O246" s="1"/>
      <c r="P246" s="1"/>
      <c r="Q246" s="1"/>
      <c r="R246" s="1"/>
      <c r="S246" s="1"/>
      <c r="T246" s="1"/>
      <c r="U246" s="1"/>
      <c r="V246" s="1"/>
      <c r="W246" s="1"/>
      <c r="X246" s="1"/>
      <c r="Y246" s="1"/>
      <c r="Z246" s="1"/>
    </row>
    <row r="247" spans="1:26" ht="19.5" customHeight="1">
      <c r="A247" s="139" t="str">
        <f t="array" ref="A247">deaths!$A93</f>
        <v>d86</v>
      </c>
      <c r="B247" s="55"/>
      <c r="C247" s="55">
        <f t="array" ref="C247">deaths!C93</f>
        <v>20699</v>
      </c>
      <c r="D247" s="55">
        <f t="array" ref="D247">deaths!D93</f>
        <v>9102</v>
      </c>
      <c r="E247" s="55">
        <f t="array" ref="E247">deaths!E93</f>
        <v>8138</v>
      </c>
      <c r="F247" s="55">
        <f t="array" ref="F247">deaths!F93</f>
        <v>1554</v>
      </c>
      <c r="G247" s="55">
        <f t="array" ref="G247">deaths!G93</f>
        <v>1905</v>
      </c>
      <c r="H247" s="55">
        <f t="array" ref="H247">deaths!H93</f>
        <v>17240</v>
      </c>
      <c r="I247" s="55">
        <f t="array" ref="I247">deaths!I93</f>
        <v>3459</v>
      </c>
      <c r="J247" s="55">
        <f t="array" ref="J247">deaths!J93</f>
        <v>10656</v>
      </c>
      <c r="K247" s="55">
        <f t="array" ref="K247">deaths!K93</f>
        <v>10043</v>
      </c>
      <c r="L247" s="55"/>
      <c r="M247" s="1"/>
      <c r="N247" s="1"/>
      <c r="O247" s="1"/>
      <c r="P247" s="1"/>
      <c r="Q247" s="1"/>
      <c r="R247" s="1"/>
      <c r="S247" s="1"/>
      <c r="T247" s="1"/>
      <c r="U247" s="1"/>
      <c r="V247" s="1"/>
      <c r="W247" s="1"/>
      <c r="X247" s="1"/>
      <c r="Y247" s="1"/>
      <c r="Z247" s="1"/>
    </row>
    <row r="248" spans="1:26" ht="19.5" customHeight="1">
      <c r="A248" s="139" t="str">
        <f t="array" ref="A248">deaths!$A94</f>
        <v>d87</v>
      </c>
      <c r="B248" s="55"/>
      <c r="C248" s="55">
        <f t="array" ref="C248">deaths!C94</f>
        <v>21925</v>
      </c>
      <c r="D248" s="55">
        <f t="array" ref="D248">deaths!D94</f>
        <v>10111</v>
      </c>
      <c r="E248" s="55">
        <f t="array" ref="E248">deaths!E94</f>
        <v>8160</v>
      </c>
      <c r="F248" s="55">
        <f t="array" ref="F248">deaths!F94</f>
        <v>1713</v>
      </c>
      <c r="G248" s="55">
        <f t="array" ref="G248">deaths!G94</f>
        <v>1941</v>
      </c>
      <c r="H248" s="55">
        <f t="array" ref="H248">deaths!H94</f>
        <v>18271</v>
      </c>
      <c r="I248" s="55">
        <f t="array" ref="I248">deaths!I94</f>
        <v>3654</v>
      </c>
      <c r="J248" s="55">
        <f t="array" ref="J248">deaths!J94</f>
        <v>11824</v>
      </c>
      <c r="K248" s="55">
        <f t="array" ref="K248">deaths!K94</f>
        <v>10101</v>
      </c>
      <c r="L248" s="55"/>
      <c r="M248" s="1"/>
      <c r="N248" s="1"/>
      <c r="O248" s="1"/>
      <c r="P248" s="1"/>
      <c r="Q248" s="1"/>
      <c r="R248" s="1"/>
      <c r="S248" s="1"/>
      <c r="T248" s="1"/>
      <c r="U248" s="1"/>
      <c r="V248" s="1"/>
      <c r="W248" s="1"/>
      <c r="X248" s="1"/>
      <c r="Y248" s="1"/>
      <c r="Z248" s="1"/>
    </row>
    <row r="249" spans="1:26" ht="19.5" customHeight="1">
      <c r="A249" s="139" t="str">
        <f t="array" ref="A249">deaths!$A95</f>
        <v>d88</v>
      </c>
      <c r="B249" s="55"/>
      <c r="C249" s="55">
        <f t="array" ref="C249">deaths!C95</f>
        <v>22892</v>
      </c>
      <c r="D249" s="55">
        <f t="array" ref="D249">deaths!D95</f>
        <v>10839</v>
      </c>
      <c r="E249" s="55">
        <f t="array" ref="E249">deaths!E95</f>
        <v>8232</v>
      </c>
      <c r="F249" s="55">
        <f t="array" ref="F249">deaths!F95</f>
        <v>1820</v>
      </c>
      <c r="G249" s="55">
        <f t="array" ref="G249">deaths!G95</f>
        <v>2001</v>
      </c>
      <c r="H249" s="55">
        <f t="array" ref="H249">deaths!H95</f>
        <v>19071</v>
      </c>
      <c r="I249" s="55">
        <f t="array" ref="I249">deaths!I95</f>
        <v>3821</v>
      </c>
      <c r="J249" s="55">
        <f t="array" ref="J249">deaths!J95</f>
        <v>12659</v>
      </c>
      <c r="K249" s="55">
        <f t="array" ref="K249">deaths!K95</f>
        <v>10233</v>
      </c>
      <c r="L249" s="55"/>
      <c r="M249" s="1"/>
      <c r="N249" s="1"/>
      <c r="O249" s="1"/>
      <c r="P249" s="1"/>
      <c r="Q249" s="1"/>
      <c r="R249" s="1"/>
      <c r="S249" s="1"/>
      <c r="T249" s="1"/>
      <c r="U249" s="1"/>
      <c r="V249" s="1"/>
      <c r="W249" s="1"/>
      <c r="X249" s="1"/>
      <c r="Y249" s="1"/>
      <c r="Z249" s="1"/>
    </row>
    <row r="250" spans="1:26" ht="19.5" customHeight="1">
      <c r="A250" s="139" t="str">
        <f t="array" ref="A250">deaths!$A96</f>
        <v>d89</v>
      </c>
      <c r="B250" s="55"/>
      <c r="C250" s="55">
        <f t="array" ref="C250">deaths!C96</f>
        <v>24006</v>
      </c>
      <c r="D250" s="55">
        <f t="array" ref="D250">deaths!D96</f>
        <v>11856</v>
      </c>
      <c r="E250" s="55">
        <f t="array" ref="E250">deaths!E96</f>
        <v>8147</v>
      </c>
      <c r="F250" s="55">
        <f t="array" ref="F250">deaths!F96</f>
        <v>1970</v>
      </c>
      <c r="G250" s="55">
        <f t="array" ref="G250">deaths!G96</f>
        <v>2033</v>
      </c>
      <c r="H250" s="55">
        <f t="array" ref="H250">deaths!H96</f>
        <v>20003</v>
      </c>
      <c r="I250" s="55">
        <f t="array" ref="I250">deaths!I96</f>
        <v>4003</v>
      </c>
      <c r="J250" s="55">
        <f t="array" ref="J250">deaths!J96</f>
        <v>13826</v>
      </c>
      <c r="K250" s="55">
        <f t="array" ref="K250">deaths!K96</f>
        <v>10180</v>
      </c>
      <c r="L250" s="55"/>
      <c r="M250" s="1"/>
      <c r="N250" s="1"/>
      <c r="O250" s="1"/>
      <c r="P250" s="1"/>
      <c r="Q250" s="1"/>
      <c r="R250" s="1"/>
      <c r="S250" s="1"/>
      <c r="T250" s="1"/>
      <c r="U250" s="1"/>
      <c r="V250" s="1"/>
      <c r="W250" s="1"/>
      <c r="X250" s="1"/>
      <c r="Y250" s="1"/>
      <c r="Z250" s="1"/>
    </row>
    <row r="251" spans="1:26" ht="19.5" customHeight="1">
      <c r="A251" s="139" t="str">
        <f t="array" ref="A251">deaths!$A97</f>
        <v>d90</v>
      </c>
      <c r="B251" s="55"/>
      <c r="C251" s="55">
        <f t="array" ref="C251">deaths!C97</f>
        <v>24311</v>
      </c>
      <c r="D251" s="55">
        <f t="array" ref="D251">deaths!D97</f>
        <v>12433</v>
      </c>
      <c r="E251" s="55">
        <f t="array" ref="E251">deaths!E97</f>
        <v>7831</v>
      </c>
      <c r="F251" s="55">
        <f t="array" ref="F251">deaths!F97</f>
        <v>2051</v>
      </c>
      <c r="G251" s="55">
        <f t="array" ref="G251">deaths!G97</f>
        <v>1996</v>
      </c>
      <c r="H251" s="55">
        <f t="array" ref="H251">deaths!H97</f>
        <v>20264</v>
      </c>
      <c r="I251" s="55">
        <f t="array" ref="I251">deaths!I97</f>
        <v>4047</v>
      </c>
      <c r="J251" s="55">
        <f t="array" ref="J251">deaths!J97</f>
        <v>14484</v>
      </c>
      <c r="K251" s="55">
        <f t="array" ref="K251">deaths!K97</f>
        <v>9827</v>
      </c>
      <c r="L251" s="55"/>
      <c r="M251" s="1"/>
      <c r="N251" s="1"/>
      <c r="O251" s="1"/>
      <c r="P251" s="1"/>
      <c r="Q251" s="1"/>
      <c r="R251" s="1"/>
      <c r="S251" s="1"/>
      <c r="T251" s="1"/>
      <c r="U251" s="1"/>
      <c r="V251" s="1"/>
      <c r="W251" s="1"/>
      <c r="X251" s="1"/>
      <c r="Y251" s="1"/>
      <c r="Z251" s="1"/>
    </row>
    <row r="252" spans="1:26" ht="19.5" customHeight="1">
      <c r="A252" s="139" t="str">
        <f t="array" ref="A252">deaths!$A98</f>
        <v>d91</v>
      </c>
      <c r="B252" s="55"/>
      <c r="C252" s="55">
        <f t="array" ref="C252">deaths!C98</f>
        <v>24264</v>
      </c>
      <c r="D252" s="55">
        <f t="array" ref="D252">deaths!D98</f>
        <v>12840</v>
      </c>
      <c r="E252" s="55">
        <f t="array" ref="E252">deaths!E98</f>
        <v>7379</v>
      </c>
      <c r="F252" s="55">
        <f t="array" ref="F252">deaths!F98</f>
        <v>2093</v>
      </c>
      <c r="G252" s="55">
        <f t="array" ref="G252">deaths!G98</f>
        <v>1952</v>
      </c>
      <c r="H252" s="55">
        <f t="array" ref="H252">deaths!H98</f>
        <v>20219</v>
      </c>
      <c r="I252" s="55">
        <f t="array" ref="I252">deaths!I98</f>
        <v>4045</v>
      </c>
      <c r="J252" s="55">
        <f t="array" ref="J252">deaths!J98</f>
        <v>14933</v>
      </c>
      <c r="K252" s="55">
        <f t="array" ref="K252">deaths!K98</f>
        <v>9331</v>
      </c>
      <c r="L252" s="55"/>
      <c r="M252" s="1"/>
      <c r="N252" s="1"/>
      <c r="O252" s="1"/>
      <c r="P252" s="1"/>
      <c r="Q252" s="1"/>
      <c r="R252" s="1"/>
      <c r="S252" s="1"/>
      <c r="T252" s="1"/>
      <c r="U252" s="1"/>
      <c r="V252" s="1"/>
      <c r="W252" s="1"/>
      <c r="X252" s="1"/>
      <c r="Y252" s="1"/>
      <c r="Z252" s="1"/>
    </row>
    <row r="253" spans="1:26" ht="19.5" customHeight="1">
      <c r="A253" s="139" t="str">
        <f t="array" ref="A253">deaths!$A99</f>
        <v>d92</v>
      </c>
      <c r="B253" s="55"/>
      <c r="C253" s="55">
        <f t="array" ref="C253">deaths!C99</f>
        <v>23427</v>
      </c>
      <c r="D253" s="55">
        <f t="array" ref="D253">deaths!D99</f>
        <v>12813</v>
      </c>
      <c r="E253" s="55">
        <f t="array" ref="E253">deaths!E99</f>
        <v>6713</v>
      </c>
      <c r="F253" s="55">
        <f t="array" ref="F253">deaths!F99</f>
        <v>2072</v>
      </c>
      <c r="G253" s="55">
        <f t="array" ref="G253">deaths!G99</f>
        <v>1829</v>
      </c>
      <c r="H253" s="55">
        <f t="array" ref="H253">deaths!H99</f>
        <v>19526</v>
      </c>
      <c r="I253" s="55">
        <f t="array" ref="I253">deaths!I99</f>
        <v>3901</v>
      </c>
      <c r="J253" s="55">
        <f t="array" ref="J253">deaths!J99</f>
        <v>14885</v>
      </c>
      <c r="K253" s="55">
        <f t="array" ref="K253">deaths!K99</f>
        <v>8542</v>
      </c>
      <c r="L253" s="55"/>
      <c r="M253" s="1"/>
      <c r="N253" s="1"/>
      <c r="O253" s="1"/>
      <c r="P253" s="1"/>
      <c r="Q253" s="1"/>
      <c r="R253" s="1"/>
      <c r="S253" s="1"/>
      <c r="T253" s="1"/>
      <c r="U253" s="1"/>
      <c r="V253" s="1"/>
      <c r="W253" s="1"/>
      <c r="X253" s="1"/>
      <c r="Y253" s="1"/>
      <c r="Z253" s="1"/>
    </row>
    <row r="254" spans="1:26" ht="19.5" customHeight="1">
      <c r="A254" s="139" t="str">
        <f t="array" ref="A254">deaths!$A100</f>
        <v>d93</v>
      </c>
      <c r="B254" s="55"/>
      <c r="C254" s="55">
        <f t="array" ref="C254">deaths!C100</f>
        <v>21997</v>
      </c>
      <c r="D254" s="55">
        <f t="array" ref="D254">deaths!D100</f>
        <v>12434</v>
      </c>
      <c r="E254" s="55">
        <f t="array" ref="E254">deaths!E100</f>
        <v>5905</v>
      </c>
      <c r="F254" s="55">
        <f t="array" ref="F254">deaths!F100</f>
        <v>1995</v>
      </c>
      <c r="G254" s="55">
        <f t="array" ref="G254">deaths!G100</f>
        <v>1663</v>
      </c>
      <c r="H254" s="55">
        <f t="array" ref="H254">deaths!H100</f>
        <v>18339</v>
      </c>
      <c r="I254" s="55">
        <f t="array" ref="I254">deaths!I100</f>
        <v>3658</v>
      </c>
      <c r="J254" s="55">
        <f t="array" ref="J254">deaths!J100</f>
        <v>14429</v>
      </c>
      <c r="K254" s="55">
        <f t="array" ref="K254">deaths!K100</f>
        <v>7568</v>
      </c>
      <c r="L254" s="55"/>
      <c r="M254" s="1"/>
      <c r="N254" s="1"/>
      <c r="O254" s="1"/>
      <c r="P254" s="1"/>
      <c r="Q254" s="1"/>
      <c r="R254" s="1"/>
      <c r="S254" s="1"/>
      <c r="T254" s="1"/>
      <c r="U254" s="1"/>
      <c r="V254" s="1"/>
      <c r="W254" s="1"/>
      <c r="X254" s="1"/>
      <c r="Y254" s="1"/>
      <c r="Z254" s="1"/>
    </row>
    <row r="255" spans="1:26" ht="19.5" customHeight="1">
      <c r="A255" s="139" t="str">
        <f t="array" ref="A255">deaths!$A101</f>
        <v>d94</v>
      </c>
      <c r="B255" s="55"/>
      <c r="C255" s="55">
        <f t="array" ref="C255">deaths!C101</f>
        <v>19563</v>
      </c>
      <c r="D255" s="55">
        <f t="array" ref="D255">deaths!D101</f>
        <v>11481</v>
      </c>
      <c r="E255" s="55">
        <f t="array" ref="E255">deaths!E101</f>
        <v>4830</v>
      </c>
      <c r="F255" s="55">
        <f t="array" ref="F255">deaths!F101</f>
        <v>1823</v>
      </c>
      <c r="G255" s="55">
        <f t="array" ref="G255">deaths!G101</f>
        <v>1429</v>
      </c>
      <c r="H255" s="55">
        <f t="array" ref="H255">deaths!H101</f>
        <v>16311</v>
      </c>
      <c r="I255" s="55">
        <f t="array" ref="I255">deaths!I101</f>
        <v>3252</v>
      </c>
      <c r="J255" s="55">
        <f t="array" ref="J255">deaths!J101</f>
        <v>13304</v>
      </c>
      <c r="K255" s="55">
        <f t="array" ref="K255">deaths!K101</f>
        <v>6259</v>
      </c>
      <c r="L255" s="55"/>
      <c r="M255" s="1"/>
      <c r="N255" s="1"/>
      <c r="O255" s="1"/>
      <c r="P255" s="1"/>
      <c r="Q255" s="1"/>
      <c r="R255" s="1"/>
      <c r="S255" s="1"/>
      <c r="T255" s="1"/>
      <c r="U255" s="1"/>
      <c r="V255" s="1"/>
      <c r="W255" s="1"/>
      <c r="X255" s="1"/>
      <c r="Y255" s="1"/>
      <c r="Z255" s="1"/>
    </row>
    <row r="256" spans="1:26" ht="19.5" customHeight="1">
      <c r="A256" s="139" t="str">
        <f t="array" ref="A256">deaths!$A102</f>
        <v>d95</v>
      </c>
      <c r="B256" s="55"/>
      <c r="C256" s="55">
        <f t="array" ref="C256">deaths!C102</f>
        <v>16929</v>
      </c>
      <c r="D256" s="55">
        <f t="array" ref="D256">deaths!D102</f>
        <v>10300</v>
      </c>
      <c r="E256" s="55">
        <f t="array" ref="E256">deaths!E102</f>
        <v>3825</v>
      </c>
      <c r="F256" s="55">
        <f t="array" ref="F256">deaths!F102</f>
        <v>1622</v>
      </c>
      <c r="G256" s="55">
        <f t="array" ref="G256">deaths!G102</f>
        <v>1182</v>
      </c>
      <c r="H256" s="55">
        <f t="array" ref="H256">deaths!H102</f>
        <v>14125</v>
      </c>
      <c r="I256" s="55">
        <f t="array" ref="I256">deaths!I102</f>
        <v>2804</v>
      </c>
      <c r="J256" s="55">
        <f t="array" ref="J256">deaths!J102</f>
        <v>11922</v>
      </c>
      <c r="K256" s="55">
        <f t="array" ref="K256">deaths!K102</f>
        <v>5007</v>
      </c>
      <c r="L256" s="55"/>
      <c r="M256" s="1"/>
      <c r="N256" s="1"/>
      <c r="O256" s="1"/>
      <c r="P256" s="1"/>
      <c r="Q256" s="1"/>
      <c r="R256" s="1"/>
      <c r="S256" s="1"/>
      <c r="T256" s="1"/>
      <c r="U256" s="1"/>
      <c r="V256" s="1"/>
      <c r="W256" s="1"/>
      <c r="X256" s="1"/>
      <c r="Y256" s="1"/>
      <c r="Z256" s="1"/>
    </row>
    <row r="257" spans="1:26" ht="19.5" customHeight="1">
      <c r="A257" s="139" t="str">
        <f t="array" ref="A257">deaths!$A103</f>
        <v>d96</v>
      </c>
      <c r="B257" s="55"/>
      <c r="C257" s="55">
        <f t="array" ref="C257">deaths!C103</f>
        <v>14381</v>
      </c>
      <c r="D257" s="55">
        <f t="array" ref="D257">deaths!D103</f>
        <v>8928</v>
      </c>
      <c r="E257" s="55">
        <f t="array" ref="E257">deaths!E103</f>
        <v>3051</v>
      </c>
      <c r="F257" s="55">
        <f t="array" ref="F257">deaths!F103</f>
        <v>1391</v>
      </c>
      <c r="G257" s="55">
        <f t="array" ref="G257">deaths!G103</f>
        <v>1011</v>
      </c>
      <c r="H257" s="55">
        <f t="array" ref="H257">deaths!H103</f>
        <v>11979</v>
      </c>
      <c r="I257" s="55">
        <f t="array" ref="I257">deaths!I103</f>
        <v>2402</v>
      </c>
      <c r="J257" s="55">
        <f t="array" ref="J257">deaths!J103</f>
        <v>10319</v>
      </c>
      <c r="K257" s="55">
        <f t="array" ref="K257">deaths!K103</f>
        <v>4062</v>
      </c>
      <c r="L257" s="55"/>
      <c r="M257" s="1"/>
      <c r="N257" s="1"/>
      <c r="O257" s="1"/>
      <c r="P257" s="1"/>
      <c r="Q257" s="1"/>
      <c r="R257" s="1"/>
      <c r="S257" s="1"/>
      <c r="T257" s="1"/>
      <c r="U257" s="1"/>
      <c r="V257" s="1"/>
      <c r="W257" s="1"/>
      <c r="X257" s="1"/>
      <c r="Y257" s="1"/>
      <c r="Z257" s="1"/>
    </row>
    <row r="258" spans="1:26" ht="19.5" customHeight="1">
      <c r="A258" s="139" t="str">
        <f t="array" ref="A258">deaths!$A104</f>
        <v>d97</v>
      </c>
      <c r="B258" s="55"/>
      <c r="C258" s="55">
        <f t="array" ref="C258">deaths!C104</f>
        <v>11834</v>
      </c>
      <c r="D258" s="55">
        <f t="array" ref="D258">deaths!D104</f>
        <v>7713</v>
      </c>
      <c r="E258" s="55">
        <f t="array" ref="E258">deaths!E104</f>
        <v>2158</v>
      </c>
      <c r="F258" s="55">
        <f t="array" ref="F258">deaths!F104</f>
        <v>1190</v>
      </c>
      <c r="G258" s="55">
        <f t="array" ref="G258">deaths!G104</f>
        <v>773</v>
      </c>
      <c r="H258" s="55">
        <f t="array" ref="H258">deaths!H104</f>
        <v>9871</v>
      </c>
      <c r="I258" s="55">
        <f t="array" ref="I258">deaths!I104</f>
        <v>1963</v>
      </c>
      <c r="J258" s="55">
        <f t="array" ref="J258">deaths!J104</f>
        <v>8903</v>
      </c>
      <c r="K258" s="55">
        <f t="array" ref="K258">deaths!K104</f>
        <v>2931</v>
      </c>
      <c r="L258" s="55"/>
      <c r="M258" s="1"/>
      <c r="N258" s="1"/>
      <c r="O258" s="1"/>
      <c r="P258" s="1"/>
      <c r="Q258" s="1"/>
      <c r="R258" s="1"/>
      <c r="S258" s="1"/>
      <c r="T258" s="1"/>
      <c r="U258" s="1"/>
      <c r="V258" s="1"/>
      <c r="W258" s="1"/>
      <c r="X258" s="1"/>
      <c r="Y258" s="1"/>
      <c r="Z258" s="1"/>
    </row>
    <row r="259" spans="1:26" ht="19.5" customHeight="1">
      <c r="A259" s="139" t="str">
        <f t="array" ref="A259">deaths!$A105</f>
        <v>d98</v>
      </c>
      <c r="B259" s="55"/>
      <c r="C259" s="55">
        <f t="array" ref="C259">deaths!C105</f>
        <v>9373</v>
      </c>
      <c r="D259" s="55">
        <f t="array" ref="D259">deaths!D105</f>
        <v>6221</v>
      </c>
      <c r="E259" s="55">
        <f t="array" ref="E259">deaths!E105</f>
        <v>1598</v>
      </c>
      <c r="F259" s="55">
        <f t="array" ref="F259">deaths!F105</f>
        <v>955</v>
      </c>
      <c r="G259" s="55">
        <f t="array" ref="G259">deaths!G105</f>
        <v>599</v>
      </c>
      <c r="H259" s="55">
        <f t="array" ref="H259">deaths!H105</f>
        <v>7819</v>
      </c>
      <c r="I259" s="55">
        <f t="array" ref="I259">deaths!I105</f>
        <v>1554</v>
      </c>
      <c r="J259" s="55">
        <f t="array" ref="J259">deaths!J105</f>
        <v>7176</v>
      </c>
      <c r="K259" s="55">
        <f t="array" ref="K259">deaths!K105</f>
        <v>2197</v>
      </c>
      <c r="L259" s="55"/>
      <c r="M259" s="1"/>
      <c r="N259" s="1"/>
      <c r="O259" s="1"/>
      <c r="P259" s="1"/>
      <c r="Q259" s="1"/>
      <c r="R259" s="1"/>
      <c r="S259" s="1"/>
      <c r="T259" s="1"/>
      <c r="U259" s="1"/>
      <c r="V259" s="1"/>
      <c r="W259" s="1"/>
      <c r="X259" s="1"/>
      <c r="Y259" s="1"/>
      <c r="Z259" s="1"/>
    </row>
    <row r="260" spans="1:26" ht="19.5" customHeight="1">
      <c r="A260" s="139" t="str">
        <f t="array" ref="A260">deaths!$A106</f>
        <v>d99</v>
      </c>
      <c r="B260" s="55"/>
      <c r="C260" s="55">
        <f t="array" ref="C260">deaths!C106</f>
        <v>21142</v>
      </c>
      <c r="D260" s="55">
        <f t="array" ref="D260">deaths!D106</f>
        <v>15113</v>
      </c>
      <c r="E260" s="55">
        <f t="array" ref="E260">deaths!E106</f>
        <v>2573</v>
      </c>
      <c r="F260" s="55">
        <f t="array" ref="F260">deaths!F106</f>
        <v>2283</v>
      </c>
      <c r="G260" s="55">
        <f t="array" ref="G260">deaths!G106</f>
        <v>1173</v>
      </c>
      <c r="H260" s="55">
        <f t="array" ref="H260">deaths!H106</f>
        <v>17686</v>
      </c>
      <c r="I260" s="55">
        <f t="array" ref="I260">deaths!I106</f>
        <v>3456</v>
      </c>
      <c r="J260" s="55">
        <f t="array" ref="J260">deaths!J106</f>
        <v>17396</v>
      </c>
      <c r="K260" s="55">
        <f t="array" ref="K260">deaths!K106</f>
        <v>3746</v>
      </c>
      <c r="L260" s="55"/>
      <c r="M260" s="1"/>
      <c r="N260" s="1"/>
      <c r="O260" s="1"/>
      <c r="P260" s="1"/>
      <c r="Q260" s="1"/>
      <c r="R260" s="1"/>
      <c r="S260" s="1"/>
      <c r="T260" s="1"/>
      <c r="U260" s="1"/>
      <c r="V260" s="1"/>
      <c r="W260" s="1"/>
      <c r="X260" s="1"/>
      <c r="Y260" s="1"/>
      <c r="Z260" s="1"/>
    </row>
    <row r="261" spans="1:26" ht="19.5" customHeight="1">
      <c r="A261" s="143" t="str">
        <f t="array" ref="A261">deaths!$A107</f>
        <v>dt</v>
      </c>
      <c r="B261" s="106"/>
      <c r="C261" s="106">
        <f t="array" ref="C261">deaths!C107</f>
        <v>642646</v>
      </c>
      <c r="D261" s="55">
        <f t="array" ref="D261">deaths!D107</f>
        <v>274220</v>
      </c>
      <c r="E261" s="55">
        <f t="array" ref="E261">deaths!E107</f>
        <v>258536</v>
      </c>
      <c r="F261" s="55">
        <f t="array" ref="F261">deaths!F107</f>
        <v>47991</v>
      </c>
      <c r="G261" s="55">
        <f t="array" ref="G261">deaths!G107</f>
        <v>62585</v>
      </c>
      <c r="H261" s="55">
        <f t="array" ref="H261">deaths!H107</f>
        <v>532756</v>
      </c>
      <c r="I261" s="55">
        <f t="array" ref="I261">deaths!I107</f>
        <v>110576</v>
      </c>
      <c r="J261" s="55">
        <f t="array" ref="J261">deaths!J107</f>
        <v>322211</v>
      </c>
      <c r="K261" s="55">
        <f t="array" ref="K261">deaths!K107</f>
        <v>321121</v>
      </c>
      <c r="L261" s="55"/>
      <c r="M261" s="1"/>
      <c r="N261" s="1"/>
      <c r="O261" s="1"/>
      <c r="P261" s="1"/>
      <c r="Q261" s="1"/>
      <c r="R261" s="1"/>
      <c r="S261" s="1"/>
      <c r="T261" s="1"/>
      <c r="U261" s="1"/>
      <c r="V261" s="1"/>
      <c r="W261" s="1"/>
      <c r="X261" s="1"/>
      <c r="Y261" s="1"/>
      <c r="Z261" s="1"/>
    </row>
    <row r="262" spans="1:26" ht="43.5" customHeight="1">
      <c r="A262" s="144" t="str">
        <f t="array" ref="A262">deaths!$A109</f>
        <v>ds</v>
      </c>
      <c r="B262" s="145"/>
      <c r="C262" s="130" t="str">
        <f t="array" ref="C262">deaths!C109</f>
        <v>https://ec.europa.eu/eurostat/databrowser/view/demo_magec; downloaded 2026-05-22</v>
      </c>
      <c r="D262" s="55"/>
      <c r="E262" s="55"/>
      <c r="F262" s="55"/>
      <c r="G262" s="55"/>
      <c r="H262" s="55"/>
      <c r="I262" s="55"/>
      <c r="J262" s="55"/>
      <c r="K262" s="55"/>
      <c r="L262" s="55"/>
      <c r="M262" s="1"/>
      <c r="N262" s="1"/>
      <c r="O262" s="1"/>
      <c r="P262" s="1"/>
      <c r="Q262" s="1"/>
      <c r="R262" s="1"/>
      <c r="S262" s="1"/>
      <c r="T262" s="1"/>
      <c r="U262" s="1"/>
      <c r="V262" s="1"/>
      <c r="W262" s="1"/>
      <c r="X262" s="1"/>
      <c r="Y262" s="1"/>
      <c r="Z262" s="1"/>
    </row>
    <row r="263" spans="1:26" ht="19.5" customHeight="1">
      <c r="A263" s="150"/>
      <c r="B263" s="148"/>
      <c r="C263" s="148"/>
      <c r="D263" s="55"/>
      <c r="E263" s="55"/>
      <c r="F263" s="55"/>
      <c r="G263" s="55"/>
      <c r="H263" s="55"/>
      <c r="I263" s="55"/>
      <c r="J263" s="55"/>
      <c r="K263" s="55"/>
      <c r="L263" s="55"/>
      <c r="M263" s="1"/>
      <c r="N263" s="1"/>
      <c r="O263" s="1"/>
      <c r="P263" s="1"/>
      <c r="Q263" s="1"/>
      <c r="R263" s="1"/>
      <c r="S263" s="1"/>
      <c r="T263" s="1"/>
      <c r="U263" s="1"/>
      <c r="V263" s="1"/>
      <c r="W263" s="1"/>
      <c r="X263" s="1"/>
      <c r="Y263" s="1"/>
      <c r="Z263" s="1"/>
    </row>
    <row r="264" spans="1:26" ht="26.25" customHeight="1">
      <c r="A264" s="19"/>
      <c r="B264" s="20" t="s">
        <v>611</v>
      </c>
      <c r="C264" s="177"/>
      <c r="D264" s="164"/>
      <c r="E264" s="164"/>
      <c r="F264" s="164"/>
      <c r="G264" s="164"/>
      <c r="H264" s="164"/>
      <c r="I264" s="164"/>
      <c r="J264" s="164"/>
      <c r="K264" s="165"/>
      <c r="L264" s="21"/>
      <c r="M264" s="1"/>
      <c r="N264" s="1"/>
      <c r="O264" s="1"/>
      <c r="P264" s="1"/>
      <c r="Q264" s="1"/>
      <c r="R264" s="1"/>
      <c r="S264" s="1"/>
      <c r="T264" s="1"/>
      <c r="U264" s="1"/>
      <c r="V264" s="1"/>
      <c r="W264" s="1"/>
      <c r="X264" s="1"/>
      <c r="Y264" s="1"/>
      <c r="Z264" s="1"/>
    </row>
    <row r="265" spans="1:26" ht="19.5" customHeight="1">
      <c r="A265" s="139" t="str">
        <f t="array" ref="A265">migration!$A9</f>
        <v>ma</v>
      </c>
      <c r="B265" s="55"/>
      <c r="C265" s="55">
        <f t="array" ref="C265">migration!C9</f>
        <v>126035.20000000001</v>
      </c>
      <c r="D265" s="55">
        <f t="array" ref="D265">migration!D9</f>
        <v>-36574.699999999997</v>
      </c>
      <c r="E265" s="55">
        <f t="array" ref="E265">migration!E9</f>
        <v>-33924.999999999993</v>
      </c>
      <c r="F265" s="55">
        <f t="array" ref="F265">migration!F9</f>
        <v>99975.4</v>
      </c>
      <c r="G265" s="55">
        <f t="array" ref="G265">migration!G9</f>
        <v>96559.5</v>
      </c>
      <c r="H265" s="55">
        <f t="array" ref="H265">migration!H9</f>
        <v>-70499.699999999983</v>
      </c>
      <c r="I265" s="55">
        <f t="array" ref="I265">migration!I9</f>
        <v>196534.9</v>
      </c>
      <c r="J265" s="55">
        <f t="array" ref="J265">migration!J9</f>
        <v>63400.7</v>
      </c>
      <c r="K265" s="55">
        <f t="array" ref="K265">migration!K9</f>
        <v>62634.500000000007</v>
      </c>
      <c r="L265" s="55"/>
      <c r="M265" s="1"/>
      <c r="N265" s="1"/>
      <c r="O265" s="1"/>
      <c r="P265" s="1"/>
      <c r="Q265" s="1"/>
      <c r="R265" s="1"/>
      <c r="S265" s="1"/>
      <c r="T265" s="1"/>
      <c r="U265" s="1"/>
      <c r="V265" s="1"/>
      <c r="W265" s="1"/>
      <c r="X265" s="1"/>
      <c r="Y265" s="1"/>
      <c r="Z265" s="1"/>
    </row>
    <row r="266" spans="1:26" ht="19.5" customHeight="1">
      <c r="A266" s="139" t="str">
        <f t="array" ref="A266">migration!$A11</f>
        <v>m00</v>
      </c>
      <c r="B266" s="55"/>
      <c r="C266" s="55">
        <f t="array" ref="C266">migration!C11</f>
        <v>0</v>
      </c>
      <c r="D266" s="55">
        <f t="array" ref="D266">migration!D11</f>
        <v>0</v>
      </c>
      <c r="E266" s="55">
        <f t="array" ref="E266">migration!E11</f>
        <v>0</v>
      </c>
      <c r="F266" s="55">
        <f t="array" ref="F266">migration!F11</f>
        <v>0</v>
      </c>
      <c r="G266" s="55">
        <f t="array" ref="G266">migration!G11</f>
        <v>0</v>
      </c>
      <c r="H266" s="55">
        <f t="array" ref="H266">migration!H11</f>
        <v>0</v>
      </c>
      <c r="I266" s="55">
        <f t="array" ref="I266">migration!I11</f>
        <v>0</v>
      </c>
      <c r="J266" s="55">
        <f t="array" ref="J266">migration!J11</f>
        <v>0</v>
      </c>
      <c r="K266" s="55">
        <f t="array" ref="K266">migration!K11</f>
        <v>0</v>
      </c>
      <c r="L266" s="55"/>
      <c r="M266" s="1"/>
      <c r="N266" s="1"/>
      <c r="O266" s="1"/>
      <c r="P266" s="1"/>
      <c r="Q266" s="1"/>
      <c r="R266" s="1"/>
      <c r="S266" s="1"/>
      <c r="T266" s="1"/>
      <c r="U266" s="1"/>
      <c r="V266" s="1"/>
      <c r="W266" s="1"/>
      <c r="X266" s="1"/>
      <c r="Y266" s="1"/>
      <c r="Z266" s="1"/>
    </row>
    <row r="267" spans="1:26" ht="19.5" customHeight="1">
      <c r="A267" s="139" t="str">
        <f t="array" ref="A267">migration!$A12</f>
        <v>m01</v>
      </c>
      <c r="B267" s="55"/>
      <c r="C267" s="55">
        <f t="array" ref="C267">migration!C12</f>
        <v>0</v>
      </c>
      <c r="D267" s="55">
        <f t="array" ref="D267">migration!D12</f>
        <v>0</v>
      </c>
      <c r="E267" s="55">
        <f t="array" ref="E267">migration!E12</f>
        <v>0</v>
      </c>
      <c r="F267" s="55">
        <f t="array" ref="F267">migration!F12</f>
        <v>0</v>
      </c>
      <c r="G267" s="55">
        <f t="array" ref="G267">migration!G12</f>
        <v>0</v>
      </c>
      <c r="H267" s="55">
        <f t="array" ref="H267">migration!H12</f>
        <v>0</v>
      </c>
      <c r="I267" s="55">
        <f t="array" ref="I267">migration!I12</f>
        <v>0</v>
      </c>
      <c r="J267" s="55">
        <f t="array" ref="J267">migration!J12</f>
        <v>0</v>
      </c>
      <c r="K267" s="55">
        <f t="array" ref="K267">migration!K12</f>
        <v>0</v>
      </c>
      <c r="L267" s="55"/>
      <c r="M267" s="1"/>
      <c r="N267" s="1"/>
      <c r="O267" s="1"/>
      <c r="P267" s="1"/>
      <c r="Q267" s="1"/>
      <c r="R267" s="1"/>
      <c r="S267" s="1"/>
      <c r="T267" s="1"/>
      <c r="U267" s="1"/>
      <c r="V267" s="1"/>
      <c r="W267" s="1"/>
      <c r="X267" s="1"/>
      <c r="Y267" s="1"/>
      <c r="Z267" s="1"/>
    </row>
    <row r="268" spans="1:26" ht="19.5" customHeight="1">
      <c r="A268" s="139" t="str">
        <f t="array" ref="A268">migration!$A13</f>
        <v>m02</v>
      </c>
      <c r="B268" s="55"/>
      <c r="C268" s="55">
        <f t="array" ref="C268">migration!C13</f>
        <v>0</v>
      </c>
      <c r="D268" s="55">
        <f t="array" ref="D268">migration!D13</f>
        <v>0</v>
      </c>
      <c r="E268" s="55">
        <f t="array" ref="E268">migration!E13</f>
        <v>0</v>
      </c>
      <c r="F268" s="55">
        <f t="array" ref="F268">migration!F13</f>
        <v>0</v>
      </c>
      <c r="G268" s="55">
        <f t="array" ref="G268">migration!G13</f>
        <v>0</v>
      </c>
      <c r="H268" s="55">
        <f t="array" ref="H268">migration!H13</f>
        <v>0</v>
      </c>
      <c r="I268" s="55">
        <f t="array" ref="I268">migration!I13</f>
        <v>0</v>
      </c>
      <c r="J268" s="55">
        <f t="array" ref="J268">migration!J13</f>
        <v>0</v>
      </c>
      <c r="K268" s="55">
        <f t="array" ref="K268">migration!K13</f>
        <v>0</v>
      </c>
      <c r="L268" s="55"/>
      <c r="M268" s="1"/>
      <c r="N268" s="1"/>
      <c r="O268" s="1"/>
      <c r="P268" s="1"/>
      <c r="Q268" s="1"/>
      <c r="R268" s="1"/>
      <c r="S268" s="1"/>
      <c r="T268" s="1"/>
      <c r="U268" s="1"/>
      <c r="V268" s="1"/>
      <c r="W268" s="1"/>
      <c r="X268" s="1"/>
      <c r="Y268" s="1"/>
      <c r="Z268" s="1"/>
    </row>
    <row r="269" spans="1:26" ht="19.5" customHeight="1">
      <c r="A269" s="139" t="str">
        <f t="array" ref="A269">migration!$A14</f>
        <v>m03</v>
      </c>
      <c r="B269" s="55"/>
      <c r="C269" s="55">
        <f t="array" ref="C269">migration!C14</f>
        <v>0</v>
      </c>
      <c r="D269" s="55">
        <f t="array" ref="D269">migration!D14</f>
        <v>0</v>
      </c>
      <c r="E269" s="55">
        <f t="array" ref="E269">migration!E14</f>
        <v>0</v>
      </c>
      <c r="F269" s="55">
        <f t="array" ref="F269">migration!F14</f>
        <v>0</v>
      </c>
      <c r="G269" s="55">
        <f t="array" ref="G269">migration!G14</f>
        <v>0</v>
      </c>
      <c r="H269" s="55">
        <f t="array" ref="H269">migration!H14</f>
        <v>0</v>
      </c>
      <c r="I269" s="55">
        <f t="array" ref="I269">migration!I14</f>
        <v>0</v>
      </c>
      <c r="J269" s="55">
        <f t="array" ref="J269">migration!J14</f>
        <v>0</v>
      </c>
      <c r="K269" s="55">
        <f t="array" ref="K269">migration!K14</f>
        <v>0</v>
      </c>
      <c r="L269" s="55"/>
      <c r="M269" s="1"/>
      <c r="N269" s="1"/>
      <c r="O269" s="1"/>
      <c r="P269" s="1"/>
      <c r="Q269" s="1"/>
      <c r="R269" s="1"/>
      <c r="S269" s="1"/>
      <c r="T269" s="1"/>
      <c r="U269" s="1"/>
      <c r="V269" s="1"/>
      <c r="W269" s="1"/>
      <c r="X269" s="1"/>
      <c r="Y269" s="1"/>
      <c r="Z269" s="1"/>
    </row>
    <row r="270" spans="1:26" ht="19.5" customHeight="1">
      <c r="A270" s="139" t="str">
        <f t="array" ref="A270">migration!$A15</f>
        <v>m04</v>
      </c>
      <c r="B270" s="55"/>
      <c r="C270" s="55">
        <f t="array" ref="C270">migration!C15</f>
        <v>0</v>
      </c>
      <c r="D270" s="55">
        <f t="array" ref="D270">migration!D15</f>
        <v>0</v>
      </c>
      <c r="E270" s="55">
        <f t="array" ref="E270">migration!E15</f>
        <v>0</v>
      </c>
      <c r="F270" s="55">
        <f t="array" ref="F270">migration!F15</f>
        <v>0</v>
      </c>
      <c r="G270" s="55">
        <f t="array" ref="G270">migration!G15</f>
        <v>0</v>
      </c>
      <c r="H270" s="55">
        <f t="array" ref="H270">migration!H15</f>
        <v>0</v>
      </c>
      <c r="I270" s="55">
        <f t="array" ref="I270">migration!I15</f>
        <v>0</v>
      </c>
      <c r="J270" s="55">
        <f t="array" ref="J270">migration!J15</f>
        <v>0</v>
      </c>
      <c r="K270" s="55">
        <f t="array" ref="K270">migration!K15</f>
        <v>0</v>
      </c>
      <c r="L270" s="55"/>
      <c r="M270" s="1"/>
      <c r="N270" s="1"/>
      <c r="O270" s="1"/>
      <c r="P270" s="1"/>
      <c r="Q270" s="1"/>
      <c r="R270" s="1"/>
      <c r="S270" s="1"/>
      <c r="T270" s="1"/>
      <c r="U270" s="1"/>
      <c r="V270" s="1"/>
      <c r="W270" s="1"/>
      <c r="X270" s="1"/>
      <c r="Y270" s="1"/>
      <c r="Z270" s="1"/>
    </row>
    <row r="271" spans="1:26" ht="19.5" customHeight="1">
      <c r="A271" s="139" t="str">
        <f t="array" ref="A271">migration!$A16</f>
        <v>m05</v>
      </c>
      <c r="B271" s="55"/>
      <c r="C271" s="55">
        <f t="array" ref="C271">migration!C16</f>
        <v>15.718190087039996</v>
      </c>
      <c r="D271" s="55">
        <f t="array" ref="D271">migration!D16</f>
        <v>-4.5613295886899996</v>
      </c>
      <c r="E271" s="55">
        <f t="array" ref="E271">migration!E16</f>
        <v>-4.2308783474999991</v>
      </c>
      <c r="F271" s="55">
        <f t="array" ref="F271">migration!F16</f>
        <v>12.468202067579998</v>
      </c>
      <c r="G271" s="55">
        <f t="array" ref="G271">migration!G16</f>
        <v>12.04219595565</v>
      </c>
      <c r="H271" s="55">
        <f t="array" ref="H271">migration!H16</f>
        <v>-8.7922079361899996</v>
      </c>
      <c r="I271" s="55">
        <f t="array" ref="I271">migration!I16</f>
        <v>24.510398023229996</v>
      </c>
      <c r="J271" s="55">
        <f t="array" ref="J271">migration!J16</f>
        <v>7.9068724788899987</v>
      </c>
      <c r="K271" s="55">
        <f t="array" ref="K271">migration!K16</f>
        <v>7.8113176081500004</v>
      </c>
      <c r="L271" s="55"/>
      <c r="M271" s="1"/>
      <c r="N271" s="1"/>
      <c r="O271" s="1"/>
      <c r="P271" s="1"/>
      <c r="Q271" s="1"/>
      <c r="R271" s="1"/>
      <c r="S271" s="1"/>
      <c r="T271" s="1"/>
      <c r="U271" s="1"/>
      <c r="V271" s="1"/>
      <c r="W271" s="1"/>
      <c r="X271" s="1"/>
      <c r="Y271" s="1"/>
      <c r="Z271" s="1"/>
    </row>
    <row r="272" spans="1:26" ht="19.5" customHeight="1">
      <c r="A272" s="139" t="str">
        <f t="array" ref="A272">migration!$A17</f>
        <v>m06</v>
      </c>
      <c r="B272" s="55"/>
      <c r="C272" s="55">
        <f t="array" ref="C272">migration!C17</f>
        <v>25.651830824319998</v>
      </c>
      <c r="D272" s="55">
        <f t="array" ref="D272">migration!D17</f>
        <v>-7.4440157737699986</v>
      </c>
      <c r="E272" s="55">
        <f t="array" ref="E272">migration!E17</f>
        <v>-6.9047247174999979</v>
      </c>
      <c r="F272" s="55">
        <f t="array" ref="F272">migration!F17</f>
        <v>20.347903184139998</v>
      </c>
      <c r="G272" s="55">
        <f t="array" ref="G272">migration!G17</f>
        <v>19.65266813145</v>
      </c>
      <c r="H272" s="55">
        <f t="array" ref="H272">migration!H17</f>
        <v>-14.348740491269997</v>
      </c>
      <c r="I272" s="55">
        <f t="array" ref="I272">migration!I17</f>
        <v>40.000571315589994</v>
      </c>
      <c r="J272" s="55">
        <f t="array" ref="J272">migration!J17</f>
        <v>12.90388741037</v>
      </c>
      <c r="K272" s="55">
        <f t="array" ref="K272">migration!K17</f>
        <v>12.747943413950001</v>
      </c>
      <c r="L272" s="55"/>
      <c r="M272" s="1"/>
      <c r="N272" s="1"/>
      <c r="O272" s="1"/>
      <c r="P272" s="1"/>
      <c r="Q272" s="1"/>
      <c r="R272" s="1"/>
      <c r="S272" s="1"/>
      <c r="T272" s="1"/>
      <c r="U272" s="1"/>
      <c r="V272" s="1"/>
      <c r="W272" s="1"/>
      <c r="X272" s="1"/>
      <c r="Y272" s="1"/>
      <c r="Z272" s="1"/>
    </row>
    <row r="273" spans="1:26" ht="19.5" customHeight="1">
      <c r="A273" s="139" t="str">
        <f t="array" ref="A273">migration!$A18</f>
        <v>m07</v>
      </c>
      <c r="B273" s="55"/>
      <c r="C273" s="55">
        <f t="array" ref="C273">migration!C18</f>
        <v>41.017651699200002</v>
      </c>
      <c r="D273" s="55">
        <f t="array" ref="D273">migration!D18</f>
        <v>-11.9030898162</v>
      </c>
      <c r="E273" s="55">
        <f t="array" ref="E273">migration!E18</f>
        <v>-11.040755549999998</v>
      </c>
      <c r="F273" s="55">
        <f t="array" ref="F273">migration!F18</f>
        <v>32.536594028399996</v>
      </c>
      <c r="G273" s="55">
        <f t="array" ref="G273">migration!G18</f>
        <v>31.424903037</v>
      </c>
      <c r="H273" s="55">
        <f t="array" ref="H273">migration!H18</f>
        <v>-22.943845366199998</v>
      </c>
      <c r="I273" s="55">
        <f t="array" ref="I273">migration!I18</f>
        <v>63.961497065399996</v>
      </c>
      <c r="J273" s="55">
        <f t="array" ref="J273">migration!J18</f>
        <v>20.633504212199995</v>
      </c>
      <c r="K273" s="55">
        <f t="array" ref="K273">migration!K18</f>
        <v>20.384147487</v>
      </c>
      <c r="L273" s="55"/>
      <c r="M273" s="1"/>
      <c r="N273" s="1"/>
      <c r="O273" s="1"/>
      <c r="P273" s="1"/>
      <c r="Q273" s="1"/>
      <c r="R273" s="1"/>
      <c r="S273" s="1"/>
      <c r="T273" s="1"/>
      <c r="U273" s="1"/>
      <c r="V273" s="1"/>
      <c r="W273" s="1"/>
      <c r="X273" s="1"/>
      <c r="Y273" s="1"/>
      <c r="Z273" s="1"/>
    </row>
    <row r="274" spans="1:26" ht="19.5" customHeight="1">
      <c r="A274" s="139" t="str">
        <f t="array" ref="A274">migration!$A19</f>
        <v>m08</v>
      </c>
      <c r="B274" s="55"/>
      <c r="C274" s="55">
        <f t="array" ref="C274">migration!C19</f>
        <v>64.262878190080002</v>
      </c>
      <c r="D274" s="55">
        <f t="array" ref="D274">migration!D19</f>
        <v>-18.648722665879998</v>
      </c>
      <c r="E274" s="55">
        <f t="array" ref="E274">migration!E19</f>
        <v>-17.297692569999995</v>
      </c>
      <c r="F274" s="55">
        <f t="array" ref="F274">migration!F19</f>
        <v>50.975496942159999</v>
      </c>
      <c r="G274" s="55">
        <f t="array" ref="G274">migration!G19</f>
        <v>49.233796483799999</v>
      </c>
      <c r="H274" s="55">
        <f t="array" ref="H274">migration!H19</f>
        <v>-35.946415235879996</v>
      </c>
      <c r="I274" s="55">
        <f t="array" ref="I274">migration!I19</f>
        <v>100.20929342596</v>
      </c>
      <c r="J274" s="55">
        <f t="array" ref="J274">migration!J19</f>
        <v>32.326774276280005</v>
      </c>
      <c r="K274" s="55">
        <f t="array" ref="K274">migration!K19</f>
        <v>31.936103913800004</v>
      </c>
      <c r="L274" s="55"/>
      <c r="M274" s="1"/>
      <c r="N274" s="1"/>
      <c r="O274" s="1"/>
      <c r="P274" s="1"/>
      <c r="Q274" s="1"/>
      <c r="R274" s="1"/>
      <c r="S274" s="1"/>
      <c r="T274" s="1"/>
      <c r="U274" s="1"/>
      <c r="V274" s="1"/>
      <c r="W274" s="1"/>
      <c r="X274" s="1"/>
      <c r="Y274" s="1"/>
      <c r="Z274" s="1"/>
    </row>
    <row r="275" spans="1:26" ht="19.5" customHeight="1">
      <c r="A275" s="139" t="str">
        <f t="array" ref="A275">migration!$A20</f>
        <v>m09</v>
      </c>
      <c r="B275" s="55"/>
      <c r="C275" s="55">
        <f t="array" ref="C275">migration!C20</f>
        <v>98.647561987200021</v>
      </c>
      <c r="D275" s="55">
        <f t="array" ref="D275">migration!D20</f>
        <v>-28.626962827949999</v>
      </c>
      <c r="E275" s="55">
        <f t="array" ref="E275">migration!E20</f>
        <v>-26.553046612499994</v>
      </c>
      <c r="F275" s="55">
        <f t="array" ref="F275">migration!F20</f>
        <v>78.2505956169</v>
      </c>
      <c r="G275" s="55">
        <f t="array" ref="G275">migration!G20</f>
        <v>75.57697581075</v>
      </c>
      <c r="H275" s="55">
        <f t="array" ref="H275">migration!H20</f>
        <v>-55.180009440449993</v>
      </c>
      <c r="I275" s="55">
        <f t="array" ref="I275">migration!I20</f>
        <v>153.82757142765001</v>
      </c>
      <c r="J275" s="55">
        <f t="array" ref="J275">migration!J20</f>
        <v>49.623632788950005</v>
      </c>
      <c r="K275" s="55">
        <f t="array" ref="K275">migration!K20</f>
        <v>49.023929198250002</v>
      </c>
      <c r="L275" s="55"/>
      <c r="M275" s="1"/>
      <c r="N275" s="1"/>
      <c r="O275" s="1"/>
      <c r="P275" s="1"/>
      <c r="Q275" s="1"/>
      <c r="R275" s="1"/>
      <c r="S275" s="1"/>
      <c r="T275" s="1"/>
      <c r="U275" s="1"/>
      <c r="V275" s="1"/>
      <c r="W275" s="1"/>
      <c r="X275" s="1"/>
      <c r="Y275" s="1"/>
      <c r="Z275" s="1"/>
    </row>
    <row r="276" spans="1:26" ht="19.5" customHeight="1">
      <c r="A276" s="139" t="str">
        <f t="array" ref="A276">migration!$A21</f>
        <v>m10</v>
      </c>
      <c r="B276" s="55"/>
      <c r="C276" s="55">
        <f t="array" ref="C276">migration!C21</f>
        <v>148.37113293696001</v>
      </c>
      <c r="D276" s="55">
        <f t="array" ref="D276">migration!D21</f>
        <v>-43.056461019059995</v>
      </c>
      <c r="E276" s="55">
        <f t="array" ref="E276">migration!E21</f>
        <v>-39.937181714999994</v>
      </c>
      <c r="F276" s="55">
        <f t="array" ref="F276">migration!F21</f>
        <v>117.69302039291999</v>
      </c>
      <c r="G276" s="55">
        <f t="array" ref="G276">migration!G21</f>
        <v>113.67175527810001</v>
      </c>
      <c r="H276" s="55">
        <f t="array" ref="H276">migration!H21</f>
        <v>-82.993642734059989</v>
      </c>
      <c r="I276" s="55">
        <f t="array" ref="I276">migration!I21</f>
        <v>231.36477567102</v>
      </c>
      <c r="J276" s="55">
        <f t="array" ref="J276">migration!J21</f>
        <v>74.636559373859996</v>
      </c>
      <c r="K276" s="55">
        <f t="array" ref="K276">migration!K21</f>
        <v>73.734573563100014</v>
      </c>
      <c r="L276" s="55"/>
      <c r="M276" s="1"/>
      <c r="N276" s="1"/>
      <c r="O276" s="1"/>
      <c r="P276" s="1"/>
      <c r="Q276" s="1"/>
      <c r="R276" s="1"/>
      <c r="S276" s="1"/>
      <c r="T276" s="1"/>
      <c r="U276" s="1"/>
      <c r="V276" s="1"/>
      <c r="W276" s="1"/>
      <c r="X276" s="1"/>
      <c r="Y276" s="1"/>
      <c r="Z276" s="1"/>
    </row>
    <row r="277" spans="1:26" ht="19.5" customHeight="1">
      <c r="A277" s="139" t="str">
        <f t="array" ref="A277">migration!$A22</f>
        <v>m11</v>
      </c>
      <c r="B277" s="55"/>
      <c r="C277" s="55">
        <f t="array" ref="C277">migration!C22</f>
        <v>218.64992329344003</v>
      </c>
      <c r="D277" s="55">
        <f t="array" ref="D277">migration!D22</f>
        <v>-63.450967265339997</v>
      </c>
      <c r="E277" s="55">
        <f t="array" ref="E277">migration!E22</f>
        <v>-58.854182384999987</v>
      </c>
      <c r="F277" s="55">
        <f t="array" ref="F277">migration!F22</f>
        <v>173.44054312788001</v>
      </c>
      <c r="G277" s="55">
        <f t="array" ref="G277">migration!G22</f>
        <v>167.5145298159</v>
      </c>
      <c r="H277" s="55">
        <f t="array" ref="H277">migration!H22</f>
        <v>-122.30514965033998</v>
      </c>
      <c r="I277" s="55">
        <f t="array" ref="I277">migration!I22</f>
        <v>340.95507294378001</v>
      </c>
      <c r="J277" s="55">
        <f t="array" ref="J277">migration!J22</f>
        <v>109.98957586254001</v>
      </c>
      <c r="K277" s="55">
        <f t="array" ref="K277">migration!K22</f>
        <v>108.66034743090002</v>
      </c>
      <c r="L277" s="55"/>
      <c r="M277" s="1"/>
      <c r="N277" s="1"/>
      <c r="O277" s="1"/>
      <c r="P277" s="1"/>
      <c r="Q277" s="1"/>
      <c r="R277" s="1"/>
      <c r="S277" s="1"/>
      <c r="T277" s="1"/>
      <c r="U277" s="1"/>
      <c r="V277" s="1"/>
      <c r="W277" s="1"/>
      <c r="X277" s="1"/>
      <c r="Y277" s="1"/>
      <c r="Z277" s="1"/>
    </row>
    <row r="278" spans="1:26" ht="19.5" customHeight="1">
      <c r="A278" s="139" t="str">
        <f t="array" ref="A278">migration!$A23</f>
        <v>m12</v>
      </c>
      <c r="B278" s="55"/>
      <c r="C278" s="55">
        <f t="array" ref="C278">migration!C23</f>
        <v>315.70834525440006</v>
      </c>
      <c r="D278" s="55">
        <f t="array" ref="D278">migration!D23</f>
        <v>-91.616770673399998</v>
      </c>
      <c r="E278" s="55">
        <f t="array" ref="E278">migration!E23</f>
        <v>-84.979478849999992</v>
      </c>
      <c r="F278" s="55">
        <f t="array" ref="F278">migration!F23</f>
        <v>250.43057891879999</v>
      </c>
      <c r="G278" s="55">
        <f t="array" ref="G278">migration!G23</f>
        <v>241.87401585900002</v>
      </c>
      <c r="H278" s="55">
        <f t="array" ref="H278">migration!H23</f>
        <v>-176.59624952339999</v>
      </c>
      <c r="I278" s="55">
        <f t="array" ref="I278">migration!I23</f>
        <v>492.30459477780005</v>
      </c>
      <c r="J278" s="55">
        <f t="array" ref="J278">migration!J23</f>
        <v>158.8138082454</v>
      </c>
      <c r="K278" s="55">
        <f t="array" ref="K278">migration!K23</f>
        <v>156.89453700900003</v>
      </c>
      <c r="L278" s="55"/>
      <c r="M278" s="1"/>
      <c r="N278" s="1"/>
      <c r="O278" s="1"/>
      <c r="P278" s="1"/>
      <c r="Q278" s="1"/>
      <c r="R278" s="1"/>
      <c r="S278" s="1"/>
      <c r="T278" s="1"/>
      <c r="U278" s="1"/>
      <c r="V278" s="1"/>
      <c r="W278" s="1"/>
      <c r="X278" s="1"/>
      <c r="Y278" s="1"/>
      <c r="Z278" s="1"/>
    </row>
    <row r="279" spans="1:26" ht="19.5" customHeight="1">
      <c r="A279" s="139" t="str">
        <f t="array" ref="A279">migration!$A24</f>
        <v>m13</v>
      </c>
      <c r="B279" s="55"/>
      <c r="C279" s="55">
        <f t="array" ref="C279">migration!C24</f>
        <v>446.6421049587201</v>
      </c>
      <c r="D279" s="55">
        <f t="array" ref="D279">migration!D24</f>
        <v>-129.61300490842001</v>
      </c>
      <c r="E279" s="55">
        <f t="array" ref="E279">migration!E24</f>
        <v>-120.22302825499997</v>
      </c>
      <c r="F279" s="55">
        <f t="array" ref="F279">migration!F24</f>
        <v>354.29168280044001</v>
      </c>
      <c r="G279" s="55">
        <f t="array" ref="G279">migration!G24</f>
        <v>342.18645532170001</v>
      </c>
      <c r="H279" s="55">
        <f t="array" ref="H279">migration!H24</f>
        <v>-249.83603316341998</v>
      </c>
      <c r="I279" s="55">
        <f t="array" ref="I279">migration!I24</f>
        <v>696.47813812214008</v>
      </c>
      <c r="J279" s="55">
        <f t="array" ref="J279">migration!J24</f>
        <v>224.67867789202</v>
      </c>
      <c r="K279" s="55">
        <f t="array" ref="K279">migration!K24</f>
        <v>221.96342706670004</v>
      </c>
      <c r="L279" s="55"/>
      <c r="M279" s="1"/>
      <c r="N279" s="1"/>
      <c r="O279" s="1"/>
      <c r="P279" s="1"/>
      <c r="Q279" s="1"/>
      <c r="R279" s="1"/>
      <c r="S279" s="1"/>
      <c r="T279" s="1"/>
      <c r="U279" s="1"/>
      <c r="V279" s="1"/>
      <c r="W279" s="1"/>
      <c r="X279" s="1"/>
      <c r="Y279" s="1"/>
      <c r="Z279" s="1"/>
    </row>
    <row r="280" spans="1:26" ht="19.5" customHeight="1">
      <c r="A280" s="139" t="str">
        <f t="array" ref="A280">migration!$A25</f>
        <v>m14</v>
      </c>
      <c r="B280" s="55"/>
      <c r="C280" s="55">
        <f t="array" ref="C280">migration!C25</f>
        <v>619.11326032000011</v>
      </c>
      <c r="D280" s="55">
        <f t="array" ref="D280">migration!D25</f>
        <v>-179.66315570749998</v>
      </c>
      <c r="E280" s="55">
        <f t="array" ref="E280">migration!E25</f>
        <v>-166.64723312499996</v>
      </c>
      <c r="F280" s="55">
        <f t="array" ref="F280">migration!F25</f>
        <v>491.10165926499997</v>
      </c>
      <c r="G280" s="55">
        <f t="array" ref="G280">migration!G25</f>
        <v>474.32198988750002</v>
      </c>
      <c r="H280" s="55">
        <f t="array" ref="H280">migration!H25</f>
        <v>-346.31038883249994</v>
      </c>
      <c r="I280" s="55">
        <f t="array" ref="I280">migration!I25</f>
        <v>965.42364915250005</v>
      </c>
      <c r="J280" s="55">
        <f t="array" ref="J280">migration!J25</f>
        <v>311.43850355749998</v>
      </c>
      <c r="K280" s="55">
        <f t="array" ref="K280">migration!K25</f>
        <v>307.67475676250007</v>
      </c>
      <c r="L280" s="55"/>
      <c r="M280" s="1"/>
      <c r="N280" s="1"/>
      <c r="O280" s="1"/>
      <c r="P280" s="1"/>
      <c r="Q280" s="1"/>
      <c r="R280" s="1"/>
      <c r="S280" s="1"/>
      <c r="T280" s="1"/>
      <c r="U280" s="1"/>
      <c r="V280" s="1"/>
      <c r="W280" s="1"/>
      <c r="X280" s="1"/>
      <c r="Y280" s="1"/>
      <c r="Z280" s="1"/>
    </row>
    <row r="281" spans="1:26" ht="19.5" customHeight="1">
      <c r="A281" s="139" t="str">
        <f t="array" ref="A281">migration!$A26</f>
        <v>m15</v>
      </c>
      <c r="B281" s="55"/>
      <c r="C281" s="55">
        <f t="array" ref="C281">migration!C26</f>
        <v>840.84780690879984</v>
      </c>
      <c r="D281" s="55">
        <f t="array" ref="D281">migration!D26</f>
        <v>-244.00926315305</v>
      </c>
      <c r="E281" s="55">
        <f t="array" ref="E281">migration!E26</f>
        <v>-226.33170613749996</v>
      </c>
      <c r="F281" s="55">
        <f t="array" ref="F281">migration!F26</f>
        <v>666.98903032509998</v>
      </c>
      <c r="G281" s="55">
        <f t="array" ref="G281">migration!G26</f>
        <v>644.19974587424997</v>
      </c>
      <c r="H281" s="55">
        <f t="array" ref="H281">migration!H26</f>
        <v>-470.34096929054999</v>
      </c>
      <c r="I281" s="55">
        <f t="array" ref="I281">migration!I26</f>
        <v>1311.1887761993498</v>
      </c>
      <c r="J281" s="55">
        <f t="array" ref="J281">migration!J26</f>
        <v>422.97976717204995</v>
      </c>
      <c r="K281" s="55">
        <f t="array" ref="K281">migration!K26</f>
        <v>417.86803973675001</v>
      </c>
      <c r="L281" s="55"/>
      <c r="M281" s="1"/>
      <c r="N281" s="1"/>
      <c r="O281" s="1"/>
      <c r="P281" s="1"/>
      <c r="Q281" s="1"/>
      <c r="R281" s="1"/>
      <c r="S281" s="1"/>
      <c r="T281" s="1"/>
      <c r="U281" s="1"/>
      <c r="V281" s="1"/>
      <c r="W281" s="1"/>
      <c r="X281" s="1"/>
      <c r="Y281" s="1"/>
      <c r="Z281" s="1"/>
    </row>
    <row r="282" spans="1:26" ht="19.5" customHeight="1">
      <c r="A282" s="139" t="str">
        <f t="array" ref="A282">migration!$A27</f>
        <v>m16</v>
      </c>
      <c r="B282" s="55"/>
      <c r="C282" s="55">
        <f t="array" ref="C282">migration!C27</f>
        <v>1118.9264274681598</v>
      </c>
      <c r="D282" s="55">
        <f t="array" ref="D282">migration!D27</f>
        <v>-324.70610120600992</v>
      </c>
      <c r="E282" s="55">
        <f t="array" ref="E282">migration!E27</f>
        <v>-301.18236057749994</v>
      </c>
      <c r="F282" s="55">
        <f t="array" ref="F282">migration!F27</f>
        <v>887.57043394781988</v>
      </c>
      <c r="G282" s="55">
        <f t="array" ref="G282">migration!G27</f>
        <v>857.24445530384992</v>
      </c>
      <c r="H282" s="55">
        <f t="array" ref="H282">migration!H27</f>
        <v>-625.88846178350991</v>
      </c>
      <c r="I282" s="55">
        <f t="array" ref="I282">migration!I27</f>
        <v>1744.8148892516697</v>
      </c>
      <c r="J282" s="55">
        <f t="array" ref="J282">migration!J27</f>
        <v>562.8643327418099</v>
      </c>
      <c r="K282" s="55">
        <f t="array" ref="K282">migration!K27</f>
        <v>556.06209472634998</v>
      </c>
      <c r="L282" s="55"/>
      <c r="M282" s="1"/>
      <c r="N282" s="1"/>
      <c r="O282" s="1"/>
      <c r="P282" s="1"/>
      <c r="Q282" s="1"/>
      <c r="R282" s="1"/>
      <c r="S282" s="1"/>
      <c r="T282" s="1"/>
      <c r="U282" s="1"/>
      <c r="V282" s="1"/>
      <c r="W282" s="1"/>
      <c r="X282" s="1"/>
      <c r="Y282" s="1"/>
      <c r="Z282" s="1"/>
    </row>
    <row r="283" spans="1:26" ht="19.5" customHeight="1">
      <c r="A283" s="139" t="str">
        <f t="array" ref="A283">migration!$A28</f>
        <v>m17</v>
      </c>
      <c r="B283" s="55"/>
      <c r="C283" s="55">
        <f t="array" ref="C283">migration!C28</f>
        <v>1458.8898940640001</v>
      </c>
      <c r="D283" s="55">
        <f t="array" ref="D283">migration!D28</f>
        <v>-423.36157048524996</v>
      </c>
      <c r="E283" s="55">
        <f t="array" ref="E283">migration!E28</f>
        <v>-392.69061068749994</v>
      </c>
      <c r="F283" s="55">
        <f t="array" ref="F283">migration!F28</f>
        <v>1157.2409986655</v>
      </c>
      <c r="G283" s="55">
        <f t="array" ref="G283">migration!G28</f>
        <v>1117.70107657125</v>
      </c>
      <c r="H283" s="55">
        <f t="array" ref="H283">migration!H28</f>
        <v>-816.0521811727499</v>
      </c>
      <c r="I283" s="55">
        <f t="array" ref="I283">migration!I28</f>
        <v>2274.94207523675</v>
      </c>
      <c r="J283" s="55">
        <f t="array" ref="J283">migration!J28</f>
        <v>733.87942818024999</v>
      </c>
      <c r="K283" s="55">
        <f t="array" ref="K283">migration!K28</f>
        <v>725.01046588375016</v>
      </c>
      <c r="L283" s="55"/>
      <c r="M283" s="1"/>
      <c r="N283" s="1"/>
      <c r="O283" s="1"/>
      <c r="P283" s="1"/>
      <c r="Q283" s="1"/>
      <c r="R283" s="1"/>
      <c r="S283" s="1"/>
      <c r="T283" s="1"/>
      <c r="U283" s="1"/>
      <c r="V283" s="1"/>
      <c r="W283" s="1"/>
      <c r="X283" s="1"/>
      <c r="Y283" s="1"/>
      <c r="Z283" s="1"/>
    </row>
    <row r="284" spans="1:26" ht="19.5" customHeight="1">
      <c r="A284" s="139" t="str">
        <f t="array" ref="A284">migration!$A29</f>
        <v>m18</v>
      </c>
      <c r="B284" s="55"/>
      <c r="C284" s="55">
        <f t="array" ref="C284">migration!C29</f>
        <v>1863.7186366918402</v>
      </c>
      <c r="D284" s="55">
        <f t="array" ref="D284">migration!D29</f>
        <v>-540.84057486648999</v>
      </c>
      <c r="E284" s="55">
        <f t="array" ref="E284">migration!E29</f>
        <v>-501.65870129749993</v>
      </c>
      <c r="F284" s="55">
        <f t="array" ref="F284">migration!F29</f>
        <v>1478.3649027471799</v>
      </c>
      <c r="G284" s="55">
        <f t="array" ref="G284">migration!G29</f>
        <v>1427.8530101086501</v>
      </c>
      <c r="H284" s="55">
        <f t="array" ref="H284">migration!H29</f>
        <v>-1042.4992761639899</v>
      </c>
      <c r="I284" s="55">
        <f t="array" ref="I284">migration!I29</f>
        <v>2906.21791285583</v>
      </c>
      <c r="J284" s="55">
        <f t="array" ref="J284">migration!J29</f>
        <v>937.52432788068995</v>
      </c>
      <c r="K284" s="55">
        <f t="array" ref="K284">migration!K29</f>
        <v>926.19430881115022</v>
      </c>
      <c r="L284" s="55"/>
      <c r="M284" s="1"/>
      <c r="N284" s="1"/>
      <c r="O284" s="1"/>
      <c r="P284" s="1"/>
      <c r="Q284" s="1"/>
      <c r="R284" s="1"/>
      <c r="S284" s="1"/>
      <c r="T284" s="1"/>
      <c r="U284" s="1"/>
      <c r="V284" s="1"/>
      <c r="W284" s="1"/>
      <c r="X284" s="1"/>
      <c r="Y284" s="1"/>
      <c r="Z284" s="1"/>
    </row>
    <row r="285" spans="1:26" ht="19.5" customHeight="1">
      <c r="A285" s="139" t="str">
        <f t="array" ref="A285">migration!$A30</f>
        <v>m19</v>
      </c>
      <c r="B285" s="55"/>
      <c r="C285" s="55">
        <f t="array" ref="C285">migration!C30</f>
        <v>2332.78668892736</v>
      </c>
      <c r="D285" s="55">
        <f t="array" ref="D285">migration!D30</f>
        <v>-676.96146244470992</v>
      </c>
      <c r="E285" s="55">
        <f t="array" ref="E285">migration!E30</f>
        <v>-627.91814050249991</v>
      </c>
      <c r="F285" s="55">
        <f t="array" ref="F285">migration!F30</f>
        <v>1850.44560837122</v>
      </c>
      <c r="G285" s="55">
        <f t="array" ref="G285">migration!G30</f>
        <v>1787.2206835033501</v>
      </c>
      <c r="H285" s="55">
        <f t="array" ref="H285">migration!H30</f>
        <v>-1304.8796029472098</v>
      </c>
      <c r="I285" s="55">
        <f t="array" ref="I285">migration!I30</f>
        <v>3637.6662918745701</v>
      </c>
      <c r="J285" s="55">
        <f t="array" ref="J285">migration!J30</f>
        <v>1173.4841459265101</v>
      </c>
      <c r="K285" s="55">
        <f t="array" ref="K285">migration!K30</f>
        <v>1159.3025430008502</v>
      </c>
      <c r="L285" s="55"/>
      <c r="M285" s="1"/>
      <c r="N285" s="1"/>
      <c r="O285" s="1"/>
      <c r="P285" s="1"/>
      <c r="Q285" s="1"/>
      <c r="R285" s="1"/>
      <c r="S285" s="1"/>
      <c r="T285" s="1"/>
      <c r="U285" s="1"/>
      <c r="V285" s="1"/>
      <c r="W285" s="1"/>
      <c r="X285" s="1"/>
      <c r="Y285" s="1"/>
      <c r="Z285" s="1"/>
    </row>
    <row r="286" spans="1:26" ht="19.5" customHeight="1">
      <c r="A286" s="139" t="str">
        <f t="array" ref="A286">migration!$A31</f>
        <v>m20</v>
      </c>
      <c r="B286" s="55"/>
      <c r="C286" s="55">
        <f t="array" ref="C286">migration!C31</f>
        <v>2860.9255488748804</v>
      </c>
      <c r="D286" s="55">
        <f t="array" ref="D286">migration!D31</f>
        <v>-830.22436329242998</v>
      </c>
      <c r="E286" s="55">
        <f t="array" ref="E286">migration!E31</f>
        <v>-770.0777183324999</v>
      </c>
      <c r="F286" s="55">
        <f t="array" ref="F286">migration!F31</f>
        <v>2269.3832843442601</v>
      </c>
      <c r="G286" s="55">
        <f t="array" ref="G286">migration!G31</f>
        <v>2191.8443461555503</v>
      </c>
      <c r="H286" s="55">
        <f t="array" ref="H286">migration!H31</f>
        <v>-1600.30208162493</v>
      </c>
      <c r="I286" s="55">
        <f t="array" ref="I286">migration!I31</f>
        <v>4461.2276304998104</v>
      </c>
      <c r="J286" s="55">
        <f t="array" ref="J286">migration!J31</f>
        <v>1439.15892105183</v>
      </c>
      <c r="K286" s="55">
        <f t="array" ref="K286">migration!K31</f>
        <v>1421.7666278230504</v>
      </c>
      <c r="L286" s="55"/>
      <c r="M286" s="1"/>
      <c r="N286" s="1"/>
      <c r="O286" s="1"/>
      <c r="P286" s="1"/>
      <c r="Q286" s="1"/>
      <c r="R286" s="1"/>
      <c r="S286" s="1"/>
      <c r="T286" s="1"/>
      <c r="U286" s="1"/>
      <c r="V286" s="1"/>
      <c r="W286" s="1"/>
      <c r="X286" s="1"/>
      <c r="Y286" s="1"/>
      <c r="Z286" s="1"/>
    </row>
    <row r="287" spans="1:26" ht="19.5" customHeight="1">
      <c r="A287" s="139" t="str">
        <f t="array" ref="A287">migration!$A32</f>
        <v>m21</v>
      </c>
      <c r="B287" s="55"/>
      <c r="C287" s="55">
        <f t="array" ref="C287">migration!C32</f>
        <v>3437.7550582905596</v>
      </c>
      <c r="D287" s="55">
        <f t="array" ref="D287">migration!D32</f>
        <v>-997.61701437740987</v>
      </c>
      <c r="E287" s="55">
        <f t="array" ref="E287">migration!E32</f>
        <v>-925.34339892749983</v>
      </c>
      <c r="F287" s="55">
        <f t="array" ref="F287">migration!F32</f>
        <v>2726.94403670262</v>
      </c>
      <c r="G287" s="55">
        <f t="array" ref="G287">migration!G32</f>
        <v>2633.7714348928498</v>
      </c>
      <c r="H287" s="55">
        <f t="array" ref="H287">migration!H32</f>
        <v>-1922.9604133049097</v>
      </c>
      <c r="I287" s="55">
        <f t="array" ref="I287">migration!I32</f>
        <v>5360.7154715954694</v>
      </c>
      <c r="J287" s="55">
        <f t="array" ref="J287">migration!J32</f>
        <v>1729.3270223252102</v>
      </c>
      <c r="K287" s="55">
        <f t="array" ref="K287">migration!K32</f>
        <v>1708.4280359653499</v>
      </c>
      <c r="L287" s="55"/>
      <c r="M287" s="1"/>
      <c r="N287" s="1"/>
      <c r="O287" s="1"/>
      <c r="P287" s="1"/>
      <c r="Q287" s="1"/>
      <c r="R287" s="1"/>
      <c r="S287" s="1"/>
      <c r="T287" s="1"/>
      <c r="U287" s="1"/>
      <c r="V287" s="1"/>
      <c r="W287" s="1"/>
      <c r="X287" s="1"/>
      <c r="Y287" s="1"/>
      <c r="Z287" s="1"/>
    </row>
    <row r="288" spans="1:26" ht="19.5" customHeight="1">
      <c r="A288" s="139" t="str">
        <f t="array" ref="A288">migration!$A33</f>
        <v>m22</v>
      </c>
      <c r="B288" s="55"/>
      <c r="C288" s="55">
        <f t="array" ref="C288">migration!C33</f>
        <v>4047.4375079071997</v>
      </c>
      <c r="D288" s="55">
        <f t="array" ref="D288">migration!D33</f>
        <v>-1174.5434023229498</v>
      </c>
      <c r="E288" s="55">
        <f t="array" ref="E288">migration!E33</f>
        <v>-1089.4521328624996</v>
      </c>
      <c r="F288" s="55">
        <f t="array" ref="F288">migration!F33</f>
        <v>3210.5648567068997</v>
      </c>
      <c r="G288" s="55">
        <f t="array" ref="G288">migration!G33</f>
        <v>3100.8681863857501</v>
      </c>
      <c r="H288" s="55">
        <f t="array" ref="H288">migration!H33</f>
        <v>-2263.9955351854496</v>
      </c>
      <c r="I288" s="55">
        <f t="array" ref="I288">migration!I33</f>
        <v>6311.4330430926493</v>
      </c>
      <c r="J288" s="55">
        <f t="array" ref="J288">migration!J33</f>
        <v>2036.02145438395</v>
      </c>
      <c r="K288" s="55">
        <f t="array" ref="K288">migration!K33</f>
        <v>2011.4160535232504</v>
      </c>
      <c r="L288" s="55"/>
      <c r="M288" s="1"/>
      <c r="N288" s="1"/>
      <c r="O288" s="1"/>
      <c r="P288" s="1"/>
      <c r="Q288" s="1"/>
      <c r="R288" s="1"/>
      <c r="S288" s="1"/>
      <c r="T288" s="1"/>
      <c r="U288" s="1"/>
      <c r="V288" s="1"/>
      <c r="W288" s="1"/>
      <c r="X288" s="1"/>
      <c r="Y288" s="1"/>
      <c r="Z288" s="1"/>
    </row>
    <row r="289" spans="1:26" ht="19.5" customHeight="1">
      <c r="A289" s="139" t="str">
        <f t="array" ref="A289">migration!$A34</f>
        <v>m23</v>
      </c>
      <c r="B289" s="55"/>
      <c r="C289" s="55">
        <f t="array" ref="C289">migration!C34</f>
        <v>4668.98222670208</v>
      </c>
      <c r="D289" s="55">
        <f t="array" ref="D289">migration!D34</f>
        <v>-1354.9121534853798</v>
      </c>
      <c r="E289" s="55">
        <f t="array" ref="E289">migration!E34</f>
        <v>-1256.7538436949997</v>
      </c>
      <c r="F289" s="55">
        <f t="array" ref="F289">migration!F34</f>
        <v>3703.5952313911598</v>
      </c>
      <c r="G289" s="55">
        <f t="array" ref="G289">migration!G34</f>
        <v>3577.0529924912998</v>
      </c>
      <c r="H289" s="55">
        <f t="array" ref="H289">migration!H34</f>
        <v>-2611.6659971803792</v>
      </c>
      <c r="I289" s="55">
        <f t="array" ref="I289">migration!I34</f>
        <v>7280.6482238824592</v>
      </c>
      <c r="J289" s="55">
        <f t="array" ref="J289">migration!J34</f>
        <v>2348.68307790578</v>
      </c>
      <c r="K289" s="55">
        <f t="array" ref="K289">migration!K34</f>
        <v>2320.2991487963</v>
      </c>
      <c r="L289" s="55"/>
      <c r="M289" s="1"/>
      <c r="N289" s="1"/>
      <c r="O289" s="1"/>
      <c r="P289" s="1"/>
      <c r="Q289" s="1"/>
      <c r="R289" s="1"/>
      <c r="S289" s="1"/>
      <c r="T289" s="1"/>
      <c r="U289" s="1"/>
      <c r="V289" s="1"/>
      <c r="W289" s="1"/>
      <c r="X289" s="1"/>
      <c r="Y289" s="1"/>
      <c r="Z289" s="1"/>
    </row>
    <row r="290" spans="1:26" ht="19.5" customHeight="1">
      <c r="A290" s="139" t="str">
        <f t="array" ref="A290">migration!$A35</f>
        <v>m24</v>
      </c>
      <c r="B290" s="55"/>
      <c r="C290" s="55">
        <f t="array" ref="C290">migration!C35</f>
        <v>5277.1706298508798</v>
      </c>
      <c r="D290" s="55">
        <f t="array" ref="D290">migration!D35</f>
        <v>-1531.40497762218</v>
      </c>
      <c r="E290" s="55">
        <f t="array" ref="E290">migration!E35</f>
        <v>-1420.4604238949998</v>
      </c>
      <c r="F290" s="55">
        <f t="array" ref="F290">migration!F35</f>
        <v>4186.0309230087596</v>
      </c>
      <c r="G290" s="55">
        <f t="array" ref="G290">migration!G35</f>
        <v>4043.0051083593003</v>
      </c>
      <c r="H290" s="55">
        <f t="array" ref="H290">migration!H35</f>
        <v>-2951.8654015171796</v>
      </c>
      <c r="I290" s="55">
        <f t="array" ref="I290">migration!I35</f>
        <v>8229.0360313680594</v>
      </c>
      <c r="J290" s="55">
        <f t="array" ref="J290">migration!J35</f>
        <v>2654.6259453865796</v>
      </c>
      <c r="K290" s="55">
        <f t="array" ref="K290">migration!K35</f>
        <v>2622.5446844643002</v>
      </c>
      <c r="L290" s="55"/>
      <c r="M290" s="1"/>
      <c r="N290" s="1"/>
      <c r="O290" s="1"/>
      <c r="P290" s="1"/>
      <c r="Q290" s="1"/>
      <c r="R290" s="1"/>
      <c r="S290" s="1"/>
      <c r="T290" s="1"/>
      <c r="U290" s="1"/>
      <c r="V290" s="1"/>
      <c r="W290" s="1"/>
      <c r="X290" s="1"/>
      <c r="Y290" s="1"/>
      <c r="Z290" s="1"/>
    </row>
    <row r="291" spans="1:26" ht="19.5" customHeight="1">
      <c r="A291" s="139" t="str">
        <f t="array" ref="A291">migration!$A36</f>
        <v>m25</v>
      </c>
      <c r="B291" s="55"/>
      <c r="C291" s="55">
        <f t="array" ref="C291">migration!C36</f>
        <v>5844.0900671116788</v>
      </c>
      <c r="D291" s="55">
        <f t="array" ref="D291">migration!D36</f>
        <v>-1695.9217819909798</v>
      </c>
      <c r="E291" s="55">
        <f t="array" ref="E291">migration!E36</f>
        <v>-1573.0586020949995</v>
      </c>
      <c r="F291" s="55">
        <f t="array" ref="F291">migration!F36</f>
        <v>4635.7306696503592</v>
      </c>
      <c r="G291" s="55">
        <f t="array" ref="G291">migration!G36</f>
        <v>4477.3397815472999</v>
      </c>
      <c r="H291" s="55">
        <f t="array" ref="H291">migration!H36</f>
        <v>-3268.9803840859795</v>
      </c>
      <c r="I291" s="55">
        <f t="array" ref="I291">migration!I36</f>
        <v>9113.0704511976583</v>
      </c>
      <c r="J291" s="55">
        <f t="array" ref="J291">migration!J36</f>
        <v>2939.8088876593793</v>
      </c>
      <c r="K291" s="55">
        <f t="array" ref="K291">migration!K36</f>
        <v>2904.2811794523004</v>
      </c>
      <c r="L291" s="55"/>
      <c r="M291" s="1"/>
      <c r="N291" s="1"/>
      <c r="O291" s="1"/>
      <c r="P291" s="1"/>
      <c r="Q291" s="1"/>
      <c r="R291" s="1"/>
      <c r="S291" s="1"/>
      <c r="T291" s="1"/>
      <c r="U291" s="1"/>
      <c r="V291" s="1"/>
      <c r="W291" s="1"/>
      <c r="X291" s="1"/>
      <c r="Y291" s="1"/>
      <c r="Z291" s="1"/>
    </row>
    <row r="292" spans="1:26" ht="19.5" customHeight="1">
      <c r="A292" s="139" t="str">
        <f t="array" ref="A292">migration!$A37</f>
        <v>m26</v>
      </c>
      <c r="B292" s="55"/>
      <c r="C292" s="55">
        <f t="array" ref="C292">migration!C37</f>
        <v>6341.1716733702415</v>
      </c>
      <c r="D292" s="55">
        <f t="array" ref="D292">migration!D37</f>
        <v>-1840.1720440163899</v>
      </c>
      <c r="E292" s="55">
        <f t="array" ref="E292">migration!E37</f>
        <v>-1706.8584730224998</v>
      </c>
      <c r="F292" s="55">
        <f t="array" ref="F292">migration!F37</f>
        <v>5030.03267748898</v>
      </c>
      <c r="G292" s="55">
        <f t="array" ref="G292">migration!G37</f>
        <v>4858.1695129201498</v>
      </c>
      <c r="H292" s="55">
        <f t="array" ref="H292">migration!H37</f>
        <v>-3547.0305170388897</v>
      </c>
      <c r="I292" s="55">
        <f t="array" ref="I292">migration!I37</f>
        <v>9888.2021904091307</v>
      </c>
      <c r="J292" s="55">
        <f t="array" ref="J292">migration!J37</f>
        <v>3189.8606334725901</v>
      </c>
      <c r="K292" s="55">
        <f t="array" ref="K292">migration!K37</f>
        <v>3151.3110398976501</v>
      </c>
      <c r="L292" s="55"/>
      <c r="M292" s="1"/>
      <c r="N292" s="1"/>
      <c r="O292" s="1"/>
      <c r="P292" s="1"/>
      <c r="Q292" s="1"/>
      <c r="R292" s="1"/>
      <c r="S292" s="1"/>
      <c r="T292" s="1"/>
      <c r="U292" s="1"/>
      <c r="V292" s="1"/>
      <c r="W292" s="1"/>
      <c r="X292" s="1"/>
      <c r="Y292" s="1"/>
      <c r="Z292" s="1"/>
    </row>
    <row r="293" spans="1:26" ht="19.5" customHeight="1">
      <c r="A293" s="139" t="str">
        <f t="array" ref="A293">migration!$A38</f>
        <v>m27</v>
      </c>
      <c r="B293" s="55"/>
      <c r="C293" s="55">
        <f t="array" ref="C293">migration!C38</f>
        <v>6741.5377238259198</v>
      </c>
      <c r="D293" s="55">
        <f t="array" ref="D293">migration!D38</f>
        <v>-1956.3560004476199</v>
      </c>
      <c r="E293" s="55">
        <f t="array" ref="E293">migration!E38</f>
        <v>-1814.6253370549996</v>
      </c>
      <c r="F293" s="55">
        <f t="array" ref="F293">migration!F38</f>
        <v>5347.6166226148398</v>
      </c>
      <c r="G293" s="55">
        <f t="array" ref="G293">migration!G38</f>
        <v>5164.9024387136997</v>
      </c>
      <c r="H293" s="55">
        <f t="array" ref="H293">migration!H38</f>
        <v>-3770.9813375026197</v>
      </c>
      <c r="I293" s="55">
        <f t="array" ref="I293">migration!I38</f>
        <v>10512.519061328539</v>
      </c>
      <c r="J293" s="55">
        <f t="array" ref="J293">migration!J38</f>
        <v>3391.2606221672199</v>
      </c>
      <c r="K293" s="55">
        <f t="array" ref="K293">migration!K38</f>
        <v>3350.2771016587003</v>
      </c>
      <c r="L293" s="55"/>
      <c r="M293" s="1"/>
      <c r="N293" s="1"/>
      <c r="O293" s="1"/>
      <c r="P293" s="1"/>
      <c r="Q293" s="1"/>
      <c r="R293" s="1"/>
      <c r="S293" s="1"/>
      <c r="T293" s="1"/>
      <c r="U293" s="1"/>
      <c r="V293" s="1"/>
      <c r="W293" s="1"/>
      <c r="X293" s="1"/>
      <c r="Y293" s="1"/>
      <c r="Z293" s="1"/>
    </row>
    <row r="294" spans="1:26" ht="19.5" customHeight="1">
      <c r="A294" s="139" t="str">
        <f t="array" ref="A294">migration!$A39</f>
        <v>m28</v>
      </c>
      <c r="B294" s="55"/>
      <c r="C294" s="55">
        <f t="array" ref="C294">migration!C39</f>
        <v>7022.3953197171213</v>
      </c>
      <c r="D294" s="55">
        <f t="array" ref="D294">migration!D39</f>
        <v>-2037.8592813758198</v>
      </c>
      <c r="E294" s="55">
        <f t="array" ref="E294">migration!E39</f>
        <v>-1890.2240106049996</v>
      </c>
      <c r="F294" s="55">
        <f t="array" ref="F294">migration!F39</f>
        <v>5570.4024038272401</v>
      </c>
      <c r="G294" s="55">
        <f t="array" ref="G294">migration!G39</f>
        <v>5380.0762078707003</v>
      </c>
      <c r="H294" s="55">
        <f t="array" ref="H294">migration!H39</f>
        <v>-3928.0832919808195</v>
      </c>
      <c r="I294" s="55">
        <f t="array" ref="I294">migration!I39</f>
        <v>10950.478611697941</v>
      </c>
      <c r="J294" s="55">
        <f t="array" ref="J294">migration!J39</f>
        <v>3532.5431224514205</v>
      </c>
      <c r="K294" s="55">
        <f t="array" ref="K294">migration!K39</f>
        <v>3489.8521972657009</v>
      </c>
      <c r="L294" s="55"/>
      <c r="M294" s="1"/>
      <c r="N294" s="1"/>
      <c r="O294" s="1"/>
      <c r="P294" s="1"/>
      <c r="Q294" s="1"/>
      <c r="R294" s="1"/>
      <c r="S294" s="1"/>
      <c r="T294" s="1"/>
      <c r="U294" s="1"/>
      <c r="V294" s="1"/>
      <c r="W294" s="1"/>
      <c r="X294" s="1"/>
      <c r="Y294" s="1"/>
      <c r="Z294" s="1"/>
    </row>
    <row r="295" spans="1:26" ht="19.5" customHeight="1">
      <c r="A295" s="139" t="str">
        <f t="array" ref="A295">migration!$A40</f>
        <v>m29</v>
      </c>
      <c r="B295" s="55"/>
      <c r="C295" s="55">
        <f t="array" ref="C295">migration!C40</f>
        <v>7167.1819107379206</v>
      </c>
      <c r="D295" s="55">
        <f t="array" ref="D295">migration!D40</f>
        <v>-2079.8755286671199</v>
      </c>
      <c r="E295" s="55">
        <f t="array" ref="E295">migration!E40</f>
        <v>-1929.1963381799994</v>
      </c>
      <c r="F295" s="55">
        <f t="array" ref="F295">migration!F40</f>
        <v>5685.2520438638394</v>
      </c>
      <c r="G295" s="55">
        <f t="array" ref="G295">migration!G40</f>
        <v>5491.0017337211993</v>
      </c>
      <c r="H295" s="55">
        <f t="array" ref="H295">migration!H40</f>
        <v>-4009.0718668471191</v>
      </c>
      <c r="I295" s="55">
        <f t="array" ref="I295">migration!I40</f>
        <v>11176.25377758504</v>
      </c>
      <c r="J295" s="55">
        <f t="array" ref="J295">migration!J40</f>
        <v>3605.3765151967195</v>
      </c>
      <c r="K295" s="55">
        <f t="array" ref="K295">migration!K40</f>
        <v>3561.8053955411997</v>
      </c>
      <c r="L295" s="55"/>
      <c r="M295" s="1"/>
      <c r="N295" s="1"/>
      <c r="O295" s="1"/>
      <c r="P295" s="1"/>
      <c r="Q295" s="1"/>
      <c r="R295" s="1"/>
      <c r="S295" s="1"/>
      <c r="T295" s="1"/>
      <c r="U295" s="1"/>
      <c r="V295" s="1"/>
      <c r="W295" s="1"/>
      <c r="X295" s="1"/>
      <c r="Y295" s="1"/>
      <c r="Z295" s="1"/>
    </row>
    <row r="296" spans="1:26" ht="19.5" customHeight="1">
      <c r="A296" s="139" t="str">
        <f t="array" ref="A296">migration!$A41</f>
        <v>m30</v>
      </c>
      <c r="B296" s="55"/>
      <c r="C296" s="55">
        <f t="array" ref="C296">migration!C41</f>
        <v>7167.1819107379206</v>
      </c>
      <c r="D296" s="55">
        <f t="array" ref="D296">migration!D41</f>
        <v>-2079.8755286671199</v>
      </c>
      <c r="E296" s="55">
        <f t="array" ref="E296">migration!E41</f>
        <v>-1929.1963381799994</v>
      </c>
      <c r="F296" s="55">
        <f t="array" ref="F296">migration!F41</f>
        <v>5685.2520438638394</v>
      </c>
      <c r="G296" s="55">
        <f t="array" ref="G296">migration!G41</f>
        <v>5491.0017337211993</v>
      </c>
      <c r="H296" s="55">
        <f t="array" ref="H296">migration!H41</f>
        <v>-4009.0718668471191</v>
      </c>
      <c r="I296" s="55">
        <f t="array" ref="I296">migration!I41</f>
        <v>11176.25377758504</v>
      </c>
      <c r="J296" s="55">
        <f t="array" ref="J296">migration!J41</f>
        <v>3605.3765151967195</v>
      </c>
      <c r="K296" s="55">
        <f t="array" ref="K296">migration!K41</f>
        <v>3561.8053955411997</v>
      </c>
      <c r="L296" s="55"/>
      <c r="M296" s="1"/>
      <c r="N296" s="1"/>
      <c r="O296" s="1"/>
      <c r="P296" s="1"/>
      <c r="Q296" s="1"/>
      <c r="R296" s="1"/>
      <c r="S296" s="1"/>
      <c r="T296" s="1"/>
      <c r="U296" s="1"/>
      <c r="V296" s="1"/>
      <c r="W296" s="1"/>
      <c r="X296" s="1"/>
      <c r="Y296" s="1"/>
      <c r="Z296" s="1"/>
    </row>
    <row r="297" spans="1:26" ht="19.5" customHeight="1">
      <c r="A297" s="139" t="str">
        <f t="array" ref="A297">migration!$A42</f>
        <v>m31</v>
      </c>
      <c r="B297" s="55"/>
      <c r="C297" s="55">
        <f t="array" ref="C297">migration!C42</f>
        <v>7022.3953197171213</v>
      </c>
      <c r="D297" s="55">
        <f t="array" ref="D297">migration!D42</f>
        <v>-2037.8592813758198</v>
      </c>
      <c r="E297" s="55">
        <f t="array" ref="E297">migration!E42</f>
        <v>-1890.2240106049996</v>
      </c>
      <c r="F297" s="55">
        <f t="array" ref="F297">migration!F42</f>
        <v>5570.4024038272401</v>
      </c>
      <c r="G297" s="55">
        <f t="array" ref="G297">migration!G42</f>
        <v>5380.0762078707003</v>
      </c>
      <c r="H297" s="55">
        <f t="array" ref="H297">migration!H42</f>
        <v>-3928.0832919808195</v>
      </c>
      <c r="I297" s="55">
        <f t="array" ref="I297">migration!I42</f>
        <v>10950.478611697941</v>
      </c>
      <c r="J297" s="55">
        <f t="array" ref="J297">migration!J42</f>
        <v>3532.5431224514205</v>
      </c>
      <c r="K297" s="55">
        <f t="array" ref="K297">migration!K42</f>
        <v>3489.8521972657009</v>
      </c>
      <c r="L297" s="55"/>
      <c r="M297" s="1"/>
      <c r="N297" s="1"/>
      <c r="O297" s="1"/>
      <c r="P297" s="1"/>
      <c r="Q297" s="1"/>
      <c r="R297" s="1"/>
      <c r="S297" s="1"/>
      <c r="T297" s="1"/>
      <c r="U297" s="1"/>
      <c r="V297" s="1"/>
      <c r="W297" s="1"/>
      <c r="X297" s="1"/>
      <c r="Y297" s="1"/>
      <c r="Z297" s="1"/>
    </row>
    <row r="298" spans="1:26" ht="19.5" customHeight="1">
      <c r="A298" s="139" t="str">
        <f t="array" ref="A298">migration!$A43</f>
        <v>m32</v>
      </c>
      <c r="B298" s="55"/>
      <c r="C298" s="55">
        <f t="array" ref="C298">migration!C43</f>
        <v>6741.5377238259198</v>
      </c>
      <c r="D298" s="55">
        <f t="array" ref="D298">migration!D43</f>
        <v>-1956.3560004476199</v>
      </c>
      <c r="E298" s="55">
        <f t="array" ref="E298">migration!E43</f>
        <v>-1814.6253370549996</v>
      </c>
      <c r="F298" s="55">
        <f t="array" ref="F298">migration!F43</f>
        <v>5347.6166226148398</v>
      </c>
      <c r="G298" s="55">
        <f t="array" ref="G298">migration!G43</f>
        <v>5164.9024387136997</v>
      </c>
      <c r="H298" s="55">
        <f t="array" ref="H298">migration!H43</f>
        <v>-3770.9813375026197</v>
      </c>
      <c r="I298" s="55">
        <f t="array" ref="I298">migration!I43</f>
        <v>10512.519061328539</v>
      </c>
      <c r="J298" s="55">
        <f t="array" ref="J298">migration!J43</f>
        <v>3391.2606221672199</v>
      </c>
      <c r="K298" s="55">
        <f t="array" ref="K298">migration!K43</f>
        <v>3350.2771016587003</v>
      </c>
      <c r="L298" s="55"/>
      <c r="M298" s="1"/>
      <c r="N298" s="1"/>
      <c r="O298" s="1"/>
      <c r="P298" s="1"/>
      <c r="Q298" s="1"/>
      <c r="R298" s="1"/>
      <c r="S298" s="1"/>
      <c r="T298" s="1"/>
      <c r="U298" s="1"/>
      <c r="V298" s="1"/>
      <c r="W298" s="1"/>
      <c r="X298" s="1"/>
      <c r="Y298" s="1"/>
      <c r="Z298" s="1"/>
    </row>
    <row r="299" spans="1:26" ht="19.5" customHeight="1">
      <c r="A299" s="139" t="str">
        <f t="array" ref="A299">migration!$A44</f>
        <v>m33</v>
      </c>
      <c r="B299" s="55"/>
      <c r="C299" s="55">
        <f t="array" ref="C299">migration!C44</f>
        <v>6341.1716733702415</v>
      </c>
      <c r="D299" s="55">
        <f t="array" ref="D299">migration!D44</f>
        <v>-1840.1720440163899</v>
      </c>
      <c r="E299" s="55">
        <f t="array" ref="E299">migration!E44</f>
        <v>-1706.8584730224998</v>
      </c>
      <c r="F299" s="55">
        <f t="array" ref="F299">migration!F44</f>
        <v>5030.03267748898</v>
      </c>
      <c r="G299" s="55">
        <f t="array" ref="G299">migration!G44</f>
        <v>4858.1695129201498</v>
      </c>
      <c r="H299" s="55">
        <f t="array" ref="H299">migration!H44</f>
        <v>-3547.0305170388897</v>
      </c>
      <c r="I299" s="55">
        <f t="array" ref="I299">migration!I44</f>
        <v>9888.2021904091307</v>
      </c>
      <c r="J299" s="55">
        <f t="array" ref="J299">migration!J44</f>
        <v>3189.8606334725901</v>
      </c>
      <c r="K299" s="55">
        <f t="array" ref="K299">migration!K44</f>
        <v>3151.3110398976501</v>
      </c>
      <c r="L299" s="55"/>
      <c r="M299" s="1"/>
      <c r="N299" s="1"/>
      <c r="O299" s="1"/>
      <c r="P299" s="1"/>
      <c r="Q299" s="1"/>
      <c r="R299" s="1"/>
      <c r="S299" s="1"/>
      <c r="T299" s="1"/>
      <c r="U299" s="1"/>
      <c r="V299" s="1"/>
      <c r="W299" s="1"/>
      <c r="X299" s="1"/>
      <c r="Y299" s="1"/>
      <c r="Z299" s="1"/>
    </row>
    <row r="300" spans="1:26" ht="19.5" customHeight="1">
      <c r="A300" s="139" t="str">
        <f t="array" ref="A300">migration!$A45</f>
        <v>m34</v>
      </c>
      <c r="B300" s="55"/>
      <c r="C300" s="55">
        <f t="array" ref="C300">migration!C45</f>
        <v>5844.0900671116788</v>
      </c>
      <c r="D300" s="55">
        <f t="array" ref="D300">migration!D45</f>
        <v>-1695.9217819909798</v>
      </c>
      <c r="E300" s="55">
        <f t="array" ref="E300">migration!E45</f>
        <v>-1573.0586020949995</v>
      </c>
      <c r="F300" s="55">
        <f t="array" ref="F300">migration!F45</f>
        <v>4635.7306696503592</v>
      </c>
      <c r="G300" s="55">
        <f t="array" ref="G300">migration!G45</f>
        <v>4477.3397815472999</v>
      </c>
      <c r="H300" s="55">
        <f t="array" ref="H300">migration!H45</f>
        <v>-3268.9803840859795</v>
      </c>
      <c r="I300" s="55">
        <f t="array" ref="I300">migration!I45</f>
        <v>9113.0704511976583</v>
      </c>
      <c r="J300" s="55">
        <f t="array" ref="J300">migration!J45</f>
        <v>2939.8088876593793</v>
      </c>
      <c r="K300" s="55">
        <f t="array" ref="K300">migration!K45</f>
        <v>2904.2811794523004</v>
      </c>
      <c r="L300" s="55"/>
      <c r="M300" s="1"/>
      <c r="N300" s="1"/>
      <c r="O300" s="1"/>
      <c r="P300" s="1"/>
      <c r="Q300" s="1"/>
      <c r="R300" s="1"/>
      <c r="S300" s="1"/>
      <c r="T300" s="1"/>
      <c r="U300" s="1"/>
      <c r="V300" s="1"/>
      <c r="W300" s="1"/>
      <c r="X300" s="1"/>
      <c r="Y300" s="1"/>
      <c r="Z300" s="1"/>
    </row>
    <row r="301" spans="1:26" ht="19.5" customHeight="1">
      <c r="A301" s="139" t="str">
        <f t="array" ref="A301">migration!$A46</f>
        <v>m35</v>
      </c>
      <c r="B301" s="55"/>
      <c r="C301" s="55">
        <f t="array" ref="C301">migration!C46</f>
        <v>5277.1706298508798</v>
      </c>
      <c r="D301" s="55">
        <f t="array" ref="D301">migration!D46</f>
        <v>-1531.40497762218</v>
      </c>
      <c r="E301" s="55">
        <f t="array" ref="E301">migration!E46</f>
        <v>-1420.4604238949998</v>
      </c>
      <c r="F301" s="55">
        <f t="array" ref="F301">migration!F46</f>
        <v>4186.0309230087596</v>
      </c>
      <c r="G301" s="55">
        <f t="array" ref="G301">migration!G46</f>
        <v>4043.0051083593003</v>
      </c>
      <c r="H301" s="55">
        <f t="array" ref="H301">migration!H46</f>
        <v>-2951.8654015171796</v>
      </c>
      <c r="I301" s="55">
        <f t="array" ref="I301">migration!I46</f>
        <v>8229.0360313680594</v>
      </c>
      <c r="J301" s="55">
        <f t="array" ref="J301">migration!J46</f>
        <v>2654.6259453865796</v>
      </c>
      <c r="K301" s="55">
        <f t="array" ref="K301">migration!K46</f>
        <v>2622.5446844643002</v>
      </c>
      <c r="L301" s="55"/>
      <c r="M301" s="1"/>
      <c r="N301" s="1"/>
      <c r="O301" s="1"/>
      <c r="P301" s="1"/>
      <c r="Q301" s="1"/>
      <c r="R301" s="1"/>
      <c r="S301" s="1"/>
      <c r="T301" s="1"/>
      <c r="U301" s="1"/>
      <c r="V301" s="1"/>
      <c r="W301" s="1"/>
      <c r="X301" s="1"/>
      <c r="Y301" s="1"/>
      <c r="Z301" s="1"/>
    </row>
    <row r="302" spans="1:26" ht="19.5" customHeight="1">
      <c r="A302" s="139" t="str">
        <f t="array" ref="A302">migration!$A47</f>
        <v>m36</v>
      </c>
      <c r="B302" s="55"/>
      <c r="C302" s="55">
        <f t="array" ref="C302">migration!C47</f>
        <v>4668.98222670208</v>
      </c>
      <c r="D302" s="55">
        <f t="array" ref="D302">migration!D47</f>
        <v>-1354.9121534853798</v>
      </c>
      <c r="E302" s="55">
        <f t="array" ref="E302">migration!E47</f>
        <v>-1256.7538436949997</v>
      </c>
      <c r="F302" s="55">
        <f t="array" ref="F302">migration!F47</f>
        <v>3703.5952313911598</v>
      </c>
      <c r="G302" s="55">
        <f t="array" ref="G302">migration!G47</f>
        <v>3577.0529924912998</v>
      </c>
      <c r="H302" s="55">
        <f t="array" ref="H302">migration!H47</f>
        <v>-2611.6659971803792</v>
      </c>
      <c r="I302" s="55">
        <f t="array" ref="I302">migration!I47</f>
        <v>7280.6482238824592</v>
      </c>
      <c r="J302" s="55">
        <f t="array" ref="J302">migration!J47</f>
        <v>2348.68307790578</v>
      </c>
      <c r="K302" s="55">
        <f t="array" ref="K302">migration!K47</f>
        <v>2320.2991487963</v>
      </c>
      <c r="L302" s="55"/>
      <c r="M302" s="1"/>
      <c r="N302" s="1"/>
      <c r="O302" s="1"/>
      <c r="P302" s="1"/>
      <c r="Q302" s="1"/>
      <c r="R302" s="1"/>
      <c r="S302" s="1"/>
      <c r="T302" s="1"/>
      <c r="U302" s="1"/>
      <c r="V302" s="1"/>
      <c r="W302" s="1"/>
      <c r="X302" s="1"/>
      <c r="Y302" s="1"/>
      <c r="Z302" s="1"/>
    </row>
    <row r="303" spans="1:26" ht="19.5" customHeight="1">
      <c r="A303" s="139" t="str">
        <f t="array" ref="A303">migration!$A48</f>
        <v>m37</v>
      </c>
      <c r="B303" s="55"/>
      <c r="C303" s="55">
        <f t="array" ref="C303">migration!C48</f>
        <v>4047.4375079071997</v>
      </c>
      <c r="D303" s="55">
        <f t="array" ref="D303">migration!D48</f>
        <v>-1174.5434023229498</v>
      </c>
      <c r="E303" s="55">
        <f t="array" ref="E303">migration!E48</f>
        <v>-1089.4521328624996</v>
      </c>
      <c r="F303" s="55">
        <f t="array" ref="F303">migration!F48</f>
        <v>3210.5648567068997</v>
      </c>
      <c r="G303" s="55">
        <f t="array" ref="G303">migration!G48</f>
        <v>3100.8681863857501</v>
      </c>
      <c r="H303" s="55">
        <f t="array" ref="H303">migration!H48</f>
        <v>-2263.9955351854496</v>
      </c>
      <c r="I303" s="55">
        <f t="array" ref="I303">migration!I48</f>
        <v>6311.4330430926493</v>
      </c>
      <c r="J303" s="55">
        <f t="array" ref="J303">migration!J48</f>
        <v>2036.02145438395</v>
      </c>
      <c r="K303" s="55">
        <f t="array" ref="K303">migration!K48</f>
        <v>2011.4160535232504</v>
      </c>
      <c r="L303" s="55"/>
      <c r="M303" s="1"/>
      <c r="N303" s="1"/>
      <c r="O303" s="1"/>
      <c r="P303" s="1"/>
      <c r="Q303" s="1"/>
      <c r="R303" s="1"/>
      <c r="S303" s="1"/>
      <c r="T303" s="1"/>
      <c r="U303" s="1"/>
      <c r="V303" s="1"/>
      <c r="W303" s="1"/>
      <c r="X303" s="1"/>
      <c r="Y303" s="1"/>
      <c r="Z303" s="1"/>
    </row>
    <row r="304" spans="1:26" ht="19.5" customHeight="1">
      <c r="A304" s="139" t="str">
        <f t="array" ref="A304">migration!$A49</f>
        <v>m38</v>
      </c>
      <c r="B304" s="55"/>
      <c r="C304" s="55">
        <f t="array" ref="C304">migration!C49</f>
        <v>3437.7550582905596</v>
      </c>
      <c r="D304" s="55">
        <f t="array" ref="D304">migration!D49</f>
        <v>-997.61701437740987</v>
      </c>
      <c r="E304" s="55">
        <f t="array" ref="E304">migration!E49</f>
        <v>-925.34339892749983</v>
      </c>
      <c r="F304" s="55">
        <f t="array" ref="F304">migration!F49</f>
        <v>2726.94403670262</v>
      </c>
      <c r="G304" s="55">
        <f t="array" ref="G304">migration!G49</f>
        <v>2633.7714348928498</v>
      </c>
      <c r="H304" s="55">
        <f t="array" ref="H304">migration!H49</f>
        <v>-1922.9604133049097</v>
      </c>
      <c r="I304" s="55">
        <f t="array" ref="I304">migration!I49</f>
        <v>5360.7154715954694</v>
      </c>
      <c r="J304" s="55">
        <f t="array" ref="J304">migration!J49</f>
        <v>1729.3270223252102</v>
      </c>
      <c r="K304" s="55">
        <f t="array" ref="K304">migration!K49</f>
        <v>1708.4280359653499</v>
      </c>
      <c r="L304" s="55"/>
      <c r="M304" s="1"/>
      <c r="N304" s="1"/>
      <c r="O304" s="1"/>
      <c r="P304" s="1"/>
      <c r="Q304" s="1"/>
      <c r="R304" s="1"/>
      <c r="S304" s="1"/>
      <c r="T304" s="1"/>
      <c r="U304" s="1"/>
      <c r="V304" s="1"/>
      <c r="W304" s="1"/>
      <c r="X304" s="1"/>
      <c r="Y304" s="1"/>
      <c r="Z304" s="1"/>
    </row>
    <row r="305" spans="1:26" ht="19.5" customHeight="1">
      <c r="A305" s="139" t="str">
        <f t="array" ref="A305">migration!$A50</f>
        <v>m39</v>
      </c>
      <c r="B305" s="55"/>
      <c r="C305" s="55">
        <f t="array" ref="C305">migration!C50</f>
        <v>2860.9255488748804</v>
      </c>
      <c r="D305" s="55">
        <f t="array" ref="D305">migration!D50</f>
        <v>-830.22436329242998</v>
      </c>
      <c r="E305" s="55">
        <f t="array" ref="E305">migration!E50</f>
        <v>-770.0777183324999</v>
      </c>
      <c r="F305" s="55">
        <f t="array" ref="F305">migration!F50</f>
        <v>2269.3832843442601</v>
      </c>
      <c r="G305" s="55">
        <f t="array" ref="G305">migration!G50</f>
        <v>2191.8443461555503</v>
      </c>
      <c r="H305" s="55">
        <f t="array" ref="H305">migration!H50</f>
        <v>-1600.30208162493</v>
      </c>
      <c r="I305" s="55">
        <f t="array" ref="I305">migration!I50</f>
        <v>4461.2276304998104</v>
      </c>
      <c r="J305" s="55">
        <f t="array" ref="J305">migration!J50</f>
        <v>1439.15892105183</v>
      </c>
      <c r="K305" s="55">
        <f t="array" ref="K305">migration!K50</f>
        <v>1421.7666278230504</v>
      </c>
      <c r="L305" s="55"/>
      <c r="M305" s="1"/>
      <c r="N305" s="1"/>
      <c r="O305" s="1"/>
      <c r="P305" s="1"/>
      <c r="Q305" s="1"/>
      <c r="R305" s="1"/>
      <c r="S305" s="1"/>
      <c r="T305" s="1"/>
      <c r="U305" s="1"/>
      <c r="V305" s="1"/>
      <c r="W305" s="1"/>
      <c r="X305" s="1"/>
      <c r="Y305" s="1"/>
      <c r="Z305" s="1"/>
    </row>
    <row r="306" spans="1:26" ht="19.5" customHeight="1">
      <c r="A306" s="139" t="str">
        <f t="array" ref="A306">migration!$A51</f>
        <v>m40</v>
      </c>
      <c r="B306" s="55"/>
      <c r="C306" s="55">
        <f t="array" ref="C306">migration!C51</f>
        <v>2332.78668892736</v>
      </c>
      <c r="D306" s="55">
        <f t="array" ref="D306">migration!D51</f>
        <v>-676.96146244470992</v>
      </c>
      <c r="E306" s="55">
        <f t="array" ref="E306">migration!E51</f>
        <v>-627.91814050249991</v>
      </c>
      <c r="F306" s="55">
        <f t="array" ref="F306">migration!F51</f>
        <v>1850.44560837122</v>
      </c>
      <c r="G306" s="55">
        <f t="array" ref="G306">migration!G51</f>
        <v>1787.2206835033501</v>
      </c>
      <c r="H306" s="55">
        <f t="array" ref="H306">migration!H51</f>
        <v>-1304.8796029472098</v>
      </c>
      <c r="I306" s="55">
        <f t="array" ref="I306">migration!I51</f>
        <v>3637.6662918745701</v>
      </c>
      <c r="J306" s="55">
        <f t="array" ref="J306">migration!J51</f>
        <v>1173.4841459265101</v>
      </c>
      <c r="K306" s="55">
        <f t="array" ref="K306">migration!K51</f>
        <v>1159.3025430008502</v>
      </c>
      <c r="L306" s="55"/>
      <c r="M306" s="1"/>
      <c r="N306" s="1"/>
      <c r="O306" s="1"/>
      <c r="P306" s="1"/>
      <c r="Q306" s="1"/>
      <c r="R306" s="1"/>
      <c r="S306" s="1"/>
      <c r="T306" s="1"/>
      <c r="U306" s="1"/>
      <c r="V306" s="1"/>
      <c r="W306" s="1"/>
      <c r="X306" s="1"/>
      <c r="Y306" s="1"/>
      <c r="Z306" s="1"/>
    </row>
    <row r="307" spans="1:26" ht="19.5" customHeight="1">
      <c r="A307" s="139" t="str">
        <f t="array" ref="A307">migration!$A52</f>
        <v>m41</v>
      </c>
      <c r="B307" s="55"/>
      <c r="C307" s="55">
        <f t="array" ref="C307">migration!C52</f>
        <v>1863.7186366918402</v>
      </c>
      <c r="D307" s="55">
        <f t="array" ref="D307">migration!D52</f>
        <v>-540.84057486648999</v>
      </c>
      <c r="E307" s="55">
        <f t="array" ref="E307">migration!E52</f>
        <v>-501.65870129749993</v>
      </c>
      <c r="F307" s="55">
        <f t="array" ref="F307">migration!F52</f>
        <v>1478.3649027471799</v>
      </c>
      <c r="G307" s="55">
        <f t="array" ref="G307">migration!G52</f>
        <v>1427.8530101086501</v>
      </c>
      <c r="H307" s="55">
        <f t="array" ref="H307">migration!H52</f>
        <v>-1042.4992761639899</v>
      </c>
      <c r="I307" s="55">
        <f t="array" ref="I307">migration!I52</f>
        <v>2906.21791285583</v>
      </c>
      <c r="J307" s="55">
        <f t="array" ref="J307">migration!J52</f>
        <v>937.52432788068995</v>
      </c>
      <c r="K307" s="55">
        <f t="array" ref="K307">migration!K52</f>
        <v>926.19430881115022</v>
      </c>
      <c r="L307" s="55"/>
      <c r="M307" s="1"/>
      <c r="N307" s="1"/>
      <c r="O307" s="1"/>
      <c r="P307" s="1"/>
      <c r="Q307" s="1"/>
      <c r="R307" s="1"/>
      <c r="S307" s="1"/>
      <c r="T307" s="1"/>
      <c r="U307" s="1"/>
      <c r="V307" s="1"/>
      <c r="W307" s="1"/>
      <c r="X307" s="1"/>
      <c r="Y307" s="1"/>
      <c r="Z307" s="1"/>
    </row>
    <row r="308" spans="1:26" ht="19.5" customHeight="1">
      <c r="A308" s="139" t="str">
        <f t="array" ref="A308">migration!$A53</f>
        <v>m42</v>
      </c>
      <c r="B308" s="55"/>
      <c r="C308" s="55">
        <f t="array" ref="C308">migration!C53</f>
        <v>1458.8898940640001</v>
      </c>
      <c r="D308" s="55">
        <f t="array" ref="D308">migration!D53</f>
        <v>-423.36157048524996</v>
      </c>
      <c r="E308" s="55">
        <f t="array" ref="E308">migration!E53</f>
        <v>-392.69061068749994</v>
      </c>
      <c r="F308" s="55">
        <f t="array" ref="F308">migration!F53</f>
        <v>1157.2409986655</v>
      </c>
      <c r="G308" s="55">
        <f t="array" ref="G308">migration!G53</f>
        <v>1117.70107657125</v>
      </c>
      <c r="H308" s="55">
        <f t="array" ref="H308">migration!H53</f>
        <v>-816.0521811727499</v>
      </c>
      <c r="I308" s="55">
        <f t="array" ref="I308">migration!I53</f>
        <v>2274.94207523675</v>
      </c>
      <c r="J308" s="55">
        <f t="array" ref="J308">migration!J53</f>
        <v>733.87942818024999</v>
      </c>
      <c r="K308" s="55">
        <f t="array" ref="K308">migration!K53</f>
        <v>725.01046588375016</v>
      </c>
      <c r="L308" s="55"/>
      <c r="M308" s="1"/>
      <c r="N308" s="1"/>
      <c r="O308" s="1"/>
      <c r="P308" s="1"/>
      <c r="Q308" s="1"/>
      <c r="R308" s="1"/>
      <c r="S308" s="1"/>
      <c r="T308" s="1"/>
      <c r="U308" s="1"/>
      <c r="V308" s="1"/>
      <c r="W308" s="1"/>
      <c r="X308" s="1"/>
      <c r="Y308" s="1"/>
      <c r="Z308" s="1"/>
    </row>
    <row r="309" spans="1:26" ht="19.5" customHeight="1">
      <c r="A309" s="139" t="str">
        <f t="array" ref="A309">migration!$A54</f>
        <v>m43</v>
      </c>
      <c r="B309" s="55"/>
      <c r="C309" s="55">
        <f t="array" ref="C309">migration!C54</f>
        <v>1118.9264274681598</v>
      </c>
      <c r="D309" s="55">
        <f t="array" ref="D309">migration!D54</f>
        <v>-324.70610120600992</v>
      </c>
      <c r="E309" s="55">
        <f t="array" ref="E309">migration!E54</f>
        <v>-301.18236057749994</v>
      </c>
      <c r="F309" s="55">
        <f t="array" ref="F309">migration!F54</f>
        <v>887.57043394781988</v>
      </c>
      <c r="G309" s="55">
        <f t="array" ref="G309">migration!G54</f>
        <v>857.24445530384992</v>
      </c>
      <c r="H309" s="55">
        <f t="array" ref="H309">migration!H54</f>
        <v>-625.88846178350991</v>
      </c>
      <c r="I309" s="55">
        <f t="array" ref="I309">migration!I54</f>
        <v>1744.8148892516697</v>
      </c>
      <c r="J309" s="55">
        <f t="array" ref="J309">migration!J54</f>
        <v>562.8643327418099</v>
      </c>
      <c r="K309" s="55">
        <f t="array" ref="K309">migration!K54</f>
        <v>556.06209472634998</v>
      </c>
      <c r="L309" s="55"/>
      <c r="M309" s="1"/>
      <c r="N309" s="1"/>
      <c r="O309" s="1"/>
      <c r="P309" s="1"/>
      <c r="Q309" s="1"/>
      <c r="R309" s="1"/>
      <c r="S309" s="1"/>
      <c r="T309" s="1"/>
      <c r="U309" s="1"/>
      <c r="V309" s="1"/>
      <c r="W309" s="1"/>
      <c r="X309" s="1"/>
      <c r="Y309" s="1"/>
      <c r="Z309" s="1"/>
    </row>
    <row r="310" spans="1:26" ht="19.5" customHeight="1">
      <c r="A310" s="139" t="str">
        <f t="array" ref="A310">migration!$A55</f>
        <v>m44</v>
      </c>
      <c r="B310" s="55"/>
      <c r="C310" s="55">
        <f t="array" ref="C310">migration!C55</f>
        <v>840.84780690879984</v>
      </c>
      <c r="D310" s="55">
        <f t="array" ref="D310">migration!D55</f>
        <v>-244.00926315305</v>
      </c>
      <c r="E310" s="55">
        <f t="array" ref="E310">migration!E55</f>
        <v>-226.33170613749996</v>
      </c>
      <c r="F310" s="55">
        <f t="array" ref="F310">migration!F55</f>
        <v>666.98903032509998</v>
      </c>
      <c r="G310" s="55">
        <f t="array" ref="G310">migration!G55</f>
        <v>644.19974587424997</v>
      </c>
      <c r="H310" s="55">
        <f t="array" ref="H310">migration!H55</f>
        <v>-470.34096929054999</v>
      </c>
      <c r="I310" s="55">
        <f t="array" ref="I310">migration!I55</f>
        <v>1311.1887761993498</v>
      </c>
      <c r="J310" s="55">
        <f t="array" ref="J310">migration!J55</f>
        <v>422.97976717204995</v>
      </c>
      <c r="K310" s="55">
        <f t="array" ref="K310">migration!K55</f>
        <v>417.86803973675001</v>
      </c>
      <c r="L310" s="55"/>
      <c r="M310" s="1"/>
      <c r="N310" s="1"/>
      <c r="O310" s="1"/>
      <c r="P310" s="1"/>
      <c r="Q310" s="1"/>
      <c r="R310" s="1"/>
      <c r="S310" s="1"/>
      <c r="T310" s="1"/>
      <c r="U310" s="1"/>
      <c r="V310" s="1"/>
      <c r="W310" s="1"/>
      <c r="X310" s="1"/>
      <c r="Y310" s="1"/>
      <c r="Z310" s="1"/>
    </row>
    <row r="311" spans="1:26" ht="19.5" customHeight="1">
      <c r="A311" s="139" t="str">
        <f t="array" ref="A311">migration!$A56</f>
        <v>m45</v>
      </c>
      <c r="B311" s="55"/>
      <c r="C311" s="55">
        <f t="array" ref="C311">migration!C56</f>
        <v>619.11326032000011</v>
      </c>
      <c r="D311" s="55">
        <f t="array" ref="D311">migration!D56</f>
        <v>-179.66315570749998</v>
      </c>
      <c r="E311" s="55">
        <f t="array" ref="E311">migration!E56</f>
        <v>-166.64723312499996</v>
      </c>
      <c r="F311" s="55">
        <f t="array" ref="F311">migration!F56</f>
        <v>491.10165926499997</v>
      </c>
      <c r="G311" s="55">
        <f t="array" ref="G311">migration!G56</f>
        <v>474.32198988750002</v>
      </c>
      <c r="H311" s="55">
        <f t="array" ref="H311">migration!H56</f>
        <v>-346.31038883249994</v>
      </c>
      <c r="I311" s="55">
        <f t="array" ref="I311">migration!I56</f>
        <v>965.42364915250005</v>
      </c>
      <c r="J311" s="55">
        <f t="array" ref="J311">migration!J56</f>
        <v>311.43850355749998</v>
      </c>
      <c r="K311" s="55">
        <f t="array" ref="K311">migration!K56</f>
        <v>307.67475676250007</v>
      </c>
      <c r="L311" s="55"/>
      <c r="M311" s="1"/>
      <c r="N311" s="1"/>
      <c r="O311" s="1"/>
      <c r="P311" s="1"/>
      <c r="Q311" s="1"/>
      <c r="R311" s="1"/>
      <c r="S311" s="1"/>
      <c r="T311" s="1"/>
      <c r="U311" s="1"/>
      <c r="V311" s="1"/>
      <c r="W311" s="1"/>
      <c r="X311" s="1"/>
      <c r="Y311" s="1"/>
      <c r="Z311" s="1"/>
    </row>
    <row r="312" spans="1:26" ht="19.5" customHeight="1">
      <c r="A312" s="139" t="str">
        <f t="array" ref="A312">migration!$A57</f>
        <v>m46</v>
      </c>
      <c r="B312" s="55"/>
      <c r="C312" s="55">
        <f t="array" ref="C312">migration!C57</f>
        <v>446.6421049587201</v>
      </c>
      <c r="D312" s="55">
        <f t="array" ref="D312">migration!D57</f>
        <v>-129.61300490842001</v>
      </c>
      <c r="E312" s="55">
        <f t="array" ref="E312">migration!E57</f>
        <v>-120.22302825499997</v>
      </c>
      <c r="F312" s="55">
        <f t="array" ref="F312">migration!F57</f>
        <v>354.29168280044001</v>
      </c>
      <c r="G312" s="55">
        <f t="array" ref="G312">migration!G57</f>
        <v>342.18645532170001</v>
      </c>
      <c r="H312" s="55">
        <f t="array" ref="H312">migration!H57</f>
        <v>-249.83603316341998</v>
      </c>
      <c r="I312" s="55">
        <f t="array" ref="I312">migration!I57</f>
        <v>696.47813812214008</v>
      </c>
      <c r="J312" s="55">
        <f t="array" ref="J312">migration!J57</f>
        <v>224.67867789202</v>
      </c>
      <c r="K312" s="55">
        <f t="array" ref="K312">migration!K57</f>
        <v>221.96342706670004</v>
      </c>
      <c r="L312" s="55"/>
      <c r="M312" s="1"/>
      <c r="N312" s="1"/>
      <c r="O312" s="1"/>
      <c r="P312" s="1"/>
      <c r="Q312" s="1"/>
      <c r="R312" s="1"/>
      <c r="S312" s="1"/>
      <c r="T312" s="1"/>
      <c r="U312" s="1"/>
      <c r="V312" s="1"/>
      <c r="W312" s="1"/>
      <c r="X312" s="1"/>
      <c r="Y312" s="1"/>
      <c r="Z312" s="1"/>
    </row>
    <row r="313" spans="1:26" ht="19.5" customHeight="1">
      <c r="A313" s="139" t="str">
        <f t="array" ref="A313">migration!$A58</f>
        <v>m47</v>
      </c>
      <c r="B313" s="55"/>
      <c r="C313" s="55">
        <f t="array" ref="C313">migration!C58</f>
        <v>315.70834525440006</v>
      </c>
      <c r="D313" s="55">
        <f t="array" ref="D313">migration!D58</f>
        <v>-91.616770673399998</v>
      </c>
      <c r="E313" s="55">
        <f t="array" ref="E313">migration!E58</f>
        <v>-84.979478849999992</v>
      </c>
      <c r="F313" s="55">
        <f t="array" ref="F313">migration!F58</f>
        <v>250.43057891879999</v>
      </c>
      <c r="G313" s="55">
        <f t="array" ref="G313">migration!G58</f>
        <v>241.87401585900002</v>
      </c>
      <c r="H313" s="55">
        <f t="array" ref="H313">migration!H58</f>
        <v>-176.59624952339999</v>
      </c>
      <c r="I313" s="55">
        <f t="array" ref="I313">migration!I58</f>
        <v>492.30459477780005</v>
      </c>
      <c r="J313" s="55">
        <f t="array" ref="J313">migration!J58</f>
        <v>158.8138082454</v>
      </c>
      <c r="K313" s="55">
        <f t="array" ref="K313">migration!K58</f>
        <v>156.89453700900003</v>
      </c>
      <c r="L313" s="55"/>
      <c r="M313" s="1"/>
      <c r="N313" s="1"/>
      <c r="O313" s="1"/>
      <c r="P313" s="1"/>
      <c r="Q313" s="1"/>
      <c r="R313" s="1"/>
      <c r="S313" s="1"/>
      <c r="T313" s="1"/>
      <c r="U313" s="1"/>
      <c r="V313" s="1"/>
      <c r="W313" s="1"/>
      <c r="X313" s="1"/>
      <c r="Y313" s="1"/>
      <c r="Z313" s="1"/>
    </row>
    <row r="314" spans="1:26" ht="19.5" customHeight="1">
      <c r="A314" s="139" t="str">
        <f t="array" ref="A314">migration!$A59</f>
        <v>m48</v>
      </c>
      <c r="B314" s="55"/>
      <c r="C314" s="55">
        <f t="array" ref="C314">migration!C59</f>
        <v>218.64992329344003</v>
      </c>
      <c r="D314" s="55">
        <f t="array" ref="D314">migration!D59</f>
        <v>-63.450967265339997</v>
      </c>
      <c r="E314" s="55">
        <f t="array" ref="E314">migration!E59</f>
        <v>-58.854182384999987</v>
      </c>
      <c r="F314" s="55">
        <f t="array" ref="F314">migration!F59</f>
        <v>173.44054312788001</v>
      </c>
      <c r="G314" s="55">
        <f t="array" ref="G314">migration!G59</f>
        <v>167.5145298159</v>
      </c>
      <c r="H314" s="55">
        <f t="array" ref="H314">migration!H59</f>
        <v>-122.30514965033998</v>
      </c>
      <c r="I314" s="55">
        <f t="array" ref="I314">migration!I59</f>
        <v>340.95507294378001</v>
      </c>
      <c r="J314" s="55">
        <f t="array" ref="J314">migration!J59</f>
        <v>109.98957586254001</v>
      </c>
      <c r="K314" s="55">
        <f t="array" ref="K314">migration!K59</f>
        <v>108.66034743090002</v>
      </c>
      <c r="L314" s="55"/>
      <c r="M314" s="1"/>
      <c r="N314" s="1"/>
      <c r="O314" s="1"/>
      <c r="P314" s="1"/>
      <c r="Q314" s="1"/>
      <c r="R314" s="1"/>
      <c r="S314" s="1"/>
      <c r="T314" s="1"/>
      <c r="U314" s="1"/>
      <c r="V314" s="1"/>
      <c r="W314" s="1"/>
      <c r="X314" s="1"/>
      <c r="Y314" s="1"/>
      <c r="Z314" s="1"/>
    </row>
    <row r="315" spans="1:26" ht="19.5" customHeight="1">
      <c r="A315" s="139" t="str">
        <f t="array" ref="A315">migration!$A60</f>
        <v>m49</v>
      </c>
      <c r="B315" s="55"/>
      <c r="C315" s="55">
        <f t="array" ref="C315">migration!C60</f>
        <v>148.37113293696001</v>
      </c>
      <c r="D315" s="55">
        <f t="array" ref="D315">migration!D60</f>
        <v>-43.056461019059995</v>
      </c>
      <c r="E315" s="55">
        <f t="array" ref="E315">migration!E60</f>
        <v>-39.937181714999994</v>
      </c>
      <c r="F315" s="55">
        <f t="array" ref="F315">migration!F60</f>
        <v>117.69302039291999</v>
      </c>
      <c r="G315" s="55">
        <f t="array" ref="G315">migration!G60</f>
        <v>113.67175527810001</v>
      </c>
      <c r="H315" s="55">
        <f t="array" ref="H315">migration!H60</f>
        <v>-82.993642734059989</v>
      </c>
      <c r="I315" s="55">
        <f t="array" ref="I315">migration!I60</f>
        <v>231.36477567102</v>
      </c>
      <c r="J315" s="55">
        <f t="array" ref="J315">migration!J60</f>
        <v>74.636559373859996</v>
      </c>
      <c r="K315" s="55">
        <f t="array" ref="K315">migration!K60</f>
        <v>73.734573563100014</v>
      </c>
      <c r="L315" s="55"/>
      <c r="M315" s="1"/>
      <c r="N315" s="1"/>
      <c r="O315" s="1"/>
      <c r="P315" s="1"/>
      <c r="Q315" s="1"/>
      <c r="R315" s="1"/>
      <c r="S315" s="1"/>
      <c r="T315" s="1"/>
      <c r="U315" s="1"/>
      <c r="V315" s="1"/>
      <c r="W315" s="1"/>
      <c r="X315" s="1"/>
      <c r="Y315" s="1"/>
      <c r="Z315" s="1"/>
    </row>
    <row r="316" spans="1:26" ht="19.5" customHeight="1">
      <c r="A316" s="139" t="str">
        <f t="array" ref="A316">migration!$A61</f>
        <v>m50</v>
      </c>
      <c r="B316" s="55"/>
      <c r="C316" s="55">
        <f t="array" ref="C316">migration!C61</f>
        <v>98.647561987200021</v>
      </c>
      <c r="D316" s="55">
        <f t="array" ref="D316">migration!D61</f>
        <v>-28.626962827949999</v>
      </c>
      <c r="E316" s="55">
        <f t="array" ref="E316">migration!E61</f>
        <v>-26.553046612499994</v>
      </c>
      <c r="F316" s="55">
        <f t="array" ref="F316">migration!F61</f>
        <v>78.2505956169</v>
      </c>
      <c r="G316" s="55">
        <f t="array" ref="G316">migration!G61</f>
        <v>75.57697581075</v>
      </c>
      <c r="H316" s="55">
        <f t="array" ref="H316">migration!H61</f>
        <v>-55.180009440449993</v>
      </c>
      <c r="I316" s="55">
        <f t="array" ref="I316">migration!I61</f>
        <v>153.82757142765001</v>
      </c>
      <c r="J316" s="55">
        <f t="array" ref="J316">migration!J61</f>
        <v>49.623632788950005</v>
      </c>
      <c r="K316" s="55">
        <f t="array" ref="K316">migration!K61</f>
        <v>49.023929198250002</v>
      </c>
      <c r="L316" s="55"/>
      <c r="M316" s="1"/>
      <c r="N316" s="1"/>
      <c r="O316" s="1"/>
      <c r="P316" s="1"/>
      <c r="Q316" s="1"/>
      <c r="R316" s="1"/>
      <c r="S316" s="1"/>
      <c r="T316" s="1"/>
      <c r="U316" s="1"/>
      <c r="V316" s="1"/>
      <c r="W316" s="1"/>
      <c r="X316" s="1"/>
      <c r="Y316" s="1"/>
      <c r="Z316" s="1"/>
    </row>
    <row r="317" spans="1:26" ht="19.5" customHeight="1">
      <c r="A317" s="139" t="str">
        <f t="array" ref="A317">migration!$A62</f>
        <v>m51</v>
      </c>
      <c r="B317" s="55"/>
      <c r="C317" s="55">
        <f t="array" ref="C317">migration!C62</f>
        <v>64.262878190080002</v>
      </c>
      <c r="D317" s="55">
        <f t="array" ref="D317">migration!D62</f>
        <v>-18.648722665879998</v>
      </c>
      <c r="E317" s="55">
        <f t="array" ref="E317">migration!E62</f>
        <v>-17.297692569999995</v>
      </c>
      <c r="F317" s="55">
        <f t="array" ref="F317">migration!F62</f>
        <v>50.975496942159999</v>
      </c>
      <c r="G317" s="55">
        <f t="array" ref="G317">migration!G62</f>
        <v>49.233796483799999</v>
      </c>
      <c r="H317" s="55">
        <f t="array" ref="H317">migration!H62</f>
        <v>-35.946415235879996</v>
      </c>
      <c r="I317" s="55">
        <f t="array" ref="I317">migration!I62</f>
        <v>100.20929342596</v>
      </c>
      <c r="J317" s="55">
        <f t="array" ref="J317">migration!J62</f>
        <v>32.326774276280005</v>
      </c>
      <c r="K317" s="55">
        <f t="array" ref="K317">migration!K62</f>
        <v>31.936103913800004</v>
      </c>
      <c r="L317" s="55"/>
      <c r="M317" s="1"/>
      <c r="N317" s="1"/>
      <c r="O317" s="1"/>
      <c r="P317" s="1"/>
      <c r="Q317" s="1"/>
      <c r="R317" s="1"/>
      <c r="S317" s="1"/>
      <c r="T317" s="1"/>
      <c r="U317" s="1"/>
      <c r="V317" s="1"/>
      <c r="W317" s="1"/>
      <c r="X317" s="1"/>
      <c r="Y317" s="1"/>
      <c r="Z317" s="1"/>
    </row>
    <row r="318" spans="1:26" ht="19.5" customHeight="1">
      <c r="A318" s="139" t="str">
        <f t="array" ref="A318">migration!$A63</f>
        <v>m52</v>
      </c>
      <c r="B318" s="55"/>
      <c r="C318" s="55">
        <f t="array" ref="C318">migration!C63</f>
        <v>41.017651699200002</v>
      </c>
      <c r="D318" s="55">
        <f t="array" ref="D318">migration!D63</f>
        <v>-11.9030898162</v>
      </c>
      <c r="E318" s="55">
        <f t="array" ref="E318">migration!E63</f>
        <v>-11.040755549999998</v>
      </c>
      <c r="F318" s="55">
        <f t="array" ref="F318">migration!F63</f>
        <v>32.536594028399996</v>
      </c>
      <c r="G318" s="55">
        <f t="array" ref="G318">migration!G63</f>
        <v>31.424903037</v>
      </c>
      <c r="H318" s="55">
        <f t="array" ref="H318">migration!H63</f>
        <v>-22.943845366199998</v>
      </c>
      <c r="I318" s="55">
        <f t="array" ref="I318">migration!I63</f>
        <v>63.961497065399996</v>
      </c>
      <c r="J318" s="55">
        <f t="array" ref="J318">migration!J63</f>
        <v>20.633504212199995</v>
      </c>
      <c r="K318" s="55">
        <f t="array" ref="K318">migration!K63</f>
        <v>20.384147487</v>
      </c>
      <c r="L318" s="55"/>
      <c r="M318" s="1"/>
      <c r="N318" s="1"/>
      <c r="O318" s="1"/>
      <c r="P318" s="1"/>
      <c r="Q318" s="1"/>
      <c r="R318" s="1"/>
      <c r="S318" s="1"/>
      <c r="T318" s="1"/>
      <c r="U318" s="1"/>
      <c r="V318" s="1"/>
      <c r="W318" s="1"/>
      <c r="X318" s="1"/>
      <c r="Y318" s="1"/>
      <c r="Z318" s="1"/>
    </row>
    <row r="319" spans="1:26" ht="19.5" customHeight="1">
      <c r="A319" s="139" t="str">
        <f t="array" ref="A319">migration!$A64</f>
        <v>m53</v>
      </c>
      <c r="B319" s="55"/>
      <c r="C319" s="55">
        <f t="array" ref="C319">migration!C64</f>
        <v>25.651830824319998</v>
      </c>
      <c r="D319" s="55">
        <f t="array" ref="D319">migration!D64</f>
        <v>-7.4440157737699986</v>
      </c>
      <c r="E319" s="55">
        <f t="array" ref="E319">migration!E64</f>
        <v>-6.9047247174999979</v>
      </c>
      <c r="F319" s="55">
        <f t="array" ref="F319">migration!F64</f>
        <v>20.347903184139998</v>
      </c>
      <c r="G319" s="55">
        <f t="array" ref="G319">migration!G64</f>
        <v>19.65266813145</v>
      </c>
      <c r="H319" s="55">
        <f t="array" ref="H319">migration!H64</f>
        <v>-14.348740491269997</v>
      </c>
      <c r="I319" s="55">
        <f t="array" ref="I319">migration!I64</f>
        <v>40.000571315589994</v>
      </c>
      <c r="J319" s="55">
        <f t="array" ref="J319">migration!J64</f>
        <v>12.90388741037</v>
      </c>
      <c r="K319" s="55">
        <f t="array" ref="K319">migration!K64</f>
        <v>12.747943413950001</v>
      </c>
      <c r="L319" s="55"/>
      <c r="M319" s="1"/>
      <c r="N319" s="1"/>
      <c r="O319" s="1"/>
      <c r="P319" s="1"/>
      <c r="Q319" s="1"/>
      <c r="R319" s="1"/>
      <c r="S319" s="1"/>
      <c r="T319" s="1"/>
      <c r="U319" s="1"/>
      <c r="V319" s="1"/>
      <c r="W319" s="1"/>
      <c r="X319" s="1"/>
      <c r="Y319" s="1"/>
      <c r="Z319" s="1"/>
    </row>
    <row r="320" spans="1:26" ht="19.5" customHeight="1">
      <c r="A320" s="139" t="str">
        <f t="array" ref="A320">migration!$A65</f>
        <v>m54</v>
      </c>
      <c r="B320" s="55"/>
      <c r="C320" s="55">
        <f t="array" ref="C320">migration!C65</f>
        <v>15.718190087039996</v>
      </c>
      <c r="D320" s="55">
        <f t="array" ref="D320">migration!D65</f>
        <v>-4.5613295886899996</v>
      </c>
      <c r="E320" s="55">
        <f t="array" ref="E320">migration!E65</f>
        <v>-4.2308783474999991</v>
      </c>
      <c r="F320" s="55">
        <f t="array" ref="F320">migration!F65</f>
        <v>12.468202067579998</v>
      </c>
      <c r="G320" s="55">
        <f t="array" ref="G320">migration!G65</f>
        <v>12.04219595565</v>
      </c>
      <c r="H320" s="55">
        <f t="array" ref="H320">migration!H65</f>
        <v>-8.7922079361899996</v>
      </c>
      <c r="I320" s="55">
        <f t="array" ref="I320">migration!I65</f>
        <v>24.510398023229996</v>
      </c>
      <c r="J320" s="55">
        <f t="array" ref="J320">migration!J65</f>
        <v>7.9068724788899987</v>
      </c>
      <c r="K320" s="55">
        <f t="array" ref="K320">migration!K65</f>
        <v>7.8113176081500004</v>
      </c>
      <c r="L320" s="55"/>
      <c r="M320" s="1"/>
      <c r="N320" s="1"/>
      <c r="O320" s="1"/>
      <c r="P320" s="1"/>
      <c r="Q320" s="1"/>
      <c r="R320" s="1"/>
      <c r="S320" s="1"/>
      <c r="T320" s="1"/>
      <c r="U320" s="1"/>
      <c r="V320" s="1"/>
      <c r="W320" s="1"/>
      <c r="X320" s="1"/>
      <c r="Y320" s="1"/>
      <c r="Z320" s="1"/>
    </row>
    <row r="321" spans="1:26" ht="19.5" customHeight="1">
      <c r="A321" s="139" t="str">
        <f t="array" ref="A321">migration!$A66</f>
        <v>m55</v>
      </c>
      <c r="B321" s="55"/>
      <c r="C321" s="55">
        <f t="array" ref="C321">migration!C66</f>
        <v>0</v>
      </c>
      <c r="D321" s="55">
        <f t="array" ref="D321">migration!D66</f>
        <v>0</v>
      </c>
      <c r="E321" s="55">
        <f t="array" ref="E321">migration!E66</f>
        <v>0</v>
      </c>
      <c r="F321" s="55">
        <f t="array" ref="F321">migration!F66</f>
        <v>0</v>
      </c>
      <c r="G321" s="55">
        <f t="array" ref="G321">migration!G66</f>
        <v>0</v>
      </c>
      <c r="H321" s="55">
        <f t="array" ref="H321">migration!H66</f>
        <v>0</v>
      </c>
      <c r="I321" s="55">
        <f t="array" ref="I321">migration!I66</f>
        <v>0</v>
      </c>
      <c r="J321" s="55">
        <f t="array" ref="J321">migration!J66</f>
        <v>0</v>
      </c>
      <c r="K321" s="55">
        <f t="array" ref="K321">migration!K66</f>
        <v>0</v>
      </c>
      <c r="L321" s="55"/>
      <c r="M321" s="1"/>
      <c r="N321" s="1"/>
      <c r="O321" s="1"/>
      <c r="P321" s="1"/>
      <c r="Q321" s="1"/>
      <c r="R321" s="1"/>
      <c r="S321" s="1"/>
      <c r="T321" s="1"/>
      <c r="U321" s="1"/>
      <c r="V321" s="1"/>
      <c r="W321" s="1"/>
      <c r="X321" s="1"/>
      <c r="Y321" s="1"/>
      <c r="Z321" s="1"/>
    </row>
    <row r="322" spans="1:26" ht="19.5" customHeight="1">
      <c r="A322" s="139" t="str">
        <f t="array" ref="A322">migration!$A67</f>
        <v>m56</v>
      </c>
      <c r="B322" s="55"/>
      <c r="C322" s="55">
        <f t="array" ref="C322">migration!C67</f>
        <v>0</v>
      </c>
      <c r="D322" s="55">
        <f t="array" ref="D322">migration!D67</f>
        <v>0</v>
      </c>
      <c r="E322" s="55">
        <f t="array" ref="E322">migration!E67</f>
        <v>0</v>
      </c>
      <c r="F322" s="55">
        <f t="array" ref="F322">migration!F67</f>
        <v>0</v>
      </c>
      <c r="G322" s="55">
        <f t="array" ref="G322">migration!G67</f>
        <v>0</v>
      </c>
      <c r="H322" s="55">
        <f t="array" ref="H322">migration!H67</f>
        <v>0</v>
      </c>
      <c r="I322" s="55">
        <f t="array" ref="I322">migration!I67</f>
        <v>0</v>
      </c>
      <c r="J322" s="55">
        <f t="array" ref="J322">migration!J67</f>
        <v>0</v>
      </c>
      <c r="K322" s="55">
        <f t="array" ref="K322">migration!K67</f>
        <v>0</v>
      </c>
      <c r="L322" s="55"/>
      <c r="M322" s="1"/>
      <c r="N322" s="1"/>
      <c r="O322" s="1"/>
      <c r="P322" s="1"/>
      <c r="Q322" s="1"/>
      <c r="R322" s="1"/>
      <c r="S322" s="1"/>
      <c r="T322" s="1"/>
      <c r="U322" s="1"/>
      <c r="V322" s="1"/>
      <c r="W322" s="1"/>
      <c r="X322" s="1"/>
      <c r="Y322" s="1"/>
      <c r="Z322" s="1"/>
    </row>
    <row r="323" spans="1:26" ht="19.5" customHeight="1">
      <c r="A323" s="139" t="str">
        <f t="array" ref="A323">migration!$A68</f>
        <v>m57</v>
      </c>
      <c r="B323" s="55"/>
      <c r="C323" s="55">
        <f t="array" ref="C323">migration!C68</f>
        <v>0</v>
      </c>
      <c r="D323" s="55">
        <f t="array" ref="D323">migration!D68</f>
        <v>0</v>
      </c>
      <c r="E323" s="55">
        <f t="array" ref="E323">migration!E68</f>
        <v>0</v>
      </c>
      <c r="F323" s="55">
        <f t="array" ref="F323">migration!F68</f>
        <v>0</v>
      </c>
      <c r="G323" s="55">
        <f t="array" ref="G323">migration!G68</f>
        <v>0</v>
      </c>
      <c r="H323" s="55">
        <f t="array" ref="H323">migration!H68</f>
        <v>0</v>
      </c>
      <c r="I323" s="55">
        <f t="array" ref="I323">migration!I68</f>
        <v>0</v>
      </c>
      <c r="J323" s="55">
        <f t="array" ref="J323">migration!J68</f>
        <v>0</v>
      </c>
      <c r="K323" s="55">
        <f t="array" ref="K323">migration!K68</f>
        <v>0</v>
      </c>
      <c r="L323" s="55"/>
      <c r="M323" s="1"/>
      <c r="N323" s="1"/>
      <c r="O323" s="1"/>
      <c r="P323" s="1"/>
      <c r="Q323" s="1"/>
      <c r="R323" s="1"/>
      <c r="S323" s="1"/>
      <c r="T323" s="1"/>
      <c r="U323" s="1"/>
      <c r="V323" s="1"/>
      <c r="W323" s="1"/>
      <c r="X323" s="1"/>
      <c r="Y323" s="1"/>
      <c r="Z323" s="1"/>
    </row>
    <row r="324" spans="1:26" ht="19.5" customHeight="1">
      <c r="A324" s="139" t="str">
        <f t="array" ref="A324">migration!$A69</f>
        <v>m58</v>
      </c>
      <c r="B324" s="55"/>
      <c r="C324" s="55">
        <f t="array" ref="C324">migration!C69</f>
        <v>0</v>
      </c>
      <c r="D324" s="55">
        <f t="array" ref="D324">migration!D69</f>
        <v>0</v>
      </c>
      <c r="E324" s="55">
        <f t="array" ref="E324">migration!E69</f>
        <v>0</v>
      </c>
      <c r="F324" s="55">
        <f t="array" ref="F324">migration!F69</f>
        <v>0</v>
      </c>
      <c r="G324" s="55">
        <f t="array" ref="G324">migration!G69</f>
        <v>0</v>
      </c>
      <c r="H324" s="55">
        <f t="array" ref="H324">migration!H69</f>
        <v>0</v>
      </c>
      <c r="I324" s="55">
        <f t="array" ref="I324">migration!I69</f>
        <v>0</v>
      </c>
      <c r="J324" s="55">
        <f t="array" ref="J324">migration!J69</f>
        <v>0</v>
      </c>
      <c r="K324" s="55">
        <f t="array" ref="K324">migration!K69</f>
        <v>0</v>
      </c>
      <c r="L324" s="55"/>
      <c r="M324" s="1"/>
      <c r="N324" s="1"/>
      <c r="O324" s="1"/>
      <c r="P324" s="1"/>
      <c r="Q324" s="1"/>
      <c r="R324" s="1"/>
      <c r="S324" s="1"/>
      <c r="T324" s="1"/>
      <c r="U324" s="1"/>
      <c r="V324" s="1"/>
      <c r="W324" s="1"/>
      <c r="X324" s="1"/>
      <c r="Y324" s="1"/>
      <c r="Z324" s="1"/>
    </row>
    <row r="325" spans="1:26" ht="19.5" customHeight="1">
      <c r="A325" s="139" t="str">
        <f t="array" ref="A325">migration!$A70</f>
        <v>m59</v>
      </c>
      <c r="B325" s="55"/>
      <c r="C325" s="55">
        <f t="array" ref="C325">migration!C70</f>
        <v>0</v>
      </c>
      <c r="D325" s="55">
        <f t="array" ref="D325">migration!D70</f>
        <v>0</v>
      </c>
      <c r="E325" s="55">
        <f t="array" ref="E325">migration!E70</f>
        <v>0</v>
      </c>
      <c r="F325" s="55">
        <f t="array" ref="F325">migration!F70</f>
        <v>0</v>
      </c>
      <c r="G325" s="55">
        <f t="array" ref="G325">migration!G70</f>
        <v>0</v>
      </c>
      <c r="H325" s="55">
        <f t="array" ref="H325">migration!H70</f>
        <v>0</v>
      </c>
      <c r="I325" s="55">
        <f t="array" ref="I325">migration!I70</f>
        <v>0</v>
      </c>
      <c r="J325" s="55">
        <f t="array" ref="J325">migration!J70</f>
        <v>0</v>
      </c>
      <c r="K325" s="55">
        <f t="array" ref="K325">migration!K70</f>
        <v>0</v>
      </c>
      <c r="L325" s="55"/>
      <c r="M325" s="1"/>
      <c r="N325" s="1"/>
      <c r="O325" s="1"/>
      <c r="P325" s="1"/>
      <c r="Q325" s="1"/>
      <c r="R325" s="1"/>
      <c r="S325" s="1"/>
      <c r="T325" s="1"/>
      <c r="U325" s="1"/>
      <c r="V325" s="1"/>
      <c r="W325" s="1"/>
      <c r="X325" s="1"/>
      <c r="Y325" s="1"/>
      <c r="Z325" s="1"/>
    </row>
    <row r="326" spans="1:26" ht="19.5" customHeight="1">
      <c r="A326" s="139" t="str">
        <f t="array" ref="A326">migration!$A71</f>
        <v>m60</v>
      </c>
      <c r="B326" s="55"/>
      <c r="C326" s="55">
        <f t="array" ref="C326">migration!C71</f>
        <v>0</v>
      </c>
      <c r="D326" s="55">
        <f t="array" ref="D326">migration!D71</f>
        <v>0</v>
      </c>
      <c r="E326" s="55">
        <f t="array" ref="E326">migration!E71</f>
        <v>0</v>
      </c>
      <c r="F326" s="55">
        <f t="array" ref="F326">migration!F71</f>
        <v>0</v>
      </c>
      <c r="G326" s="55">
        <f t="array" ref="G326">migration!G71</f>
        <v>0</v>
      </c>
      <c r="H326" s="55">
        <f t="array" ref="H326">migration!H71</f>
        <v>0</v>
      </c>
      <c r="I326" s="55">
        <f t="array" ref="I326">migration!I71</f>
        <v>0</v>
      </c>
      <c r="J326" s="55">
        <f t="array" ref="J326">migration!J71</f>
        <v>0</v>
      </c>
      <c r="K326" s="55">
        <f t="array" ref="K326">migration!K71</f>
        <v>0</v>
      </c>
      <c r="L326" s="55"/>
      <c r="M326" s="1"/>
      <c r="N326" s="1"/>
      <c r="O326" s="1"/>
      <c r="P326" s="1"/>
      <c r="Q326" s="1"/>
      <c r="R326" s="1"/>
      <c r="S326" s="1"/>
      <c r="T326" s="1"/>
      <c r="U326" s="1"/>
      <c r="V326" s="1"/>
      <c r="W326" s="1"/>
      <c r="X326" s="1"/>
      <c r="Y326" s="1"/>
      <c r="Z326" s="1"/>
    </row>
    <row r="327" spans="1:26" ht="19.5" customHeight="1">
      <c r="A327" s="139" t="str">
        <f t="array" ref="A327">migration!$A72</f>
        <v>m61</v>
      </c>
      <c r="B327" s="55"/>
      <c r="C327" s="55">
        <f t="array" ref="C327">migration!C72</f>
        <v>0</v>
      </c>
      <c r="D327" s="55">
        <f t="array" ref="D327">migration!D72</f>
        <v>0</v>
      </c>
      <c r="E327" s="55">
        <f t="array" ref="E327">migration!E72</f>
        <v>0</v>
      </c>
      <c r="F327" s="55">
        <f t="array" ref="F327">migration!F72</f>
        <v>0</v>
      </c>
      <c r="G327" s="55">
        <f t="array" ref="G327">migration!G72</f>
        <v>0</v>
      </c>
      <c r="H327" s="55">
        <f t="array" ref="H327">migration!H72</f>
        <v>0</v>
      </c>
      <c r="I327" s="55">
        <f t="array" ref="I327">migration!I72</f>
        <v>0</v>
      </c>
      <c r="J327" s="55">
        <f t="array" ref="J327">migration!J72</f>
        <v>0</v>
      </c>
      <c r="K327" s="55">
        <f t="array" ref="K327">migration!K72</f>
        <v>0</v>
      </c>
      <c r="L327" s="55"/>
      <c r="M327" s="1"/>
      <c r="N327" s="1"/>
      <c r="O327" s="1"/>
      <c r="P327" s="1"/>
      <c r="Q327" s="1"/>
      <c r="R327" s="1"/>
      <c r="S327" s="1"/>
      <c r="T327" s="1"/>
      <c r="U327" s="1"/>
      <c r="V327" s="1"/>
      <c r="W327" s="1"/>
      <c r="X327" s="1"/>
      <c r="Y327" s="1"/>
      <c r="Z327" s="1"/>
    </row>
    <row r="328" spans="1:26" ht="19.5" customHeight="1">
      <c r="A328" s="139" t="str">
        <f t="array" ref="A328">migration!$A73</f>
        <v>m62</v>
      </c>
      <c r="B328" s="55"/>
      <c r="C328" s="55">
        <f t="array" ref="C328">migration!C73</f>
        <v>0</v>
      </c>
      <c r="D328" s="55">
        <f t="array" ref="D328">migration!D73</f>
        <v>0</v>
      </c>
      <c r="E328" s="55">
        <f t="array" ref="E328">migration!E73</f>
        <v>0</v>
      </c>
      <c r="F328" s="55">
        <f t="array" ref="F328">migration!F73</f>
        <v>0</v>
      </c>
      <c r="G328" s="55">
        <f t="array" ref="G328">migration!G73</f>
        <v>0</v>
      </c>
      <c r="H328" s="55">
        <f t="array" ref="H328">migration!H73</f>
        <v>0</v>
      </c>
      <c r="I328" s="55">
        <f t="array" ref="I328">migration!I73</f>
        <v>0</v>
      </c>
      <c r="J328" s="55">
        <f t="array" ref="J328">migration!J73</f>
        <v>0</v>
      </c>
      <c r="K328" s="55">
        <f t="array" ref="K328">migration!K73</f>
        <v>0</v>
      </c>
      <c r="L328" s="55"/>
      <c r="M328" s="1"/>
      <c r="N328" s="1"/>
      <c r="O328" s="1"/>
      <c r="P328" s="1"/>
      <c r="Q328" s="1"/>
      <c r="R328" s="1"/>
      <c r="S328" s="1"/>
      <c r="T328" s="1"/>
      <c r="U328" s="1"/>
      <c r="V328" s="1"/>
      <c r="W328" s="1"/>
      <c r="X328" s="1"/>
      <c r="Y328" s="1"/>
      <c r="Z328" s="1"/>
    </row>
    <row r="329" spans="1:26" ht="19.5" customHeight="1">
      <c r="A329" s="139" t="str">
        <f t="array" ref="A329">migration!$A74</f>
        <v>m63</v>
      </c>
      <c r="B329" s="55"/>
      <c r="C329" s="55">
        <f t="array" ref="C329">migration!C74</f>
        <v>0</v>
      </c>
      <c r="D329" s="55">
        <f t="array" ref="D329">migration!D74</f>
        <v>0</v>
      </c>
      <c r="E329" s="55">
        <f t="array" ref="E329">migration!E74</f>
        <v>0</v>
      </c>
      <c r="F329" s="55">
        <f t="array" ref="F329">migration!F74</f>
        <v>0</v>
      </c>
      <c r="G329" s="55">
        <f t="array" ref="G329">migration!G74</f>
        <v>0</v>
      </c>
      <c r="H329" s="55">
        <f t="array" ref="H329">migration!H74</f>
        <v>0</v>
      </c>
      <c r="I329" s="55">
        <f t="array" ref="I329">migration!I74</f>
        <v>0</v>
      </c>
      <c r="J329" s="55">
        <f t="array" ref="J329">migration!J74</f>
        <v>0</v>
      </c>
      <c r="K329" s="55">
        <f t="array" ref="K329">migration!K74</f>
        <v>0</v>
      </c>
      <c r="L329" s="55"/>
      <c r="M329" s="1"/>
      <c r="N329" s="1"/>
      <c r="O329" s="1"/>
      <c r="P329" s="1"/>
      <c r="Q329" s="1"/>
      <c r="R329" s="1"/>
      <c r="S329" s="1"/>
      <c r="T329" s="1"/>
      <c r="U329" s="1"/>
      <c r="V329" s="1"/>
      <c r="W329" s="1"/>
      <c r="X329" s="1"/>
      <c r="Y329" s="1"/>
      <c r="Z329" s="1"/>
    </row>
    <row r="330" spans="1:26" ht="19.5" customHeight="1">
      <c r="A330" s="139" t="str">
        <f t="array" ref="A330">migration!$A75</f>
        <v>m64</v>
      </c>
      <c r="B330" s="55"/>
      <c r="C330" s="55">
        <f t="array" ref="C330">migration!C75</f>
        <v>0</v>
      </c>
      <c r="D330" s="55">
        <f t="array" ref="D330">migration!D75</f>
        <v>0</v>
      </c>
      <c r="E330" s="55">
        <f t="array" ref="E330">migration!E75</f>
        <v>0</v>
      </c>
      <c r="F330" s="55">
        <f t="array" ref="F330">migration!F75</f>
        <v>0</v>
      </c>
      <c r="G330" s="55">
        <f t="array" ref="G330">migration!G75</f>
        <v>0</v>
      </c>
      <c r="H330" s="55">
        <f t="array" ref="H330">migration!H75</f>
        <v>0</v>
      </c>
      <c r="I330" s="55">
        <f t="array" ref="I330">migration!I75</f>
        <v>0</v>
      </c>
      <c r="J330" s="55">
        <f t="array" ref="J330">migration!J75</f>
        <v>0</v>
      </c>
      <c r="K330" s="55">
        <f t="array" ref="K330">migration!K75</f>
        <v>0</v>
      </c>
      <c r="L330" s="55"/>
      <c r="M330" s="1"/>
      <c r="N330" s="1"/>
      <c r="O330" s="1"/>
      <c r="P330" s="1"/>
      <c r="Q330" s="1"/>
      <c r="R330" s="1"/>
      <c r="S330" s="1"/>
      <c r="T330" s="1"/>
      <c r="U330" s="1"/>
      <c r="V330" s="1"/>
      <c r="W330" s="1"/>
      <c r="X330" s="1"/>
      <c r="Y330" s="1"/>
      <c r="Z330" s="1"/>
    </row>
    <row r="331" spans="1:26" ht="19.5" customHeight="1">
      <c r="A331" s="139" t="str">
        <f t="array" ref="A331">migration!$A76</f>
        <v>m65</v>
      </c>
      <c r="B331" s="55"/>
      <c r="C331" s="55">
        <f t="array" ref="C331">migration!C76</f>
        <v>0</v>
      </c>
      <c r="D331" s="55">
        <f t="array" ref="D331">migration!D76</f>
        <v>0</v>
      </c>
      <c r="E331" s="55">
        <f t="array" ref="E331">migration!E76</f>
        <v>0</v>
      </c>
      <c r="F331" s="55">
        <f t="array" ref="F331">migration!F76</f>
        <v>0</v>
      </c>
      <c r="G331" s="55">
        <f t="array" ref="G331">migration!G76</f>
        <v>0</v>
      </c>
      <c r="H331" s="55">
        <f t="array" ref="H331">migration!H76</f>
        <v>0</v>
      </c>
      <c r="I331" s="55">
        <f t="array" ref="I331">migration!I76</f>
        <v>0</v>
      </c>
      <c r="J331" s="55">
        <f t="array" ref="J331">migration!J76</f>
        <v>0</v>
      </c>
      <c r="K331" s="55">
        <f t="array" ref="K331">migration!K76</f>
        <v>0</v>
      </c>
      <c r="L331" s="55"/>
      <c r="M331" s="1"/>
      <c r="N331" s="1"/>
      <c r="O331" s="1"/>
      <c r="P331" s="1"/>
      <c r="Q331" s="1"/>
      <c r="R331" s="1"/>
      <c r="S331" s="1"/>
      <c r="T331" s="1"/>
      <c r="U331" s="1"/>
      <c r="V331" s="1"/>
      <c r="W331" s="1"/>
      <c r="X331" s="1"/>
      <c r="Y331" s="1"/>
      <c r="Z331" s="1"/>
    </row>
    <row r="332" spans="1:26" ht="19.5" customHeight="1">
      <c r="A332" s="139" t="str">
        <f t="array" ref="A332">migration!$A77</f>
        <v>m66</v>
      </c>
      <c r="B332" s="55"/>
      <c r="C332" s="55">
        <f t="array" ref="C332">migration!C77</f>
        <v>0</v>
      </c>
      <c r="D332" s="55">
        <f t="array" ref="D332">migration!D77</f>
        <v>0</v>
      </c>
      <c r="E332" s="55">
        <f t="array" ref="E332">migration!E77</f>
        <v>0</v>
      </c>
      <c r="F332" s="55">
        <f t="array" ref="F332">migration!F77</f>
        <v>0</v>
      </c>
      <c r="G332" s="55">
        <f t="array" ref="G332">migration!G77</f>
        <v>0</v>
      </c>
      <c r="H332" s="55">
        <f t="array" ref="H332">migration!H77</f>
        <v>0</v>
      </c>
      <c r="I332" s="55">
        <f t="array" ref="I332">migration!I77</f>
        <v>0</v>
      </c>
      <c r="J332" s="55">
        <f t="array" ref="J332">migration!J77</f>
        <v>0</v>
      </c>
      <c r="K332" s="55">
        <f t="array" ref="K332">migration!K77</f>
        <v>0</v>
      </c>
      <c r="L332" s="55"/>
      <c r="M332" s="1"/>
      <c r="N332" s="1"/>
      <c r="O332" s="1"/>
      <c r="P332" s="1"/>
      <c r="Q332" s="1"/>
      <c r="R332" s="1"/>
      <c r="S332" s="1"/>
      <c r="T332" s="1"/>
      <c r="U332" s="1"/>
      <c r="V332" s="1"/>
      <c r="W332" s="1"/>
      <c r="X332" s="1"/>
      <c r="Y332" s="1"/>
      <c r="Z332" s="1"/>
    </row>
    <row r="333" spans="1:26" ht="19.5" customHeight="1">
      <c r="A333" s="139" t="str">
        <f t="array" ref="A333">migration!$A78</f>
        <v>m67</v>
      </c>
      <c r="B333" s="55"/>
      <c r="C333" s="55">
        <f t="array" ref="C333">migration!C78</f>
        <v>0</v>
      </c>
      <c r="D333" s="55">
        <f t="array" ref="D333">migration!D78</f>
        <v>0</v>
      </c>
      <c r="E333" s="55">
        <f t="array" ref="E333">migration!E78</f>
        <v>0</v>
      </c>
      <c r="F333" s="55">
        <f t="array" ref="F333">migration!F78</f>
        <v>0</v>
      </c>
      <c r="G333" s="55">
        <f t="array" ref="G333">migration!G78</f>
        <v>0</v>
      </c>
      <c r="H333" s="55">
        <f t="array" ref="H333">migration!H78</f>
        <v>0</v>
      </c>
      <c r="I333" s="55">
        <f t="array" ref="I333">migration!I78</f>
        <v>0</v>
      </c>
      <c r="J333" s="55">
        <f t="array" ref="J333">migration!J78</f>
        <v>0</v>
      </c>
      <c r="K333" s="55">
        <f t="array" ref="K333">migration!K78</f>
        <v>0</v>
      </c>
      <c r="L333" s="55"/>
      <c r="M333" s="1"/>
      <c r="N333" s="1"/>
      <c r="O333" s="1"/>
      <c r="P333" s="1"/>
      <c r="Q333" s="1"/>
      <c r="R333" s="1"/>
      <c r="S333" s="1"/>
      <c r="T333" s="1"/>
      <c r="U333" s="1"/>
      <c r="V333" s="1"/>
      <c r="W333" s="1"/>
      <c r="X333" s="1"/>
      <c r="Y333" s="1"/>
      <c r="Z333" s="1"/>
    </row>
    <row r="334" spans="1:26" ht="19.5" customHeight="1">
      <c r="A334" s="139" t="str">
        <f t="array" ref="A334">migration!$A79</f>
        <v>m68</v>
      </c>
      <c r="B334" s="55"/>
      <c r="C334" s="55">
        <f t="array" ref="C334">migration!C79</f>
        <v>0</v>
      </c>
      <c r="D334" s="55">
        <f t="array" ref="D334">migration!D79</f>
        <v>0</v>
      </c>
      <c r="E334" s="55">
        <f t="array" ref="E334">migration!E79</f>
        <v>0</v>
      </c>
      <c r="F334" s="55">
        <f t="array" ref="F334">migration!F79</f>
        <v>0</v>
      </c>
      <c r="G334" s="55">
        <f t="array" ref="G334">migration!G79</f>
        <v>0</v>
      </c>
      <c r="H334" s="55">
        <f t="array" ref="H334">migration!H79</f>
        <v>0</v>
      </c>
      <c r="I334" s="55">
        <f t="array" ref="I334">migration!I79</f>
        <v>0</v>
      </c>
      <c r="J334" s="55">
        <f t="array" ref="J334">migration!J79</f>
        <v>0</v>
      </c>
      <c r="K334" s="55">
        <f t="array" ref="K334">migration!K79</f>
        <v>0</v>
      </c>
      <c r="L334" s="55"/>
      <c r="M334" s="1"/>
      <c r="N334" s="1"/>
      <c r="O334" s="1"/>
      <c r="P334" s="1"/>
      <c r="Q334" s="1"/>
      <c r="R334" s="1"/>
      <c r="S334" s="1"/>
      <c r="T334" s="1"/>
      <c r="U334" s="1"/>
      <c r="V334" s="1"/>
      <c r="W334" s="1"/>
      <c r="X334" s="1"/>
      <c r="Y334" s="1"/>
      <c r="Z334" s="1"/>
    </row>
    <row r="335" spans="1:26" ht="19.5" customHeight="1">
      <c r="A335" s="139" t="str">
        <f t="array" ref="A335">migration!$A80</f>
        <v>m69</v>
      </c>
      <c r="B335" s="55"/>
      <c r="C335" s="55">
        <f t="array" ref="C335">migration!C80</f>
        <v>0</v>
      </c>
      <c r="D335" s="55">
        <f t="array" ref="D335">migration!D80</f>
        <v>0</v>
      </c>
      <c r="E335" s="55">
        <f t="array" ref="E335">migration!E80</f>
        <v>0</v>
      </c>
      <c r="F335" s="55">
        <f t="array" ref="F335">migration!F80</f>
        <v>0</v>
      </c>
      <c r="G335" s="55">
        <f t="array" ref="G335">migration!G80</f>
        <v>0</v>
      </c>
      <c r="H335" s="55">
        <f t="array" ref="H335">migration!H80</f>
        <v>0</v>
      </c>
      <c r="I335" s="55">
        <f t="array" ref="I335">migration!I80</f>
        <v>0</v>
      </c>
      <c r="J335" s="55">
        <f t="array" ref="J335">migration!J80</f>
        <v>0</v>
      </c>
      <c r="K335" s="55">
        <f t="array" ref="K335">migration!K80</f>
        <v>0</v>
      </c>
      <c r="L335" s="55"/>
      <c r="M335" s="1"/>
      <c r="N335" s="1"/>
      <c r="O335" s="1"/>
      <c r="P335" s="1"/>
      <c r="Q335" s="1"/>
      <c r="R335" s="1"/>
      <c r="S335" s="1"/>
      <c r="T335" s="1"/>
      <c r="U335" s="1"/>
      <c r="V335" s="1"/>
      <c r="W335" s="1"/>
      <c r="X335" s="1"/>
      <c r="Y335" s="1"/>
      <c r="Z335" s="1"/>
    </row>
    <row r="336" spans="1:26" ht="19.5" customHeight="1">
      <c r="A336" s="139" t="str">
        <f t="array" ref="A336">migration!$A81</f>
        <v>m70</v>
      </c>
      <c r="B336" s="55"/>
      <c r="C336" s="55">
        <f t="array" ref="C336">migration!C81</f>
        <v>0</v>
      </c>
      <c r="D336" s="55">
        <f t="array" ref="D336">migration!D81</f>
        <v>0</v>
      </c>
      <c r="E336" s="55">
        <f t="array" ref="E336">migration!E81</f>
        <v>0</v>
      </c>
      <c r="F336" s="55">
        <f t="array" ref="F336">migration!F81</f>
        <v>0</v>
      </c>
      <c r="G336" s="55">
        <f t="array" ref="G336">migration!G81</f>
        <v>0</v>
      </c>
      <c r="H336" s="55">
        <f t="array" ref="H336">migration!H81</f>
        <v>0</v>
      </c>
      <c r="I336" s="55">
        <f t="array" ref="I336">migration!I81</f>
        <v>0</v>
      </c>
      <c r="J336" s="55">
        <f t="array" ref="J336">migration!J81</f>
        <v>0</v>
      </c>
      <c r="K336" s="55">
        <f t="array" ref="K336">migration!K81</f>
        <v>0</v>
      </c>
      <c r="L336" s="55"/>
      <c r="M336" s="1"/>
      <c r="N336" s="1"/>
      <c r="O336" s="1"/>
      <c r="P336" s="1"/>
      <c r="Q336" s="1"/>
      <c r="R336" s="1"/>
      <c r="S336" s="1"/>
      <c r="T336" s="1"/>
      <c r="U336" s="1"/>
      <c r="V336" s="1"/>
      <c r="W336" s="1"/>
      <c r="X336" s="1"/>
      <c r="Y336" s="1"/>
      <c r="Z336" s="1"/>
    </row>
    <row r="337" spans="1:26" ht="19.5" customHeight="1">
      <c r="A337" s="139" t="str">
        <f t="array" ref="A337">migration!$A82</f>
        <v>m71</v>
      </c>
      <c r="B337" s="55"/>
      <c r="C337" s="55">
        <f t="array" ref="C337">migration!C82</f>
        <v>0</v>
      </c>
      <c r="D337" s="55">
        <f t="array" ref="D337">migration!D82</f>
        <v>0</v>
      </c>
      <c r="E337" s="55">
        <f t="array" ref="E337">migration!E82</f>
        <v>0</v>
      </c>
      <c r="F337" s="55">
        <f t="array" ref="F337">migration!F82</f>
        <v>0</v>
      </c>
      <c r="G337" s="55">
        <f t="array" ref="G337">migration!G82</f>
        <v>0</v>
      </c>
      <c r="H337" s="55">
        <f t="array" ref="H337">migration!H82</f>
        <v>0</v>
      </c>
      <c r="I337" s="55">
        <f t="array" ref="I337">migration!I82</f>
        <v>0</v>
      </c>
      <c r="J337" s="55">
        <f t="array" ref="J337">migration!J82</f>
        <v>0</v>
      </c>
      <c r="K337" s="55">
        <f t="array" ref="K337">migration!K82</f>
        <v>0</v>
      </c>
      <c r="L337" s="55"/>
      <c r="M337" s="1"/>
      <c r="N337" s="1"/>
      <c r="O337" s="1"/>
      <c r="P337" s="1"/>
      <c r="Q337" s="1"/>
      <c r="R337" s="1"/>
      <c r="S337" s="1"/>
      <c r="T337" s="1"/>
      <c r="U337" s="1"/>
      <c r="V337" s="1"/>
      <c r="W337" s="1"/>
      <c r="X337" s="1"/>
      <c r="Y337" s="1"/>
      <c r="Z337" s="1"/>
    </row>
    <row r="338" spans="1:26" ht="19.5" customHeight="1">
      <c r="A338" s="139" t="str">
        <f t="array" ref="A338">migration!$A83</f>
        <v>m72</v>
      </c>
      <c r="B338" s="55"/>
      <c r="C338" s="55">
        <f t="array" ref="C338">migration!C83</f>
        <v>0</v>
      </c>
      <c r="D338" s="55">
        <f t="array" ref="D338">migration!D83</f>
        <v>0</v>
      </c>
      <c r="E338" s="55">
        <f t="array" ref="E338">migration!E83</f>
        <v>0</v>
      </c>
      <c r="F338" s="55">
        <f t="array" ref="F338">migration!F83</f>
        <v>0</v>
      </c>
      <c r="G338" s="55">
        <f t="array" ref="G338">migration!G83</f>
        <v>0</v>
      </c>
      <c r="H338" s="55">
        <f t="array" ref="H338">migration!H83</f>
        <v>0</v>
      </c>
      <c r="I338" s="55">
        <f t="array" ref="I338">migration!I83</f>
        <v>0</v>
      </c>
      <c r="J338" s="55">
        <f t="array" ref="J338">migration!J83</f>
        <v>0</v>
      </c>
      <c r="K338" s="55">
        <f t="array" ref="K338">migration!K83</f>
        <v>0</v>
      </c>
      <c r="L338" s="55"/>
      <c r="M338" s="1"/>
      <c r="N338" s="1"/>
      <c r="O338" s="1"/>
      <c r="P338" s="1"/>
      <c r="Q338" s="1"/>
      <c r="R338" s="1"/>
      <c r="S338" s="1"/>
      <c r="T338" s="1"/>
      <c r="U338" s="1"/>
      <c r="V338" s="1"/>
      <c r="W338" s="1"/>
      <c r="X338" s="1"/>
      <c r="Y338" s="1"/>
      <c r="Z338" s="1"/>
    </row>
    <row r="339" spans="1:26" ht="19.5" customHeight="1">
      <c r="A339" s="139" t="str">
        <f t="array" ref="A339">migration!$A84</f>
        <v>m73</v>
      </c>
      <c r="B339" s="55"/>
      <c r="C339" s="55">
        <f t="array" ref="C339">migration!C84</f>
        <v>0</v>
      </c>
      <c r="D339" s="55">
        <f t="array" ref="D339">migration!D84</f>
        <v>0</v>
      </c>
      <c r="E339" s="55">
        <f t="array" ref="E339">migration!E84</f>
        <v>0</v>
      </c>
      <c r="F339" s="55">
        <f t="array" ref="F339">migration!F84</f>
        <v>0</v>
      </c>
      <c r="G339" s="55">
        <f t="array" ref="G339">migration!G84</f>
        <v>0</v>
      </c>
      <c r="H339" s="55">
        <f t="array" ref="H339">migration!H84</f>
        <v>0</v>
      </c>
      <c r="I339" s="55">
        <f t="array" ref="I339">migration!I84</f>
        <v>0</v>
      </c>
      <c r="J339" s="55">
        <f t="array" ref="J339">migration!J84</f>
        <v>0</v>
      </c>
      <c r="K339" s="55">
        <f t="array" ref="K339">migration!K84</f>
        <v>0</v>
      </c>
      <c r="L339" s="55"/>
      <c r="M339" s="1"/>
      <c r="N339" s="1"/>
      <c r="O339" s="1"/>
      <c r="P339" s="1"/>
      <c r="Q339" s="1"/>
      <c r="R339" s="1"/>
      <c r="S339" s="1"/>
      <c r="T339" s="1"/>
      <c r="U339" s="1"/>
      <c r="V339" s="1"/>
      <c r="W339" s="1"/>
      <c r="X339" s="1"/>
      <c r="Y339" s="1"/>
      <c r="Z339" s="1"/>
    </row>
    <row r="340" spans="1:26" ht="19.5" customHeight="1">
      <c r="A340" s="139" t="str">
        <f t="array" ref="A340">migration!$A85</f>
        <v>m74</v>
      </c>
      <c r="B340" s="55"/>
      <c r="C340" s="55">
        <f t="array" ref="C340">migration!C85</f>
        <v>0</v>
      </c>
      <c r="D340" s="55">
        <f t="array" ref="D340">migration!D85</f>
        <v>0</v>
      </c>
      <c r="E340" s="55">
        <f t="array" ref="E340">migration!E85</f>
        <v>0</v>
      </c>
      <c r="F340" s="55">
        <f t="array" ref="F340">migration!F85</f>
        <v>0</v>
      </c>
      <c r="G340" s="55">
        <f t="array" ref="G340">migration!G85</f>
        <v>0</v>
      </c>
      <c r="H340" s="55">
        <f t="array" ref="H340">migration!H85</f>
        <v>0</v>
      </c>
      <c r="I340" s="55">
        <f t="array" ref="I340">migration!I85</f>
        <v>0</v>
      </c>
      <c r="J340" s="55">
        <f t="array" ref="J340">migration!J85</f>
        <v>0</v>
      </c>
      <c r="K340" s="55">
        <f t="array" ref="K340">migration!K85</f>
        <v>0</v>
      </c>
      <c r="L340" s="55"/>
      <c r="M340" s="1"/>
      <c r="N340" s="1"/>
      <c r="O340" s="1"/>
      <c r="P340" s="1"/>
      <c r="Q340" s="1"/>
      <c r="R340" s="1"/>
      <c r="S340" s="1"/>
      <c r="T340" s="1"/>
      <c r="U340" s="1"/>
      <c r="V340" s="1"/>
      <c r="W340" s="1"/>
      <c r="X340" s="1"/>
      <c r="Y340" s="1"/>
      <c r="Z340" s="1"/>
    </row>
    <row r="341" spans="1:26" ht="19.5" customHeight="1">
      <c r="A341" s="139" t="str">
        <f t="array" ref="A341">migration!$A86</f>
        <v>m75</v>
      </c>
      <c r="B341" s="55"/>
      <c r="C341" s="55">
        <f t="array" ref="C341">migration!C86</f>
        <v>0</v>
      </c>
      <c r="D341" s="55">
        <f t="array" ref="D341">migration!D86</f>
        <v>0</v>
      </c>
      <c r="E341" s="55">
        <f t="array" ref="E341">migration!E86</f>
        <v>0</v>
      </c>
      <c r="F341" s="55">
        <f t="array" ref="F341">migration!F86</f>
        <v>0</v>
      </c>
      <c r="G341" s="55">
        <f t="array" ref="G341">migration!G86</f>
        <v>0</v>
      </c>
      <c r="H341" s="55">
        <f t="array" ref="H341">migration!H86</f>
        <v>0</v>
      </c>
      <c r="I341" s="55">
        <f t="array" ref="I341">migration!I86</f>
        <v>0</v>
      </c>
      <c r="J341" s="55">
        <f t="array" ref="J341">migration!J86</f>
        <v>0</v>
      </c>
      <c r="K341" s="55">
        <f t="array" ref="K341">migration!K86</f>
        <v>0</v>
      </c>
      <c r="L341" s="55"/>
      <c r="M341" s="1"/>
      <c r="N341" s="1"/>
      <c r="O341" s="1"/>
      <c r="P341" s="1"/>
      <c r="Q341" s="1"/>
      <c r="R341" s="1"/>
      <c r="S341" s="1"/>
      <c r="T341" s="1"/>
      <c r="U341" s="1"/>
      <c r="V341" s="1"/>
      <c r="W341" s="1"/>
      <c r="X341" s="1"/>
      <c r="Y341" s="1"/>
      <c r="Z341" s="1"/>
    </row>
    <row r="342" spans="1:26" ht="19.5" customHeight="1">
      <c r="A342" s="139" t="str">
        <f t="array" ref="A342">migration!$A87</f>
        <v>m76</v>
      </c>
      <c r="B342" s="55"/>
      <c r="C342" s="55">
        <f t="array" ref="C342">migration!C87</f>
        <v>0</v>
      </c>
      <c r="D342" s="55">
        <f t="array" ref="D342">migration!D87</f>
        <v>0</v>
      </c>
      <c r="E342" s="55">
        <f t="array" ref="E342">migration!E87</f>
        <v>0</v>
      </c>
      <c r="F342" s="55">
        <f t="array" ref="F342">migration!F87</f>
        <v>0</v>
      </c>
      <c r="G342" s="55">
        <f t="array" ref="G342">migration!G87</f>
        <v>0</v>
      </c>
      <c r="H342" s="55">
        <f t="array" ref="H342">migration!H87</f>
        <v>0</v>
      </c>
      <c r="I342" s="55">
        <f t="array" ref="I342">migration!I87</f>
        <v>0</v>
      </c>
      <c r="J342" s="55">
        <f t="array" ref="J342">migration!J87</f>
        <v>0</v>
      </c>
      <c r="K342" s="55">
        <f t="array" ref="K342">migration!K87</f>
        <v>0</v>
      </c>
      <c r="L342" s="55"/>
      <c r="M342" s="1"/>
      <c r="N342" s="1"/>
      <c r="O342" s="1"/>
      <c r="P342" s="1"/>
      <c r="Q342" s="1"/>
      <c r="R342" s="1"/>
      <c r="S342" s="1"/>
      <c r="T342" s="1"/>
      <c r="U342" s="1"/>
      <c r="V342" s="1"/>
      <c r="W342" s="1"/>
      <c r="X342" s="1"/>
      <c r="Y342" s="1"/>
      <c r="Z342" s="1"/>
    </row>
    <row r="343" spans="1:26" ht="19.5" customHeight="1">
      <c r="A343" s="139" t="str">
        <f t="array" ref="A343">migration!$A88</f>
        <v>m77</v>
      </c>
      <c r="B343" s="55"/>
      <c r="C343" s="55">
        <f t="array" ref="C343">migration!C88</f>
        <v>0</v>
      </c>
      <c r="D343" s="55">
        <f t="array" ref="D343">migration!D88</f>
        <v>0</v>
      </c>
      <c r="E343" s="55">
        <f t="array" ref="E343">migration!E88</f>
        <v>0</v>
      </c>
      <c r="F343" s="55">
        <f t="array" ref="F343">migration!F88</f>
        <v>0</v>
      </c>
      <c r="G343" s="55">
        <f t="array" ref="G343">migration!G88</f>
        <v>0</v>
      </c>
      <c r="H343" s="55">
        <f t="array" ref="H343">migration!H88</f>
        <v>0</v>
      </c>
      <c r="I343" s="55">
        <f t="array" ref="I343">migration!I88</f>
        <v>0</v>
      </c>
      <c r="J343" s="55">
        <f t="array" ref="J343">migration!J88</f>
        <v>0</v>
      </c>
      <c r="K343" s="55">
        <f t="array" ref="K343">migration!K88</f>
        <v>0</v>
      </c>
      <c r="L343" s="55"/>
      <c r="M343" s="1"/>
      <c r="N343" s="1"/>
      <c r="O343" s="1"/>
      <c r="P343" s="1"/>
      <c r="Q343" s="1"/>
      <c r="R343" s="1"/>
      <c r="S343" s="1"/>
      <c r="T343" s="1"/>
      <c r="U343" s="1"/>
      <c r="V343" s="1"/>
      <c r="W343" s="1"/>
      <c r="X343" s="1"/>
      <c r="Y343" s="1"/>
      <c r="Z343" s="1"/>
    </row>
    <row r="344" spans="1:26" ht="19.5" customHeight="1">
      <c r="A344" s="139" t="str">
        <f t="array" ref="A344">migration!$A89</f>
        <v>m78</v>
      </c>
      <c r="B344" s="55"/>
      <c r="C344" s="55">
        <f t="array" ref="C344">migration!C89</f>
        <v>0</v>
      </c>
      <c r="D344" s="55">
        <f t="array" ref="D344">migration!D89</f>
        <v>0</v>
      </c>
      <c r="E344" s="55">
        <f t="array" ref="E344">migration!E89</f>
        <v>0</v>
      </c>
      <c r="F344" s="55">
        <f t="array" ref="F344">migration!F89</f>
        <v>0</v>
      </c>
      <c r="G344" s="55">
        <f t="array" ref="G344">migration!G89</f>
        <v>0</v>
      </c>
      <c r="H344" s="55">
        <f t="array" ref="H344">migration!H89</f>
        <v>0</v>
      </c>
      <c r="I344" s="55">
        <f t="array" ref="I344">migration!I89</f>
        <v>0</v>
      </c>
      <c r="J344" s="55">
        <f t="array" ref="J344">migration!J89</f>
        <v>0</v>
      </c>
      <c r="K344" s="55">
        <f t="array" ref="K344">migration!K89</f>
        <v>0</v>
      </c>
      <c r="L344" s="55"/>
      <c r="M344" s="1"/>
      <c r="N344" s="1"/>
      <c r="O344" s="1"/>
      <c r="P344" s="1"/>
      <c r="Q344" s="1"/>
      <c r="R344" s="1"/>
      <c r="S344" s="1"/>
      <c r="T344" s="1"/>
      <c r="U344" s="1"/>
      <c r="V344" s="1"/>
      <c r="W344" s="1"/>
      <c r="X344" s="1"/>
      <c r="Y344" s="1"/>
      <c r="Z344" s="1"/>
    </row>
    <row r="345" spans="1:26" ht="19.5" customHeight="1">
      <c r="A345" s="139" t="str">
        <f t="array" ref="A345">migration!$A90</f>
        <v>m79</v>
      </c>
      <c r="B345" s="55"/>
      <c r="C345" s="55">
        <f t="array" ref="C345">migration!C90</f>
        <v>0</v>
      </c>
      <c r="D345" s="55">
        <f t="array" ref="D345">migration!D90</f>
        <v>0</v>
      </c>
      <c r="E345" s="55">
        <f t="array" ref="E345">migration!E90</f>
        <v>0</v>
      </c>
      <c r="F345" s="55">
        <f t="array" ref="F345">migration!F90</f>
        <v>0</v>
      </c>
      <c r="G345" s="55">
        <f t="array" ref="G345">migration!G90</f>
        <v>0</v>
      </c>
      <c r="H345" s="55">
        <f t="array" ref="H345">migration!H90</f>
        <v>0</v>
      </c>
      <c r="I345" s="55">
        <f t="array" ref="I345">migration!I90</f>
        <v>0</v>
      </c>
      <c r="J345" s="55">
        <f t="array" ref="J345">migration!J90</f>
        <v>0</v>
      </c>
      <c r="K345" s="55">
        <f t="array" ref="K345">migration!K90</f>
        <v>0</v>
      </c>
      <c r="L345" s="55"/>
      <c r="M345" s="1"/>
      <c r="N345" s="1"/>
      <c r="O345" s="1"/>
      <c r="P345" s="1"/>
      <c r="Q345" s="1"/>
      <c r="R345" s="1"/>
      <c r="S345" s="1"/>
      <c r="T345" s="1"/>
      <c r="U345" s="1"/>
      <c r="V345" s="1"/>
      <c r="W345" s="1"/>
      <c r="X345" s="1"/>
      <c r="Y345" s="1"/>
      <c r="Z345" s="1"/>
    </row>
    <row r="346" spans="1:26" ht="19.5" customHeight="1">
      <c r="A346" s="139" t="str">
        <f t="array" ref="A346">migration!$A91</f>
        <v>m80</v>
      </c>
      <c r="B346" s="55"/>
      <c r="C346" s="55">
        <f t="array" ref="C346">migration!C91</f>
        <v>0</v>
      </c>
      <c r="D346" s="55">
        <f t="array" ref="D346">migration!D91</f>
        <v>0</v>
      </c>
      <c r="E346" s="55">
        <f t="array" ref="E346">migration!E91</f>
        <v>0</v>
      </c>
      <c r="F346" s="55">
        <f t="array" ref="F346">migration!F91</f>
        <v>0</v>
      </c>
      <c r="G346" s="55">
        <f t="array" ref="G346">migration!G91</f>
        <v>0</v>
      </c>
      <c r="H346" s="55">
        <f t="array" ref="H346">migration!H91</f>
        <v>0</v>
      </c>
      <c r="I346" s="55">
        <f t="array" ref="I346">migration!I91</f>
        <v>0</v>
      </c>
      <c r="J346" s="55">
        <f t="array" ref="J346">migration!J91</f>
        <v>0</v>
      </c>
      <c r="K346" s="55">
        <f t="array" ref="K346">migration!K91</f>
        <v>0</v>
      </c>
      <c r="L346" s="55"/>
      <c r="M346" s="1"/>
      <c r="N346" s="1"/>
      <c r="O346" s="1"/>
      <c r="P346" s="1"/>
      <c r="Q346" s="1"/>
      <c r="R346" s="1"/>
      <c r="S346" s="1"/>
      <c r="T346" s="1"/>
      <c r="U346" s="1"/>
      <c r="V346" s="1"/>
      <c r="W346" s="1"/>
      <c r="X346" s="1"/>
      <c r="Y346" s="1"/>
      <c r="Z346" s="1"/>
    </row>
    <row r="347" spans="1:26" ht="19.5" customHeight="1">
      <c r="A347" s="139" t="str">
        <f t="array" ref="A347">migration!$A92</f>
        <v>m81</v>
      </c>
      <c r="B347" s="55"/>
      <c r="C347" s="55">
        <f t="array" ref="C347">migration!C92</f>
        <v>0</v>
      </c>
      <c r="D347" s="55">
        <f t="array" ref="D347">migration!D92</f>
        <v>0</v>
      </c>
      <c r="E347" s="55">
        <f t="array" ref="E347">migration!E92</f>
        <v>0</v>
      </c>
      <c r="F347" s="55">
        <f t="array" ref="F347">migration!F92</f>
        <v>0</v>
      </c>
      <c r="G347" s="55">
        <f t="array" ref="G347">migration!G92</f>
        <v>0</v>
      </c>
      <c r="H347" s="55">
        <f t="array" ref="H347">migration!H92</f>
        <v>0</v>
      </c>
      <c r="I347" s="55">
        <f t="array" ref="I347">migration!I92</f>
        <v>0</v>
      </c>
      <c r="J347" s="55">
        <f t="array" ref="J347">migration!J92</f>
        <v>0</v>
      </c>
      <c r="K347" s="55">
        <f t="array" ref="K347">migration!K92</f>
        <v>0</v>
      </c>
      <c r="L347" s="55"/>
      <c r="M347" s="1"/>
      <c r="N347" s="1"/>
      <c r="O347" s="1"/>
      <c r="P347" s="1"/>
      <c r="Q347" s="1"/>
      <c r="R347" s="1"/>
      <c r="S347" s="1"/>
      <c r="T347" s="1"/>
      <c r="U347" s="1"/>
      <c r="V347" s="1"/>
      <c r="W347" s="1"/>
      <c r="X347" s="1"/>
      <c r="Y347" s="1"/>
      <c r="Z347" s="1"/>
    </row>
    <row r="348" spans="1:26" ht="19.5" customHeight="1">
      <c r="A348" s="139" t="str">
        <f t="array" ref="A348">migration!$A93</f>
        <v>m82</v>
      </c>
      <c r="B348" s="55"/>
      <c r="C348" s="55">
        <f t="array" ref="C348">migration!C93</f>
        <v>0</v>
      </c>
      <c r="D348" s="55">
        <f t="array" ref="D348">migration!D93</f>
        <v>0</v>
      </c>
      <c r="E348" s="55">
        <f t="array" ref="E348">migration!E93</f>
        <v>0</v>
      </c>
      <c r="F348" s="55">
        <f t="array" ref="F348">migration!F93</f>
        <v>0</v>
      </c>
      <c r="G348" s="55">
        <f t="array" ref="G348">migration!G93</f>
        <v>0</v>
      </c>
      <c r="H348" s="55">
        <f t="array" ref="H348">migration!H93</f>
        <v>0</v>
      </c>
      <c r="I348" s="55">
        <f t="array" ref="I348">migration!I93</f>
        <v>0</v>
      </c>
      <c r="J348" s="55">
        <f t="array" ref="J348">migration!J93</f>
        <v>0</v>
      </c>
      <c r="K348" s="55">
        <f t="array" ref="K348">migration!K93</f>
        <v>0</v>
      </c>
      <c r="L348" s="55"/>
      <c r="M348" s="1"/>
      <c r="N348" s="1"/>
      <c r="O348" s="1"/>
      <c r="P348" s="1"/>
      <c r="Q348" s="1"/>
      <c r="R348" s="1"/>
      <c r="S348" s="1"/>
      <c r="T348" s="1"/>
      <c r="U348" s="1"/>
      <c r="V348" s="1"/>
      <c r="W348" s="1"/>
      <c r="X348" s="1"/>
      <c r="Y348" s="1"/>
      <c r="Z348" s="1"/>
    </row>
    <row r="349" spans="1:26" ht="19.5" customHeight="1">
      <c r="A349" s="139" t="str">
        <f t="array" ref="A349">migration!$A94</f>
        <v>m83</v>
      </c>
      <c r="B349" s="55"/>
      <c r="C349" s="55">
        <f t="array" ref="C349">migration!C94</f>
        <v>0</v>
      </c>
      <c r="D349" s="55">
        <f t="array" ref="D349">migration!D94</f>
        <v>0</v>
      </c>
      <c r="E349" s="55">
        <f t="array" ref="E349">migration!E94</f>
        <v>0</v>
      </c>
      <c r="F349" s="55">
        <f t="array" ref="F349">migration!F94</f>
        <v>0</v>
      </c>
      <c r="G349" s="55">
        <f t="array" ref="G349">migration!G94</f>
        <v>0</v>
      </c>
      <c r="H349" s="55">
        <f t="array" ref="H349">migration!H94</f>
        <v>0</v>
      </c>
      <c r="I349" s="55">
        <f t="array" ref="I349">migration!I94</f>
        <v>0</v>
      </c>
      <c r="J349" s="55">
        <f t="array" ref="J349">migration!J94</f>
        <v>0</v>
      </c>
      <c r="K349" s="55">
        <f t="array" ref="K349">migration!K94</f>
        <v>0</v>
      </c>
      <c r="L349" s="55"/>
      <c r="M349" s="1"/>
      <c r="N349" s="1"/>
      <c r="O349" s="1"/>
      <c r="P349" s="1"/>
      <c r="Q349" s="1"/>
      <c r="R349" s="1"/>
      <c r="S349" s="1"/>
      <c r="T349" s="1"/>
      <c r="U349" s="1"/>
      <c r="V349" s="1"/>
      <c r="W349" s="1"/>
      <c r="X349" s="1"/>
      <c r="Y349" s="1"/>
      <c r="Z349" s="1"/>
    </row>
    <row r="350" spans="1:26" ht="19.5" customHeight="1">
      <c r="A350" s="139" t="str">
        <f t="array" ref="A350">migration!$A95</f>
        <v>m84</v>
      </c>
      <c r="B350" s="55"/>
      <c r="C350" s="55">
        <f t="array" ref="C350">migration!C95</f>
        <v>0</v>
      </c>
      <c r="D350" s="55">
        <f t="array" ref="D350">migration!D95</f>
        <v>0</v>
      </c>
      <c r="E350" s="55">
        <f t="array" ref="E350">migration!E95</f>
        <v>0</v>
      </c>
      <c r="F350" s="55">
        <f t="array" ref="F350">migration!F95</f>
        <v>0</v>
      </c>
      <c r="G350" s="55">
        <f t="array" ref="G350">migration!G95</f>
        <v>0</v>
      </c>
      <c r="H350" s="55">
        <f t="array" ref="H350">migration!H95</f>
        <v>0</v>
      </c>
      <c r="I350" s="55">
        <f t="array" ref="I350">migration!I95</f>
        <v>0</v>
      </c>
      <c r="J350" s="55">
        <f t="array" ref="J350">migration!J95</f>
        <v>0</v>
      </c>
      <c r="K350" s="55">
        <f t="array" ref="K350">migration!K95</f>
        <v>0</v>
      </c>
      <c r="L350" s="55"/>
      <c r="M350" s="1"/>
      <c r="N350" s="1"/>
      <c r="O350" s="1"/>
      <c r="P350" s="1"/>
      <c r="Q350" s="1"/>
      <c r="R350" s="1"/>
      <c r="S350" s="1"/>
      <c r="T350" s="1"/>
      <c r="U350" s="1"/>
      <c r="V350" s="1"/>
      <c r="W350" s="1"/>
      <c r="X350" s="1"/>
      <c r="Y350" s="1"/>
      <c r="Z350" s="1"/>
    </row>
    <row r="351" spans="1:26" ht="19.5" customHeight="1">
      <c r="A351" s="139" t="str">
        <f t="array" ref="A351">migration!$A96</f>
        <v>m85</v>
      </c>
      <c r="B351" s="55"/>
      <c r="C351" s="55">
        <f t="array" ref="C351">migration!C96</f>
        <v>0</v>
      </c>
      <c r="D351" s="55">
        <f t="array" ref="D351">migration!D96</f>
        <v>0</v>
      </c>
      <c r="E351" s="55">
        <f t="array" ref="E351">migration!E96</f>
        <v>0</v>
      </c>
      <c r="F351" s="55">
        <f t="array" ref="F351">migration!F96</f>
        <v>0</v>
      </c>
      <c r="G351" s="55">
        <f t="array" ref="G351">migration!G96</f>
        <v>0</v>
      </c>
      <c r="H351" s="55">
        <f t="array" ref="H351">migration!H96</f>
        <v>0</v>
      </c>
      <c r="I351" s="55">
        <f t="array" ref="I351">migration!I96</f>
        <v>0</v>
      </c>
      <c r="J351" s="55">
        <f t="array" ref="J351">migration!J96</f>
        <v>0</v>
      </c>
      <c r="K351" s="55">
        <f t="array" ref="K351">migration!K96</f>
        <v>0</v>
      </c>
      <c r="L351" s="55"/>
      <c r="M351" s="1"/>
      <c r="N351" s="1"/>
      <c r="O351" s="1"/>
      <c r="P351" s="1"/>
      <c r="Q351" s="1"/>
      <c r="R351" s="1"/>
      <c r="S351" s="1"/>
      <c r="T351" s="1"/>
      <c r="U351" s="1"/>
      <c r="V351" s="1"/>
      <c r="W351" s="1"/>
      <c r="X351" s="1"/>
      <c r="Y351" s="1"/>
      <c r="Z351" s="1"/>
    </row>
    <row r="352" spans="1:26" ht="19.5" customHeight="1">
      <c r="A352" s="139" t="str">
        <f t="array" ref="A352">migration!$A97</f>
        <v>m86</v>
      </c>
      <c r="B352" s="55"/>
      <c r="C352" s="55">
        <f t="array" ref="C352">migration!C97</f>
        <v>0</v>
      </c>
      <c r="D352" s="55">
        <f t="array" ref="D352">migration!D97</f>
        <v>0</v>
      </c>
      <c r="E352" s="55">
        <f t="array" ref="E352">migration!E97</f>
        <v>0</v>
      </c>
      <c r="F352" s="55">
        <f t="array" ref="F352">migration!F97</f>
        <v>0</v>
      </c>
      <c r="G352" s="55">
        <f t="array" ref="G352">migration!G97</f>
        <v>0</v>
      </c>
      <c r="H352" s="55">
        <f t="array" ref="H352">migration!H97</f>
        <v>0</v>
      </c>
      <c r="I352" s="55">
        <f t="array" ref="I352">migration!I97</f>
        <v>0</v>
      </c>
      <c r="J352" s="55">
        <f t="array" ref="J352">migration!J97</f>
        <v>0</v>
      </c>
      <c r="K352" s="55">
        <f t="array" ref="K352">migration!K97</f>
        <v>0</v>
      </c>
      <c r="L352" s="55"/>
      <c r="M352" s="1"/>
      <c r="N352" s="1"/>
      <c r="O352" s="1"/>
      <c r="P352" s="1"/>
      <c r="Q352" s="1"/>
      <c r="R352" s="1"/>
      <c r="S352" s="1"/>
      <c r="T352" s="1"/>
      <c r="U352" s="1"/>
      <c r="V352" s="1"/>
      <c r="W352" s="1"/>
      <c r="X352" s="1"/>
      <c r="Y352" s="1"/>
      <c r="Z352" s="1"/>
    </row>
    <row r="353" spans="1:26" ht="19.5" customHeight="1">
      <c r="A353" s="139" t="str">
        <f t="array" ref="A353">migration!$A98</f>
        <v>m87</v>
      </c>
      <c r="B353" s="55"/>
      <c r="C353" s="55">
        <f t="array" ref="C353">migration!C98</f>
        <v>0</v>
      </c>
      <c r="D353" s="55">
        <f t="array" ref="D353">migration!D98</f>
        <v>0</v>
      </c>
      <c r="E353" s="55">
        <f t="array" ref="E353">migration!E98</f>
        <v>0</v>
      </c>
      <c r="F353" s="55">
        <f t="array" ref="F353">migration!F98</f>
        <v>0</v>
      </c>
      <c r="G353" s="55">
        <f t="array" ref="G353">migration!G98</f>
        <v>0</v>
      </c>
      <c r="H353" s="55">
        <f t="array" ref="H353">migration!H98</f>
        <v>0</v>
      </c>
      <c r="I353" s="55">
        <f t="array" ref="I353">migration!I98</f>
        <v>0</v>
      </c>
      <c r="J353" s="55">
        <f t="array" ref="J353">migration!J98</f>
        <v>0</v>
      </c>
      <c r="K353" s="55">
        <f t="array" ref="K353">migration!K98</f>
        <v>0</v>
      </c>
      <c r="L353" s="55"/>
      <c r="M353" s="1"/>
      <c r="N353" s="1"/>
      <c r="O353" s="1"/>
      <c r="P353" s="1"/>
      <c r="Q353" s="1"/>
      <c r="R353" s="1"/>
      <c r="S353" s="1"/>
      <c r="T353" s="1"/>
      <c r="U353" s="1"/>
      <c r="V353" s="1"/>
      <c r="W353" s="1"/>
      <c r="X353" s="1"/>
      <c r="Y353" s="1"/>
      <c r="Z353" s="1"/>
    </row>
    <row r="354" spans="1:26" ht="19.5" customHeight="1">
      <c r="A354" s="139" t="str">
        <f t="array" ref="A354">migration!$A99</f>
        <v>m88</v>
      </c>
      <c r="B354" s="55"/>
      <c r="C354" s="55">
        <f t="array" ref="C354">migration!C99</f>
        <v>0</v>
      </c>
      <c r="D354" s="55">
        <f t="array" ref="D354">migration!D99</f>
        <v>0</v>
      </c>
      <c r="E354" s="55">
        <f t="array" ref="E354">migration!E99</f>
        <v>0</v>
      </c>
      <c r="F354" s="55">
        <f t="array" ref="F354">migration!F99</f>
        <v>0</v>
      </c>
      <c r="G354" s="55">
        <f t="array" ref="G354">migration!G99</f>
        <v>0</v>
      </c>
      <c r="H354" s="55">
        <f t="array" ref="H354">migration!H99</f>
        <v>0</v>
      </c>
      <c r="I354" s="55">
        <f t="array" ref="I354">migration!I99</f>
        <v>0</v>
      </c>
      <c r="J354" s="55">
        <f t="array" ref="J354">migration!J99</f>
        <v>0</v>
      </c>
      <c r="K354" s="55">
        <f t="array" ref="K354">migration!K99</f>
        <v>0</v>
      </c>
      <c r="L354" s="55"/>
      <c r="M354" s="1"/>
      <c r="N354" s="1"/>
      <c r="O354" s="1"/>
      <c r="P354" s="1"/>
      <c r="Q354" s="1"/>
      <c r="R354" s="1"/>
      <c r="S354" s="1"/>
      <c r="T354" s="1"/>
      <c r="U354" s="1"/>
      <c r="V354" s="1"/>
      <c r="W354" s="1"/>
      <c r="X354" s="1"/>
      <c r="Y354" s="1"/>
      <c r="Z354" s="1"/>
    </row>
    <row r="355" spans="1:26" ht="19.5" customHeight="1">
      <c r="A355" s="139" t="str">
        <f t="array" ref="A355">migration!$A100</f>
        <v>m89</v>
      </c>
      <c r="B355" s="55"/>
      <c r="C355" s="55">
        <f t="array" ref="C355">migration!C100</f>
        <v>0</v>
      </c>
      <c r="D355" s="55">
        <f t="array" ref="D355">migration!D100</f>
        <v>0</v>
      </c>
      <c r="E355" s="55">
        <f t="array" ref="E355">migration!E100</f>
        <v>0</v>
      </c>
      <c r="F355" s="55">
        <f t="array" ref="F355">migration!F100</f>
        <v>0</v>
      </c>
      <c r="G355" s="55">
        <f t="array" ref="G355">migration!G100</f>
        <v>0</v>
      </c>
      <c r="H355" s="55">
        <f t="array" ref="H355">migration!H100</f>
        <v>0</v>
      </c>
      <c r="I355" s="55">
        <f t="array" ref="I355">migration!I100</f>
        <v>0</v>
      </c>
      <c r="J355" s="55">
        <f t="array" ref="J355">migration!J100</f>
        <v>0</v>
      </c>
      <c r="K355" s="55">
        <f t="array" ref="K355">migration!K100</f>
        <v>0</v>
      </c>
      <c r="L355" s="55"/>
      <c r="M355" s="1"/>
      <c r="N355" s="1"/>
      <c r="O355" s="1"/>
      <c r="P355" s="1"/>
      <c r="Q355" s="1"/>
      <c r="R355" s="1"/>
      <c r="S355" s="1"/>
      <c r="T355" s="1"/>
      <c r="U355" s="1"/>
      <c r="V355" s="1"/>
      <c r="W355" s="1"/>
      <c r="X355" s="1"/>
      <c r="Y355" s="1"/>
      <c r="Z355" s="1"/>
    </row>
    <row r="356" spans="1:26" ht="19.5" customHeight="1">
      <c r="A356" s="139" t="str">
        <f t="array" ref="A356">migration!$A101</f>
        <v>m90</v>
      </c>
      <c r="B356" s="55"/>
      <c r="C356" s="55">
        <f t="array" ref="C356">migration!C101</f>
        <v>0</v>
      </c>
      <c r="D356" s="55">
        <f t="array" ref="D356">migration!D101</f>
        <v>0</v>
      </c>
      <c r="E356" s="55">
        <f t="array" ref="E356">migration!E101</f>
        <v>0</v>
      </c>
      <c r="F356" s="55">
        <f t="array" ref="F356">migration!F101</f>
        <v>0</v>
      </c>
      <c r="G356" s="55">
        <f t="array" ref="G356">migration!G101</f>
        <v>0</v>
      </c>
      <c r="H356" s="55">
        <f t="array" ref="H356">migration!H101</f>
        <v>0</v>
      </c>
      <c r="I356" s="55">
        <f t="array" ref="I356">migration!I101</f>
        <v>0</v>
      </c>
      <c r="J356" s="55">
        <f t="array" ref="J356">migration!J101</f>
        <v>0</v>
      </c>
      <c r="K356" s="55">
        <f t="array" ref="K356">migration!K101</f>
        <v>0</v>
      </c>
      <c r="L356" s="55"/>
      <c r="M356" s="1"/>
      <c r="N356" s="1"/>
      <c r="O356" s="1"/>
      <c r="P356" s="1"/>
      <c r="Q356" s="1"/>
      <c r="R356" s="1"/>
      <c r="S356" s="1"/>
      <c r="T356" s="1"/>
      <c r="U356" s="1"/>
      <c r="V356" s="1"/>
      <c r="W356" s="1"/>
      <c r="X356" s="1"/>
      <c r="Y356" s="1"/>
      <c r="Z356" s="1"/>
    </row>
    <row r="357" spans="1:26" ht="19.5" customHeight="1">
      <c r="A357" s="139" t="str">
        <f t="array" ref="A357">migration!$A102</f>
        <v>m91</v>
      </c>
      <c r="B357" s="55"/>
      <c r="C357" s="55">
        <f t="array" ref="C357">migration!C102</f>
        <v>0</v>
      </c>
      <c r="D357" s="55">
        <f t="array" ref="D357">migration!D102</f>
        <v>0</v>
      </c>
      <c r="E357" s="55">
        <f t="array" ref="E357">migration!E102</f>
        <v>0</v>
      </c>
      <c r="F357" s="55">
        <f t="array" ref="F357">migration!F102</f>
        <v>0</v>
      </c>
      <c r="G357" s="55">
        <f t="array" ref="G357">migration!G102</f>
        <v>0</v>
      </c>
      <c r="H357" s="55">
        <f t="array" ref="H357">migration!H102</f>
        <v>0</v>
      </c>
      <c r="I357" s="55">
        <f t="array" ref="I357">migration!I102</f>
        <v>0</v>
      </c>
      <c r="J357" s="55">
        <f t="array" ref="J357">migration!J102</f>
        <v>0</v>
      </c>
      <c r="K357" s="55">
        <f t="array" ref="K357">migration!K102</f>
        <v>0</v>
      </c>
      <c r="L357" s="55"/>
      <c r="M357" s="1"/>
      <c r="N357" s="1"/>
      <c r="O357" s="1"/>
      <c r="P357" s="1"/>
      <c r="Q357" s="1"/>
      <c r="R357" s="1"/>
      <c r="S357" s="1"/>
      <c r="T357" s="1"/>
      <c r="U357" s="1"/>
      <c r="V357" s="1"/>
      <c r="W357" s="1"/>
      <c r="X357" s="1"/>
      <c r="Y357" s="1"/>
      <c r="Z357" s="1"/>
    </row>
    <row r="358" spans="1:26" ht="19.5" customHeight="1">
      <c r="A358" s="139" t="str">
        <f t="array" ref="A358">migration!$A103</f>
        <v>m92</v>
      </c>
      <c r="B358" s="55"/>
      <c r="C358" s="55">
        <f t="array" ref="C358">migration!C103</f>
        <v>0</v>
      </c>
      <c r="D358" s="55">
        <f t="array" ref="D358">migration!D103</f>
        <v>0</v>
      </c>
      <c r="E358" s="55">
        <f t="array" ref="E358">migration!E103</f>
        <v>0</v>
      </c>
      <c r="F358" s="55">
        <f t="array" ref="F358">migration!F103</f>
        <v>0</v>
      </c>
      <c r="G358" s="55">
        <f t="array" ref="G358">migration!G103</f>
        <v>0</v>
      </c>
      <c r="H358" s="55">
        <f t="array" ref="H358">migration!H103</f>
        <v>0</v>
      </c>
      <c r="I358" s="55">
        <f t="array" ref="I358">migration!I103</f>
        <v>0</v>
      </c>
      <c r="J358" s="55">
        <f t="array" ref="J358">migration!J103</f>
        <v>0</v>
      </c>
      <c r="K358" s="55">
        <f t="array" ref="K358">migration!K103</f>
        <v>0</v>
      </c>
      <c r="L358" s="55"/>
      <c r="M358" s="1"/>
      <c r="N358" s="1"/>
      <c r="O358" s="1"/>
      <c r="P358" s="1"/>
      <c r="Q358" s="1"/>
      <c r="R358" s="1"/>
      <c r="S358" s="1"/>
      <c r="T358" s="1"/>
      <c r="U358" s="1"/>
      <c r="V358" s="1"/>
      <c r="W358" s="1"/>
      <c r="X358" s="1"/>
      <c r="Y358" s="1"/>
      <c r="Z358" s="1"/>
    </row>
    <row r="359" spans="1:26" ht="19.5" customHeight="1">
      <c r="A359" s="139" t="str">
        <f t="array" ref="A359">migration!$A104</f>
        <v>m93</v>
      </c>
      <c r="B359" s="55"/>
      <c r="C359" s="55">
        <f t="array" ref="C359">migration!C104</f>
        <v>0</v>
      </c>
      <c r="D359" s="55">
        <f t="array" ref="D359">migration!D104</f>
        <v>0</v>
      </c>
      <c r="E359" s="55">
        <f t="array" ref="E359">migration!E104</f>
        <v>0</v>
      </c>
      <c r="F359" s="55">
        <f t="array" ref="F359">migration!F104</f>
        <v>0</v>
      </c>
      <c r="G359" s="55">
        <f t="array" ref="G359">migration!G104</f>
        <v>0</v>
      </c>
      <c r="H359" s="55">
        <f t="array" ref="H359">migration!H104</f>
        <v>0</v>
      </c>
      <c r="I359" s="55">
        <f t="array" ref="I359">migration!I104</f>
        <v>0</v>
      </c>
      <c r="J359" s="55">
        <f t="array" ref="J359">migration!J104</f>
        <v>0</v>
      </c>
      <c r="K359" s="55">
        <f t="array" ref="K359">migration!K104</f>
        <v>0</v>
      </c>
      <c r="L359" s="55"/>
      <c r="M359" s="1"/>
      <c r="N359" s="1"/>
      <c r="O359" s="1"/>
      <c r="P359" s="1"/>
      <c r="Q359" s="1"/>
      <c r="R359" s="1"/>
      <c r="S359" s="1"/>
      <c r="T359" s="1"/>
      <c r="U359" s="1"/>
      <c r="V359" s="1"/>
      <c r="W359" s="1"/>
      <c r="X359" s="1"/>
      <c r="Y359" s="1"/>
      <c r="Z359" s="1"/>
    </row>
    <row r="360" spans="1:26" ht="19.5" customHeight="1">
      <c r="A360" s="139" t="str">
        <f t="array" ref="A360">migration!$A105</f>
        <v>m94</v>
      </c>
      <c r="B360" s="55"/>
      <c r="C360" s="55">
        <f t="array" ref="C360">migration!C105</f>
        <v>0</v>
      </c>
      <c r="D360" s="55">
        <f t="array" ref="D360">migration!D105</f>
        <v>0</v>
      </c>
      <c r="E360" s="55">
        <f t="array" ref="E360">migration!E105</f>
        <v>0</v>
      </c>
      <c r="F360" s="55">
        <f t="array" ref="F360">migration!F105</f>
        <v>0</v>
      </c>
      <c r="G360" s="55">
        <f t="array" ref="G360">migration!G105</f>
        <v>0</v>
      </c>
      <c r="H360" s="55">
        <f t="array" ref="H360">migration!H105</f>
        <v>0</v>
      </c>
      <c r="I360" s="55">
        <f t="array" ref="I360">migration!I105</f>
        <v>0</v>
      </c>
      <c r="J360" s="55">
        <f t="array" ref="J360">migration!J105</f>
        <v>0</v>
      </c>
      <c r="K360" s="55">
        <f t="array" ref="K360">migration!K105</f>
        <v>0</v>
      </c>
      <c r="L360" s="55"/>
      <c r="M360" s="1"/>
      <c r="N360" s="1"/>
      <c r="O360" s="1"/>
      <c r="P360" s="1"/>
      <c r="Q360" s="1"/>
      <c r="R360" s="1"/>
      <c r="S360" s="1"/>
      <c r="T360" s="1"/>
      <c r="U360" s="1"/>
      <c r="V360" s="1"/>
      <c r="W360" s="1"/>
      <c r="X360" s="1"/>
      <c r="Y360" s="1"/>
      <c r="Z360" s="1"/>
    </row>
    <row r="361" spans="1:26" ht="19.5" customHeight="1">
      <c r="A361" s="139" t="str">
        <f t="array" ref="A361">migration!$A106</f>
        <v>m95</v>
      </c>
      <c r="B361" s="55"/>
      <c r="C361" s="55">
        <f t="array" ref="C361">migration!C106</f>
        <v>0</v>
      </c>
      <c r="D361" s="55">
        <f t="array" ref="D361">migration!D106</f>
        <v>0</v>
      </c>
      <c r="E361" s="55">
        <f t="array" ref="E361">migration!E106</f>
        <v>0</v>
      </c>
      <c r="F361" s="55">
        <f t="array" ref="F361">migration!F106</f>
        <v>0</v>
      </c>
      <c r="G361" s="55">
        <f t="array" ref="G361">migration!G106</f>
        <v>0</v>
      </c>
      <c r="H361" s="55">
        <f t="array" ref="H361">migration!H106</f>
        <v>0</v>
      </c>
      <c r="I361" s="55">
        <f t="array" ref="I361">migration!I106</f>
        <v>0</v>
      </c>
      <c r="J361" s="55">
        <f t="array" ref="J361">migration!J106</f>
        <v>0</v>
      </c>
      <c r="K361" s="55">
        <f t="array" ref="K361">migration!K106</f>
        <v>0</v>
      </c>
      <c r="L361" s="55"/>
      <c r="M361" s="1"/>
      <c r="N361" s="1"/>
      <c r="O361" s="1"/>
      <c r="P361" s="1"/>
      <c r="Q361" s="1"/>
      <c r="R361" s="1"/>
      <c r="S361" s="1"/>
      <c r="T361" s="1"/>
      <c r="U361" s="1"/>
      <c r="V361" s="1"/>
      <c r="W361" s="1"/>
      <c r="X361" s="1"/>
      <c r="Y361" s="1"/>
      <c r="Z361" s="1"/>
    </row>
    <row r="362" spans="1:26" ht="19.5" customHeight="1">
      <c r="A362" s="139" t="str">
        <f t="array" ref="A362">migration!$A107</f>
        <v>m96</v>
      </c>
      <c r="B362" s="55"/>
      <c r="C362" s="55">
        <f t="array" ref="C362">migration!C107</f>
        <v>0</v>
      </c>
      <c r="D362" s="55">
        <f t="array" ref="D362">migration!D107</f>
        <v>0</v>
      </c>
      <c r="E362" s="55">
        <f t="array" ref="E362">migration!E107</f>
        <v>0</v>
      </c>
      <c r="F362" s="55">
        <f t="array" ref="F362">migration!F107</f>
        <v>0</v>
      </c>
      <c r="G362" s="55">
        <f t="array" ref="G362">migration!G107</f>
        <v>0</v>
      </c>
      <c r="H362" s="55">
        <f t="array" ref="H362">migration!H107</f>
        <v>0</v>
      </c>
      <c r="I362" s="55">
        <f t="array" ref="I362">migration!I107</f>
        <v>0</v>
      </c>
      <c r="J362" s="55">
        <f t="array" ref="J362">migration!J107</f>
        <v>0</v>
      </c>
      <c r="K362" s="55">
        <f t="array" ref="K362">migration!K107</f>
        <v>0</v>
      </c>
      <c r="L362" s="55"/>
      <c r="M362" s="1"/>
      <c r="N362" s="1"/>
      <c r="O362" s="1"/>
      <c r="P362" s="1"/>
      <c r="Q362" s="1"/>
      <c r="R362" s="1"/>
      <c r="S362" s="1"/>
      <c r="T362" s="1"/>
      <c r="U362" s="1"/>
      <c r="V362" s="1"/>
      <c r="W362" s="1"/>
      <c r="X362" s="1"/>
      <c r="Y362" s="1"/>
      <c r="Z362" s="1"/>
    </row>
    <row r="363" spans="1:26" ht="19.5" customHeight="1">
      <c r="A363" s="139" t="str">
        <f t="array" ref="A363">migration!$A108</f>
        <v>m97</v>
      </c>
      <c r="B363" s="55"/>
      <c r="C363" s="55">
        <f t="array" ref="C363">migration!C108</f>
        <v>0</v>
      </c>
      <c r="D363" s="55">
        <f t="array" ref="D363">migration!D108</f>
        <v>0</v>
      </c>
      <c r="E363" s="55">
        <f t="array" ref="E363">migration!E108</f>
        <v>0</v>
      </c>
      <c r="F363" s="55">
        <f t="array" ref="F363">migration!F108</f>
        <v>0</v>
      </c>
      <c r="G363" s="55">
        <f t="array" ref="G363">migration!G108</f>
        <v>0</v>
      </c>
      <c r="H363" s="55">
        <f t="array" ref="H363">migration!H108</f>
        <v>0</v>
      </c>
      <c r="I363" s="55">
        <f t="array" ref="I363">migration!I108</f>
        <v>0</v>
      </c>
      <c r="J363" s="55">
        <f t="array" ref="J363">migration!J108</f>
        <v>0</v>
      </c>
      <c r="K363" s="55">
        <f t="array" ref="K363">migration!K108</f>
        <v>0</v>
      </c>
      <c r="L363" s="55"/>
      <c r="M363" s="1"/>
      <c r="N363" s="1"/>
      <c r="O363" s="1"/>
      <c r="P363" s="1"/>
      <c r="Q363" s="1"/>
      <c r="R363" s="1"/>
      <c r="S363" s="1"/>
      <c r="T363" s="1"/>
      <c r="U363" s="1"/>
      <c r="V363" s="1"/>
      <c r="W363" s="1"/>
      <c r="X363" s="1"/>
      <c r="Y363" s="1"/>
      <c r="Z363" s="1"/>
    </row>
    <row r="364" spans="1:26" ht="19.5" customHeight="1">
      <c r="A364" s="139" t="str">
        <f t="array" ref="A364">migration!$A109</f>
        <v>m98</v>
      </c>
      <c r="B364" s="55"/>
      <c r="C364" s="55">
        <f t="array" ref="C364">migration!C109</f>
        <v>0</v>
      </c>
      <c r="D364" s="55">
        <f t="array" ref="D364">migration!D109</f>
        <v>0</v>
      </c>
      <c r="E364" s="55">
        <f t="array" ref="E364">migration!E109</f>
        <v>0</v>
      </c>
      <c r="F364" s="55">
        <f t="array" ref="F364">migration!F109</f>
        <v>0</v>
      </c>
      <c r="G364" s="55">
        <f t="array" ref="G364">migration!G109</f>
        <v>0</v>
      </c>
      <c r="H364" s="55">
        <f t="array" ref="H364">migration!H109</f>
        <v>0</v>
      </c>
      <c r="I364" s="55">
        <f t="array" ref="I364">migration!I109</f>
        <v>0</v>
      </c>
      <c r="J364" s="55">
        <f t="array" ref="J364">migration!J109</f>
        <v>0</v>
      </c>
      <c r="K364" s="55">
        <f t="array" ref="K364">migration!K109</f>
        <v>0</v>
      </c>
      <c r="L364" s="55"/>
      <c r="M364" s="1"/>
      <c r="N364" s="1"/>
      <c r="O364" s="1"/>
      <c r="P364" s="1"/>
      <c r="Q364" s="1"/>
      <c r="R364" s="1"/>
      <c r="S364" s="1"/>
      <c r="T364" s="1"/>
      <c r="U364" s="1"/>
      <c r="V364" s="1"/>
      <c r="W364" s="1"/>
      <c r="X364" s="1"/>
      <c r="Y364" s="1"/>
      <c r="Z364" s="1"/>
    </row>
    <row r="365" spans="1:26" ht="19.5" customHeight="1">
      <c r="A365" s="139" t="str">
        <f t="array" ref="A365">migration!$A110</f>
        <v>m99</v>
      </c>
      <c r="B365" s="55"/>
      <c r="C365" s="55">
        <f t="array" ref="C365">migration!C110</f>
        <v>0</v>
      </c>
      <c r="D365" s="55">
        <f t="array" ref="D365">migration!D110</f>
        <v>0</v>
      </c>
      <c r="E365" s="55">
        <f t="array" ref="E365">migration!E110</f>
        <v>0</v>
      </c>
      <c r="F365" s="55">
        <f t="array" ref="F365">migration!F110</f>
        <v>0</v>
      </c>
      <c r="G365" s="55">
        <f t="array" ref="G365">migration!G110</f>
        <v>0</v>
      </c>
      <c r="H365" s="55">
        <f t="array" ref="H365">migration!H110</f>
        <v>0</v>
      </c>
      <c r="I365" s="55">
        <f t="array" ref="I365">migration!I110</f>
        <v>0</v>
      </c>
      <c r="J365" s="55">
        <f t="array" ref="J365">migration!J110</f>
        <v>0</v>
      </c>
      <c r="K365" s="55">
        <f t="array" ref="K365">migration!K110</f>
        <v>0</v>
      </c>
      <c r="L365" s="55"/>
      <c r="M365" s="1"/>
      <c r="N365" s="1"/>
      <c r="O365" s="1"/>
      <c r="P365" s="1"/>
      <c r="Q365" s="1"/>
      <c r="R365" s="1"/>
      <c r="S365" s="1"/>
      <c r="T365" s="1"/>
      <c r="U365" s="1"/>
      <c r="V365" s="1"/>
      <c r="W365" s="1"/>
      <c r="X365" s="1"/>
      <c r="Y365" s="1"/>
      <c r="Z365" s="1"/>
    </row>
    <row r="366" spans="1:26" ht="19.5" customHeight="1">
      <c r="A366" s="143" t="str">
        <f t="array" ref="A366">migration!$A111</f>
        <v>mt</v>
      </c>
      <c r="B366" s="106"/>
      <c r="C366" s="106">
        <f t="array" ref="C366">migration!C111</f>
        <v>126035.20000000003</v>
      </c>
      <c r="D366" s="55">
        <f t="array" ref="D366">migration!D111</f>
        <v>-36574.699999999983</v>
      </c>
      <c r="E366" s="55">
        <f t="array" ref="E366">migration!E111</f>
        <v>-33924.999999999993</v>
      </c>
      <c r="F366" s="55">
        <f t="array" ref="F366">migration!F111</f>
        <v>99975.400000000009</v>
      </c>
      <c r="G366" s="55">
        <f t="array" ref="G366">migration!G111</f>
        <v>96559.499999999985</v>
      </c>
      <c r="H366" s="55">
        <f t="array" ref="H366">migration!H111</f>
        <v>-70499.7</v>
      </c>
      <c r="I366" s="55">
        <f t="array" ref="I366">migration!I111</f>
        <v>196534.89999999994</v>
      </c>
      <c r="J366" s="55">
        <f t="array" ref="J366">migration!J111</f>
        <v>63400.700000000026</v>
      </c>
      <c r="K366" s="55">
        <f t="array" ref="K366">migration!K111</f>
        <v>62634.499999999993</v>
      </c>
      <c r="L366" s="55"/>
      <c r="M366" s="1"/>
      <c r="N366" s="1"/>
      <c r="O366" s="1"/>
      <c r="P366" s="1"/>
      <c r="Q366" s="1"/>
      <c r="R366" s="1"/>
      <c r="S366" s="1"/>
      <c r="T366" s="1"/>
      <c r="U366" s="1"/>
      <c r="V366" s="1"/>
      <c r="W366" s="1"/>
      <c r="X366" s="1"/>
      <c r="Y366" s="1"/>
      <c r="Z366" s="1"/>
    </row>
    <row r="367" spans="1:26" ht="91.5" customHeight="1">
      <c r="A367" s="144" t="str">
        <f t="array" ref="A367">migration!$A113</f>
        <v>ms</v>
      </c>
      <c r="B367" s="145"/>
      <c r="C367" s="130" t="str">
        <f t="array" ref="C367">migration!C113</f>
        <v>Enter URLs here, if you have multiple URLs seperate them with a comma; downloaded yyyy-MM-dd; we used the 10-year average number of the migration balance (2015-2024); the numbers are binomially distributed between the age of 5 and 54</v>
      </c>
      <c r="D367" s="151"/>
      <c r="E367" s="152"/>
      <c r="F367" s="152"/>
      <c r="G367" s="152"/>
      <c r="H367" s="152"/>
      <c r="I367" s="152"/>
      <c r="J367" s="152"/>
      <c r="K367" s="152"/>
      <c r="L367" s="152"/>
      <c r="M367" s="1"/>
      <c r="N367" s="1"/>
      <c r="O367" s="1"/>
      <c r="P367" s="1"/>
      <c r="Q367" s="1"/>
      <c r="R367" s="1"/>
      <c r="S367" s="1"/>
      <c r="T367" s="1"/>
      <c r="U367" s="1"/>
      <c r="V367" s="1"/>
      <c r="W367" s="1"/>
      <c r="X367" s="1"/>
      <c r="Y367" s="1"/>
      <c r="Z367" s="1"/>
    </row>
    <row r="368" spans="1:26" ht="19.5" customHeight="1">
      <c r="A368" s="153"/>
      <c r="B368" s="154"/>
      <c r="C368" s="154"/>
      <c r="D368" s="152"/>
      <c r="E368" s="152"/>
      <c r="F368" s="152"/>
      <c r="G368" s="152"/>
      <c r="H368" s="152"/>
      <c r="I368" s="152"/>
      <c r="J368" s="152"/>
      <c r="K368" s="152"/>
      <c r="L368" s="152"/>
      <c r="M368" s="1"/>
      <c r="N368" s="1"/>
      <c r="O368" s="1"/>
      <c r="P368" s="1"/>
      <c r="Q368" s="1"/>
      <c r="R368" s="1"/>
      <c r="S368" s="1"/>
      <c r="T368" s="1"/>
      <c r="U368" s="1"/>
      <c r="V368" s="1"/>
      <c r="W368" s="1"/>
      <c r="X368" s="1"/>
      <c r="Y368" s="1"/>
      <c r="Z368" s="1"/>
    </row>
    <row r="369" spans="1:26" ht="19.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9.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9.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9.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9.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9.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9.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9.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9.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9.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9.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9.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9.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9.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9.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9.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9.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9.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9.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9.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9.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9.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9.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9.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9.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9.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9.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9.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9.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9.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9.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9.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9.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9.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9.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9.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9.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9.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9.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9.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9.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9.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9.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9.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9.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9.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9.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9.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9.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9.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9.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9.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9.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9.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9.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9.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9.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9.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9.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9.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9.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9.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9.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9.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9.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9.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9.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9.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9.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9.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9.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9.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9.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9.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9.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9.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9.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9.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9.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9.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9.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9.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9.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9.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9.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9.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9.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9.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9.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9.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9.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9.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9.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9.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9.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9.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9.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9.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9.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9.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9.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9.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9.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9.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9.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9.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9.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9.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9.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9.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9.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9.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9.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9.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9.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9.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9.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9.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9.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9.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9.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9.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9.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9.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9.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9.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9.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9.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9.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9.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9.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9.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9.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9.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9.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9.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9.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9.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9.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9.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9.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9.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9.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9.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9.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9.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9.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9.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9.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9.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9.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9.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9.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9.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9.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9.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9.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9.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9.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9.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9.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9.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9.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9.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9.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9.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9.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9.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9.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9.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9.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9.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9.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9.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9.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9.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9.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9.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9.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9.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9.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9.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9.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9.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9.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9.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9.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9.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9.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9.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9.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9.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9.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9.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9.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9.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9.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9.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9.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9.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9.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9.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9.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9.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9.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9.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9.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9.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9.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9.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9.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9.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9.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9.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9.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9.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9.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9.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9.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9.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9.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9.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9.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9.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9.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9.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9.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9.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9.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9.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9.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9.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9.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9.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9.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9.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9.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9.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9.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9.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9.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9.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9.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9.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9.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9.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9.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9.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9.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9.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9.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9.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9.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9.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9.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9.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9.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9.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9.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9.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9.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9.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9.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9.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9.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9.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9.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9.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9.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9.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9.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9.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9.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9.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9.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9.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9.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9.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9.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9.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9.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9.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9.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9.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9.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9.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9.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9.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9.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9.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9.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9.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9.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9.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9.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9.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9.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9.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9.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9.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9.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9.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9.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9.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9.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9.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9.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9.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9.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9.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9.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9.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9.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9.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9.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9.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9.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9.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9.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9.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9.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9.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9.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9.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9.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9.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9.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9.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9.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9.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9.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9.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9.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9.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9.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9.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9.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9.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9.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9.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9.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9.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9.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9.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9.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9.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9.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9.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9.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9.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9.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9.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9.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9.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9.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9.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9.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9.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9.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9.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9.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9.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9.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9.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9.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9.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9.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9.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9.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9.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9.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9.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9.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9.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9.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9.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9.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9.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9.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9.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9.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9.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9.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9.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9.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9.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9.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9.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9.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9.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9.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9.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9.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9.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9.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9.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9.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9.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9.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9.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9.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9.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9.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9.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9.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9.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9.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9.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9.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9.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9.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9.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9.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9.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9.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9.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9.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9.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9.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9.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9.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9.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9.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9.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9.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9.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9.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9.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9.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9.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9.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9.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9.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9.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9.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9.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9.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9.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9.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9.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9.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9.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9.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9.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9.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9.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9.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9.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9.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9.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9.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9.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9.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9.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9.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9.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9.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9.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9.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9.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9.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9.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9.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9.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9.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9.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9.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9.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9.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9.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9.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9.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9.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9.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9.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9.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9.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9.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9.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9.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9.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9.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9.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9.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9.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9.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9.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9.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9.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9.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9.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9.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9.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9.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9.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9.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9.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9.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9.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9.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9.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9.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9.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9.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9.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9.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9.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9.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9.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9.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9.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9.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9.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9.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9.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9.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9.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9.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9.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9.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9.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9.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9.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9.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9.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9.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9.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9.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9.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9.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9.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9.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9.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9.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9.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9.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9.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9.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9.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9.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9.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9.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9.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9.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9.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9.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9.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9.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9.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9.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9.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9.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9.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9.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9.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9.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9.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9.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9.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9.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9.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9.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9.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9.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9.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9.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9.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9.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9.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9.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9.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9.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9.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9.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9.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9.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9.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9.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9.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9.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9.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9.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9.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9.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9.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9.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9.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9.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9.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9.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9.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9.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9.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9.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9.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9.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9.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9.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9.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9.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9.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9.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9.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9.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9.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9.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9.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9.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9.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9.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9.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9.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9.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9.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9.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9.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9.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9.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9.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9.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9.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9.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9.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9.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9.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9.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9.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9.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9.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9.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9.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9.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7">
    <mergeCell ref="C160:K160"/>
    <mergeCell ref="C264:K264"/>
    <mergeCell ref="A1:L1"/>
    <mergeCell ref="C4:K4"/>
    <mergeCell ref="C5:K5"/>
    <mergeCell ref="C13:K13"/>
    <mergeCell ref="C118:K118"/>
  </mergeCells>
  <pageMargins left="1" right="1" top="1" bottom="1" header="0" footer="0"/>
  <pageSetup orientation="portrait"/>
  <headerFooter>
    <oddFooter>&amp;C 000000&amp;P</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8</vt:i4>
      </vt:variant>
    </vt:vector>
  </HeadingPairs>
  <TitlesOfParts>
    <vt:vector size="8" baseType="lpstr">
      <vt:lpstr>overview</vt:lpstr>
      <vt:lpstr>population</vt:lpstr>
      <vt:lpstr>births</vt:lpstr>
      <vt:lpstr>deaths</vt:lpstr>
      <vt:lpstr>migration</vt:lpstr>
      <vt:lpstr>origin</vt:lpstr>
      <vt:lpstr>patria</vt:lpstr>
      <vt:lpstr>export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King Dom</cp:lastModifiedBy>
  <dcterms:created xsi:type="dcterms:W3CDTF">2026-05-22T08:50:52Z</dcterms:created>
  <dcterms:modified xsi:type="dcterms:W3CDTF">2026-05-27T09:33:23Z</dcterms:modified>
</cp:coreProperties>
</file>